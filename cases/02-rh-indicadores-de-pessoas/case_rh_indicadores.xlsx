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5185ef3a8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82d26130e8d4e0a"/>
    <x:sheet xmlns:r="http://schemas.openxmlformats.org/officeDocument/2006/relationships" name="Dim_Unidade" sheetId="2" r:id="R9c4b498aa46d4657"/>
    <x:sheet xmlns:r="http://schemas.openxmlformats.org/officeDocument/2006/relationships" name="Dim_Setor" sheetId="3" r:id="R760928fcfe0e48f5"/>
    <x:sheet xmlns:r="http://schemas.openxmlformats.org/officeDocument/2006/relationships" name="Dim_Cargo" sheetId="4" r:id="Re37d8a40b8b04d7f"/>
    <x:sheet xmlns:r="http://schemas.openxmlformats.org/officeDocument/2006/relationships" name="Colaboradores" sheetId="5" r:id="Rb554c1c36b5c42e1"/>
    <x:sheet xmlns:r="http://schemas.openxmlformats.org/officeDocument/2006/relationships" name="Fato_Movimentacao" sheetId="6" r:id="R05db01f0ab1f44e6"/>
    <x:sheet xmlns:r="http://schemas.openxmlformats.org/officeDocument/2006/relationships" name="Fato_Ausencia" sheetId="7" r:id="Ra0c1166392c943d2"/>
    <x:sheet xmlns:r="http://schemas.openxmlformats.org/officeDocument/2006/relationships" name="Fato_Hora_Extra" sheetId="8" r:id="Rdb4be4a1675b4c2f"/>
    <x:sheet xmlns:r="http://schemas.openxmlformats.org/officeDocument/2006/relationships" name="Dim_Treinamento" sheetId="9" r:id="Re8a4277653c149ea"/>
    <x:sheet xmlns:r="http://schemas.openxmlformats.org/officeDocument/2006/relationships" name="Fato_Treinamento" sheetId="10" r:id="R7c58b3ade0ee471a"/>
    <x:sheet xmlns:r="http://schemas.openxmlformats.org/officeDocument/2006/relationships" name="Fato_Desempenho" sheetId="11" r:id="Rc5d39c36ef94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#,##0.0"/>
    <x:numFmt numFmtId="203" formatCode="0.0"/>
    <x:numFmt numFmtId="204" formatCode="&quot;R$&quot; #,##0.00"/>
    <x:numFmt numFmtId="205" formatCode="R$ #,##0.00"/>
    <x:numFmt numFmtId="206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53B5B"/>
      <x:name val="Carlito"/>
    </x:font>
    <x:font>
      <x:b/>
      <x:sz val="11"/>
      <x:color rgb="FFFFFFFF"/>
      <x:name val="Carlito"/>
    </x:font>
    <x:font>
      <x:b/>
      <x:sz val="13"/>
      <x:color rgb="FF153B5B"/>
      <x:name val="Carlito"/>
    </x:font>
    <x:font>
      <x:b/>
      <x:sz val="10"/>
      <x:color rgb="FFFFFFFF"/>
      <x:name val="Aptos"/>
    </x:font>
    <x:font>
      <x:i/>
      <x:sz val="10"/>
      <x:color rgb="FF153B5B"/>
      <x:name val="Aptos"/>
    </x:font>
    <x:font>
      <x:sz val="10"/>
      <x:name val="Aptos"/>
    </x:font>
    <x:font>
      <x:b/>
      <x:sz val="10"/>
      <x:color rgb="FF153B5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2F6"/>
      </x:patternFill>
    </x:fill>
    <x:fill>
      <x:patternFill patternType="solid">
        <x:fgColor rgb="FF23789A"/>
      </x:patternFill>
    </x:fill>
    <x:fill>
      <x:patternFill patternType="solid">
        <x:fgColor rgb="FFFFFFFF"/>
      </x:patternFill>
    </x:fill>
    <x:fill>
      <x:patternFill patternType="solid">
        <x:fgColor rgb="FF2C8C87"/>
      </x:patternFill>
    </x:fill>
  </x:fills>
  <x:borders count="23">
    <x:border/>
    <x:border>
      <x:left style="thin">
        <x:color rgb="FFD5E2E9"/>
      </x:left>
      <x:top style="thin">
        <x:color rgb="FFD5E2E9"/>
      </x:top>
      <x:bottom style="thin">
        <x:color rgb="FFD5E2E9"/>
      </x:bottom>
    </x:border>
    <x:border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bottom style="thin">
        <x:color rgb="FFE4EBEF"/>
      </x:bottom>
    </x:border>
    <x:border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top style="thin">
        <x:color rgb="FFE4EBEF"/>
      </x:top>
      <x:bottom style="thin">
        <x:color rgb="FFE4EBEF"/>
      </x:bottom>
    </x:border>
    <x:border>
      <x:right style="thin">
        <x:color rgb="FFE4EBEF"/>
      </x:right>
      <x:top style="thin">
        <x:color rgb="FFE4EBEF"/>
      </x:top>
    </x:border>
    <x:border>
      <x:left style="thin">
        <x:color rgb="FFE4EBEF"/>
      </x:left>
      <x:right style="thin">
        <x:color rgb="FFE4EBEF"/>
      </x:right>
      <x:top style="thin">
        <x:color rgb="FFE4EBEF"/>
      </x:top>
    </x:border>
    <x:border>
      <x:left style="thin">
        <x:color rgb="FFE4EBEF"/>
      </x:left>
      <x:top style="thin">
        <x:color rgb="FFE4EBEF"/>
      </x:top>
    </x:border>
    <x:border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bottom style="thin">
        <x:color rgb="FFE3EBF0"/>
      </x:bottom>
    </x:border>
    <x:border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top style="thin">
        <x:color rgb="FFE3EBF0"/>
      </x:top>
      <x:bottom style="thin">
        <x:color rgb="FFE3EBF0"/>
      </x:bottom>
    </x:border>
    <x:border>
      <x:right style="thin">
        <x:color rgb="FFE3EBF0"/>
      </x:right>
      <x:top style="thin">
        <x:color rgb="FFE3EBF0"/>
      </x:top>
    </x:border>
    <x:border>
      <x:left style="thin">
        <x:color rgb="FFE3EBF0"/>
      </x:left>
      <x:right style="thin">
        <x:color rgb="FFE3EBF0"/>
      </x:right>
      <x:top style="thin">
        <x:color rgb="FFE3EBF0"/>
      </x:top>
    </x:border>
    <x:border>
      <x:left style="thin">
        <x:color rgb="FFE3EBF0"/>
      </x:left>
      <x:top style="thin">
        <x:color rgb="FFE3EBF0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3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2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3" fillId="2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200" fontId="8" fillId="5" borderId="1" xfId="0" applyNumberFormat="1" applyFont="1" applyFill="1" applyBorder="1" applyAlignment="1">
      <x:alignment horizontal="center"/>
    </x:xf>
    <x:xf numFmtId="200" fontId="8" fillId="5" borderId="2" xfId="0" applyNumberFormat="1" applyFont="1" applyFill="1" applyBorder="1" applyAlignment="1">
      <x:alignment horizontal="center"/>
    </x:xf>
    <x:xf numFmtId="201" fontId="8" fillId="5" borderId="2" xfId="0" applyNumberFormat="1" applyFont="1" applyFill="1" applyBorder="1" applyAlignment="1">
      <x:alignment horizontal="center"/>
    </x:xf>
    <x:xf numFmtId="202" fontId="8" fillId="5" borderId="2" xfId="0" applyNumberFormat="1" applyFont="1" applyFill="1" applyBorder="1" applyAlignment="1">
      <x:alignment horizontal="center"/>
    </x:xf>
    <x:xf numFmtId="203" fontId="8" fillId="5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wrapText="1"/>
    </x:xf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202" fontId="7" fillId="0" borderId="4" xfId="0" applyNumberFormat="1" applyFont="1" applyFill="1" applyBorder="1"/>
    <x:xf numFmtId="204" fontId="7" fillId="0" borderId="4" xfId="0" applyNumberFormat="1" applyFont="1" applyFill="1" applyBorder="1"/>
    <x:xf numFmtId="0" fontId="5" fillId="2" borderId="0" xfId="0" applyNumberFormat="1" applyFont="1" applyFill="1" applyBorder="1"/>
    <x:xf numFmtId="0" fontId="7" fillId="0" borderId="5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horizontal="center"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5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5" fontId="0" fillId="0" borderId="18" xfId="0" applyNumberFormat="1" applyFont="1" applyFill="1" applyBorder="1"/>
    <x:xf numFmtId="205" fontId="0" fillId="0" borderId="21" xfId="0" applyNumberFormat="1" applyFont="1" applyFill="1" applyBorder="1"/>
    <x:xf numFmtId="205" fontId="0" fillId="0" borderId="19" xfId="0" applyNumberFormat="1" applyFont="1" applyFill="1" applyBorder="1"/>
    <x:xf numFmtId="205" fontId="0" fillId="0" borderId="22" xfId="0" applyNumberFormat="1" applyFont="1" applyFill="1" applyBorder="1"/>
    <x:xf numFmtId="206" fontId="0" fillId="0" borderId="18" xfId="0" applyNumberFormat="1" applyFont="1" applyFill="1" applyBorder="1"/>
    <x:xf numFmtId="206" fontId="0" fillId="0" borderId="21" xfId="0" applyNumberFormat="1" applyFont="1" applyFill="1" applyBorder="1"/>
    <x:xf numFmtId="201" fontId="0" fillId="0" borderId="19" xfId="0" applyNumberFormat="1" applyFont="1" applyFill="1" applyBorder="1"/>
    <x:xf numFmtId="201" fontId="0" fillId="0" borderId="22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0bc31c4ec465b" /><Relationship Type="http://schemas.openxmlformats.org/officeDocument/2006/relationships/theme" Target="/xl/theme/theme1.xml" Id="Rbbeb0d9854bf49fc" /><Relationship Type="http://schemas.openxmlformats.org/officeDocument/2006/relationships/sharedStrings" Target="/xl/sharedStrings.xml" Id="R55a704198b184554" /><Relationship Type="http://schemas.openxmlformats.org/officeDocument/2006/relationships/worksheet" Target="/xl/worksheets/sheet1.xml" Id="R382d26130e8d4e0a" /><Relationship Type="http://schemas.openxmlformats.org/officeDocument/2006/relationships/worksheet" Target="/xl/worksheets/sheet2.xml" Id="R9c4b498aa46d4657" /><Relationship Type="http://schemas.openxmlformats.org/officeDocument/2006/relationships/worksheet" Target="/xl/worksheets/sheet3.xml" Id="R760928fcfe0e48f5" /><Relationship Type="http://schemas.openxmlformats.org/officeDocument/2006/relationships/worksheet" Target="/xl/worksheets/sheet4.xml" Id="Re37d8a40b8b04d7f" /><Relationship Type="http://schemas.openxmlformats.org/officeDocument/2006/relationships/worksheet" Target="/xl/worksheets/sheet5.xml" Id="Rb554c1c36b5c42e1" /><Relationship Type="http://schemas.openxmlformats.org/officeDocument/2006/relationships/worksheet" Target="/xl/worksheets/sheet6.xml" Id="R05db01f0ab1f44e6" /><Relationship Type="http://schemas.openxmlformats.org/officeDocument/2006/relationships/worksheet" Target="/xl/worksheets/sheet7.xml" Id="Ra0c1166392c943d2" /><Relationship Type="http://schemas.openxmlformats.org/officeDocument/2006/relationships/worksheet" Target="/xl/worksheets/sheet8.xml" Id="Rdb4be4a1675b4c2f" /><Relationship Type="http://schemas.openxmlformats.org/officeDocument/2006/relationships/worksheet" Target="/xl/worksheets/sheet9.xml" Id="Re8a4277653c149ea" /><Relationship Type="http://schemas.openxmlformats.org/officeDocument/2006/relationships/worksheet" Target="/xl/worksheets/sheet10.xml" Id="R7c58b3ade0ee471a" /><Relationship Type="http://schemas.openxmlformats.org/officeDocument/2006/relationships/worksheet" Target="/xl/worksheets/sheet11.xml" Id="Rc5d39c36ef944e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6" t="str">
        <x:v>Case 02 | Recursos Humanos e Indicadores de Pessoas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Visão executiva fictícia — período de 2023 a 2025 | Base criada para estudos de SQL, Excel e Power BI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34" customHeight="1">
      <x:c r="A4" s="59" t="str">
        <x:v>Headcount ativo</x:v>
      </x:c>
      <x:c r="B4" s="59" t="str">
        <x:v>Admissões</x:v>
      </x:c>
      <x:c r="C4" s="59" t="str">
        <x:v>Desligamentos</x:v>
      </x:c>
      <x:c r="D4" s="59" t="str">
        <x:v>Turnover acumulado</x:v>
      </x:c>
      <x:c r="E4" s="59" t="str">
        <x:v>Horas ausentes</x:v>
      </x:c>
      <x:c r="F4" s="59" t="str">
        <x:v>Horas extras</x:v>
      </x:c>
      <x:c r="G4" s="59" t="str">
        <x:v>Conclusão treinamentos</x:v>
      </x:c>
      <x:c r="H4" s="59" t="str">
        <x:v>Nota média</x:v>
      </x:c>
    </x:row>
    <x:row r="5">
      <x:c r="A5" s="60" t="n">
        <x:f>COUNTIF('Colaboradores'!$L$2:$L$421,"Ativo")</x:f>
        <x:v>355</x:v>
      </x:c>
      <x:c r="B5" s="61" t="n">
        <x:f>COUNTIF('Fato_Movimentacao'!$D$2:$D$567,"Admissão")</x:f>
        <x:v>420</x:v>
      </x:c>
      <x:c r="C5" s="61" t="n">
        <x:f>COUNTIF('Fato_Movimentacao'!$D$2:$D$567,"Desligamento")</x:f>
        <x:v>65</x:v>
      </x:c>
      <x:c r="D5" s="62" t="n">
        <x:f>C5/((A5+(A5+C5))/2)</x:f>
        <x:v>0.16774193548387098</x:v>
      </x:c>
      <x:c r="E5" s="63" t="n">
        <x:f>SUM('Fato_Ausencia'!$F$2:$F$1091)</x:f>
        <x:v>11173</x:v>
      </x:c>
      <x:c r="F5" s="63" t="n">
        <x:f>SUMIFS('Fato_Hora_Extra'!$E$2:$E$1441,'Fato_Hora_Extra'!$H$2:$H$1441,1)</x:f>
        <x:v>5417</x:v>
      </x:c>
      <x:c r="G5" s="62" t="n">
        <x:f>COUNTIF('Fato_Treinamento'!$F$2:$F$1238,"Concluído")/COUNTA('Fato_Treinamento'!$A$2:$A$1238)</x:f>
        <x:v>0.7469684721099434</x:v>
      </x:c>
      <x:c r="H5" s="64" t="n">
        <x:f>AVERAGE('Fato_Desempenho'!$F$2:$F$621)</x:f>
        <x:v>3.609032258064516</x:v>
      </x:c>
    </x:row>
    <x:row r="6">
      <x:c r="A6" s="58"/>
      <x:c r="B6" s="58"/>
      <x:c r="C6" s="58"/>
      <x:c r="D6" s="58"/>
      <x:c r="E6" s="58"/>
      <x:c r="F6" s="58"/>
      <x:c r="G6" s="58"/>
      <x:c r="H6" s="58"/>
    </x:row>
    <x:row r="7">
      <x:c r="A7" s="58"/>
      <x:c r="B7" s="58"/>
      <x:c r="C7" s="58"/>
      <x:c r="D7" s="58"/>
      <x:c r="E7" s="58"/>
      <x:c r="F7" s="58"/>
      <x:c r="G7" s="58"/>
      <x:c r="H7" s="58"/>
    </x:row>
    <x:row r="8">
      <x:c r="A8" s="65" t="str">
        <x:v>Setor</x:v>
      </x:c>
      <x:c r="B8" s="65" t="str">
        <x:v>Ativos</x:v>
      </x:c>
      <x:c r="C8" s="65" t="str">
        <x:v>Desligamentos</x:v>
      </x:c>
      <x:c r="D8" s="65" t="str">
        <x:v>Horas ausentes</x:v>
      </x:c>
      <x:c r="E8" s="65" t="str">
        <x:v>Horas extras</x:v>
      </x:c>
      <x:c r="F8" s="65" t="str">
        <x:v>Custo de horas extras</x:v>
      </x:c>
      <x:c r="G8" s="58"/>
      <x:c r="H8" s="58"/>
    </x:row>
    <x:row r="9">
      <x:c r="A9" s="66" t="str">
        <x:v>Produção</x:v>
      </x:c>
      <x:c r="B9" s="67" t="n">
        <x:f>COUNTIFS('Colaboradores'!$E$2:$E$421,1,'Colaboradores'!$L$2:$L$421,"Ativo")</x:f>
        <x:v>108</x:v>
      </x:c>
      <x:c r="C9" s="67" t="n">
        <x:f>COUNTIFS('Fato_Movimentacao'!$D$2:$D$567,"Desligamento",'Fato_Movimentacao'!$F$2:$F$567,1)</x:f>
        <x:v>18</x:v>
      </x:c>
      <x:c r="D9" s="68" t="n">
        <x:f>SUMIFS('Fato_Ausencia'!$F$2:$F$1091,'Fato_Ausencia'!$I$2:$I$1091,1)</x:f>
        <x:v>3390</x:v>
      </x:c>
      <x:c r="E9" s="68" t="n">
        <x:f>SUMIFS('Fato_Hora_Extra'!$E$2:$E$1441,'Fato_Hora_Extra'!$I$2:$I$1441,1,'Fato_Hora_Extra'!$H$2:$H$1441,1)</x:f>
        <x:v>1441</x:v>
      </x:c>
      <x:c r="F9" s="69" t="n">
        <x:f>ROUND(SUMIFS('Fato_Hora_Extra'!$G$2:$G$1441,'Fato_Hora_Extra'!$I$2:$I$1441,1,'Fato_Hora_Extra'!$H$2:$H$1441,1),2)</x:f>
        <x:v>34965.23</x:v>
      </x:c>
      <x:c r="G9" s="58"/>
      <x:c r="H9" s="58"/>
    </x:row>
    <x:row r="10">
      <x:c r="A10" s="66" t="str">
        <x:v>Manutenção</x:v>
      </x:c>
      <x:c r="B10" s="67" t="n">
        <x:f>COUNTIFS('Colaboradores'!$E$2:$E$421,2,'Colaboradores'!$L$2:$L$421,"Ativo")</x:f>
        <x:v>27</x:v>
      </x:c>
      <x:c r="C10" s="67" t="n">
        <x:f>COUNTIFS('Fato_Movimentacao'!$D$2:$D$567,"Desligamento",'Fato_Movimentacao'!$F$2:$F$567,2)</x:f>
        <x:v>4</x:v>
      </x:c>
      <x:c r="D10" s="68" t="n">
        <x:f>SUMIFS('Fato_Ausencia'!$F$2:$F$1091,'Fato_Ausencia'!$I$2:$I$1091,2)</x:f>
        <x:v>695</x:v>
      </x:c>
      <x:c r="E10" s="68" t="n">
        <x:f>SUMIFS('Fato_Hora_Extra'!$E$2:$E$1441,'Fato_Hora_Extra'!$I$2:$I$1441,2,'Fato_Hora_Extra'!$H$2:$H$1441,1)</x:f>
        <x:v>435</x:v>
      </x:c>
      <x:c r="F10" s="69" t="n">
        <x:f>ROUND(SUMIFS('Fato_Hora_Extra'!$G$2:$G$1441,'Fato_Hora_Extra'!$I$2:$I$1441,2,'Fato_Hora_Extra'!$H$2:$H$1441,1),2)</x:f>
        <x:v>17415.6</x:v>
      </x:c>
      <x:c r="G10" s="58"/>
      <x:c r="H10" s="58"/>
    </x:row>
    <x:row r="11">
      <x:c r="A11" s="66" t="str">
        <x:v>Qualidade</x:v>
      </x:c>
      <x:c r="B11" s="67" t="n">
        <x:f>COUNTIFS('Colaboradores'!$E$2:$E$421,3,'Colaboradores'!$L$2:$L$421,"Ativo")</x:f>
        <x:v>34</x:v>
      </x:c>
      <x:c r="C11" s="67" t="n">
        <x:f>COUNTIFS('Fato_Movimentacao'!$D$2:$D$567,"Desligamento",'Fato_Movimentacao'!$F$2:$F$567,3)</x:f>
        <x:v>3</x:v>
      </x:c>
      <x:c r="D11" s="68" t="n">
        <x:f>SUMIFS('Fato_Ausencia'!$F$2:$F$1091,'Fato_Ausencia'!$I$2:$I$1091,3)</x:f>
        <x:v>769</x:v>
      </x:c>
      <x:c r="E11" s="68" t="n">
        <x:f>SUMIFS('Fato_Hora_Extra'!$E$2:$E$1441,'Fato_Hora_Extra'!$I$2:$I$1441,3,'Fato_Hora_Extra'!$H$2:$H$1441,1)</x:f>
        <x:v>507</x:v>
      </x:c>
      <x:c r="F11" s="69" t="n">
        <x:f>ROUND(SUMIFS('Fato_Hora_Extra'!$G$2:$G$1441,'Fato_Hora_Extra'!$I$2:$I$1441,3,'Fato_Hora_Extra'!$H$2:$H$1441,1),2)</x:f>
        <x:v>15389.22</x:v>
      </x:c>
      <x:c r="G11" s="58"/>
      <x:c r="H11" s="58"/>
    </x:row>
    <x:row r="12">
      <x:c r="A12" s="66" t="str">
        <x:v>Logística</x:v>
      </x:c>
      <x:c r="B12" s="67" t="n">
        <x:f>COUNTIFS('Colaboradores'!$E$2:$E$421,4,'Colaboradores'!$L$2:$L$421,"Ativo")</x:f>
        <x:v>32</x:v>
      </x:c>
      <x:c r="C12" s="67" t="n">
        <x:f>COUNTIFS('Fato_Movimentacao'!$D$2:$D$567,"Desligamento",'Fato_Movimentacao'!$F$2:$F$567,4)</x:f>
        <x:v>6</x:v>
      </x:c>
      <x:c r="D12" s="68" t="n">
        <x:f>SUMIFS('Fato_Ausencia'!$F$2:$F$1091,'Fato_Ausencia'!$I$2:$I$1091,4)</x:f>
        <x:v>997</x:v>
      </x:c>
      <x:c r="E12" s="68" t="n">
        <x:f>SUMIFS('Fato_Hora_Extra'!$E$2:$E$1441,'Fato_Hora_Extra'!$I$2:$I$1441,4,'Fato_Hora_Extra'!$H$2:$H$1441,1)</x:f>
        <x:v>515</x:v>
      </x:c>
      <x:c r="F12" s="69" t="n">
        <x:f>ROUND(SUMIFS('Fato_Hora_Extra'!$G$2:$G$1441,'Fato_Hora_Extra'!$I$2:$I$1441,4,'Fato_Hora_Extra'!$H$2:$H$1441,1),2)</x:f>
        <x:v>22259.78</x:v>
      </x:c>
      <x:c r="G12" s="58"/>
      <x:c r="H12" s="58"/>
    </x:row>
    <x:row r="13">
      <x:c r="A13" s="66" t="str">
        <x:v>Engenharia</x:v>
      </x:c>
      <x:c r="B13" s="67" t="n">
        <x:f>COUNTIFS('Colaboradores'!$E$2:$E$421,5,'Colaboradores'!$L$2:$L$421,"Ativo")</x:f>
        <x:v>35</x:v>
      </x:c>
      <x:c r="C13" s="67" t="n">
        <x:f>COUNTIFS('Fato_Movimentacao'!$D$2:$D$567,"Desligamento",'Fato_Movimentacao'!$F$2:$F$567,5)</x:f>
        <x:v>2</x:v>
      </x:c>
      <x:c r="D13" s="68" t="n">
        <x:f>SUMIFS('Fato_Ausencia'!$F$2:$F$1091,'Fato_Ausencia'!$I$2:$I$1091,5)</x:f>
        <x:v>1056</x:v>
      </x:c>
      <x:c r="E13" s="68" t="n">
        <x:f>SUMIFS('Fato_Hora_Extra'!$E$2:$E$1441,'Fato_Hora_Extra'!$I$2:$I$1441,5,'Fato_Hora_Extra'!$H$2:$H$1441,1)</x:f>
        <x:v>521</x:v>
      </x:c>
      <x:c r="F13" s="69" t="n">
        <x:f>ROUND(SUMIFS('Fato_Hora_Extra'!$G$2:$G$1441,'Fato_Hora_Extra'!$I$2:$I$1441,5,'Fato_Hora_Extra'!$H$2:$H$1441,1),2)</x:f>
        <x:v>36233.96</x:v>
      </x:c>
      <x:c r="G13" s="58"/>
      <x:c r="H13" s="58"/>
    </x:row>
    <x:row r="14">
      <x:c r="A14" s="66" t="str">
        <x:v>Tecnologia da Informação</x:v>
      </x:c>
      <x:c r="B14" s="67" t="n">
        <x:f>COUNTIFS('Colaboradores'!$E$2:$E$421,6,'Colaboradores'!$L$2:$L$421,"Ativo")</x:f>
        <x:v>27</x:v>
      </x:c>
      <x:c r="C14" s="67" t="n">
        <x:f>COUNTIFS('Fato_Movimentacao'!$D$2:$D$567,"Desligamento",'Fato_Movimentacao'!$F$2:$F$567,6)</x:f>
        <x:v>2</x:v>
      </x:c>
      <x:c r="D14" s="68" t="n">
        <x:f>SUMIFS('Fato_Ausencia'!$F$2:$F$1091,'Fato_Ausencia'!$I$2:$I$1091,6)</x:f>
        <x:v>917</x:v>
      </x:c>
      <x:c r="E14" s="68" t="n">
        <x:f>SUMIFS('Fato_Hora_Extra'!$E$2:$E$1441,'Fato_Hora_Extra'!$I$2:$I$1441,6,'Fato_Hora_Extra'!$H$2:$H$1441,1)</x:f>
        <x:v>431</x:v>
      </x:c>
      <x:c r="F14" s="69" t="n">
        <x:f>ROUND(SUMIFS('Fato_Hora_Extra'!$G$2:$G$1441,'Fato_Hora_Extra'!$I$2:$I$1441,6,'Fato_Hora_Extra'!$H$2:$H$1441,1),2)</x:f>
        <x:v>21496.13</x:v>
      </x:c>
      <x:c r="G14" s="58"/>
      <x:c r="H14" s="58"/>
    </x:row>
    <x:row r="15">
      <x:c r="A15" s="66" t="str">
        <x:v>Recursos Humanos</x:v>
      </x:c>
      <x:c r="B15" s="67" t="n">
        <x:f>COUNTIFS('Colaboradores'!$E$2:$E$421,7,'Colaboradores'!$L$2:$L$421,"Ativo")</x:f>
        <x:v>24</x:v>
      </x:c>
      <x:c r="C15" s="67" t="n">
        <x:f>COUNTIFS('Fato_Movimentacao'!$D$2:$D$567,"Desligamento",'Fato_Movimentacao'!$F$2:$F$567,7)</x:f>
        <x:v>9</x:v>
      </x:c>
      <x:c r="D15" s="68" t="n">
        <x:f>SUMIFS('Fato_Ausencia'!$F$2:$F$1091,'Fato_Ausencia'!$I$2:$I$1091,7)</x:f>
        <x:v>828</x:v>
      </x:c>
      <x:c r="E15" s="68" t="n">
        <x:f>SUMIFS('Fato_Hora_Extra'!$E$2:$E$1441,'Fato_Hora_Extra'!$I$2:$I$1441,7,'Fato_Hora_Extra'!$H$2:$H$1441,1)</x:f>
        <x:v>390</x:v>
      </x:c>
      <x:c r="F15" s="69" t="n">
        <x:f>ROUND(SUMIFS('Fato_Hora_Extra'!$G$2:$G$1441,'Fato_Hora_Extra'!$I$2:$I$1441,7,'Fato_Hora_Extra'!$H$2:$H$1441,1),2)</x:f>
        <x:v>18368.55</x:v>
      </x:c>
      <x:c r="G15" s="58"/>
      <x:c r="H15" s="58"/>
    </x:row>
    <x:row r="16">
      <x:c r="A16" s="66" t="str">
        <x:v>Financeiro</x:v>
      </x:c>
      <x:c r="B16" s="67" t="n">
        <x:f>COUNTIFS('Colaboradores'!$E$2:$E$421,8,'Colaboradores'!$L$2:$L$421,"Ativo")</x:f>
        <x:v>25</x:v>
      </x:c>
      <x:c r="C16" s="67" t="n">
        <x:f>COUNTIFS('Fato_Movimentacao'!$D$2:$D$567,"Desligamento",'Fato_Movimentacao'!$F$2:$F$567,8)</x:f>
        <x:v>5</x:v>
      </x:c>
      <x:c r="D16" s="68" t="n">
        <x:f>SUMIFS('Fato_Ausencia'!$F$2:$F$1091,'Fato_Ausencia'!$I$2:$I$1091,8)</x:f>
        <x:v>1046</x:v>
      </x:c>
      <x:c r="E16" s="68" t="n">
        <x:f>SUMIFS('Fato_Hora_Extra'!$E$2:$E$1441,'Fato_Hora_Extra'!$I$2:$I$1441,8,'Fato_Hora_Extra'!$H$2:$H$1441,1)</x:f>
        <x:v>394</x:v>
      </x:c>
      <x:c r="F16" s="69" t="n">
        <x:f>ROUND(SUMIFS('Fato_Hora_Extra'!$G$2:$G$1441,'Fato_Hora_Extra'!$I$2:$I$1441,8,'Fato_Hora_Extra'!$H$2:$H$1441,1),2)</x:f>
        <x:v>18875.62</x:v>
      </x:c>
      <x:c r="G16" s="58"/>
      <x:c r="H16" s="58"/>
    </x:row>
    <x:row r="17">
      <x:c r="A17" s="66" t="str">
        <x:v>Comercial</x:v>
      </x:c>
      <x:c r="B17" s="67" t="n">
        <x:f>COUNTIFS('Colaboradores'!$E$2:$E$421,9,'Colaboradores'!$L$2:$L$421,"Ativo")</x:f>
        <x:v>19</x:v>
      </x:c>
      <x:c r="C17" s="67" t="n">
        <x:f>COUNTIFS('Fato_Movimentacao'!$D$2:$D$567,"Desligamento",'Fato_Movimentacao'!$F$2:$F$567,9)</x:f>
        <x:v>5</x:v>
      </x:c>
      <x:c r="D17" s="68" t="n">
        <x:f>SUMIFS('Fato_Ausencia'!$F$2:$F$1091,'Fato_Ausencia'!$I$2:$I$1091,9)</x:f>
        <x:v>721</x:v>
      </x:c>
      <x:c r="E17" s="68" t="n">
        <x:f>SUMIFS('Fato_Hora_Extra'!$E$2:$E$1441,'Fato_Hora_Extra'!$I$2:$I$1441,9,'Fato_Hora_Extra'!$H$2:$H$1441,1)</x:f>
        <x:v>314</x:v>
      </x:c>
      <x:c r="F17" s="69" t="n">
        <x:f>ROUND(SUMIFS('Fato_Hora_Extra'!$G$2:$G$1441,'Fato_Hora_Extra'!$I$2:$I$1441,9,'Fato_Hora_Extra'!$H$2:$H$1441,1),2)</x:f>
        <x:v>20123.38</x:v>
      </x:c>
      <x:c r="G17" s="58"/>
      <x:c r="H17" s="58"/>
    </x:row>
    <x:row r="18">
      <x:c r="A18" s="66" t="str">
        <x:v>Suprimentos</x:v>
      </x:c>
      <x:c r="B18" s="67" t="n">
        <x:f>COUNTIFS('Colaboradores'!$E$2:$E$421,10,'Colaboradores'!$L$2:$L$421,"Ativo")</x:f>
        <x:v>24</x:v>
      </x:c>
      <x:c r="C18" s="67" t="n">
        <x:f>COUNTIFS('Fato_Movimentacao'!$D$2:$D$567,"Desligamento",'Fato_Movimentacao'!$F$2:$F$567,10)</x:f>
        <x:v>11</x:v>
      </x:c>
      <x:c r="D18" s="68" t="n">
        <x:f>SUMIFS('Fato_Ausencia'!$F$2:$F$1091,'Fato_Ausencia'!$I$2:$I$1091,10)</x:f>
        <x:v>754</x:v>
      </x:c>
      <x:c r="E18" s="68" t="n">
        <x:f>SUMIFS('Fato_Hora_Extra'!$E$2:$E$1441,'Fato_Hora_Extra'!$I$2:$I$1441,10,'Fato_Hora_Extra'!$H$2:$H$1441,1)</x:f>
        <x:v>469</x:v>
      </x:c>
      <x:c r="F18" s="69" t="n">
        <x:f>ROUND(SUMIFS('Fato_Hora_Extra'!$G$2:$G$1441,'Fato_Hora_Extra'!$I$2:$I$1441,10,'Fato_Hora_Extra'!$H$2:$H$1441,1),2)</x:f>
        <x:v>20129.52</x:v>
      </x:c>
      <x:c r="G18" s="58"/>
      <x:c r="H18" s="58"/>
    </x:row>
    <x:row r="19">
      <x:c r="A19" s="58"/>
      <x:c r="B19" s="58"/>
      <x:c r="C19" s="58"/>
      <x:c r="D19" s="58"/>
      <x:c r="E19" s="58"/>
      <x:c r="F19" s="58"/>
      <x:c r="G19" s="58"/>
      <x:c r="H19" s="58"/>
    </x:row>
    <x:row r="20">
      <x:c r="A20" s="58"/>
      <x:c r="B20" s="58"/>
      <x:c r="C20" s="58"/>
      <x:c r="D20" s="58"/>
      <x:c r="E20" s="58"/>
      <x:c r="F20" s="58"/>
      <x:c r="G20" s="58"/>
      <x:c r="H20" s="58"/>
    </x:row>
    <x:row r="21">
      <x:c r="A21" s="70" t="str">
        <x:v>Perguntas de negócio para o projeto</x:v>
      </x:c>
      <x:c r="B21" s="70"/>
      <x:c r="C21" s="70"/>
      <x:c r="D21" s="70"/>
      <x:c r="E21" s="70"/>
      <x:c r="F21" s="70"/>
      <x:c r="G21" s="70"/>
      <x:c r="H21" s="70"/>
    </x:row>
    <x:row r="22" ht="34" customHeight="1">
      <x:c r="A22" s="71" t="n">
        <x:v>1</x:v>
      </x:c>
      <x:c r="B22" s="72" t="str">
        <x:v>Quais unidades e setores apresentam maior turnover e quais motivos explicam os desligamentos?</x:v>
      </x:c>
      <x:c r="C22" s="72"/>
      <x:c r="D22" s="72"/>
      <x:c r="E22" s="72"/>
      <x:c r="F22" s="72"/>
      <x:c r="G22" s="72"/>
      <x:c r="H22" s="73"/>
    </x:row>
    <x:row r="23" ht="34" customHeight="1">
      <x:c r="A23" s="74" t="n">
        <x:v>2</x:v>
      </x:c>
      <x:c r="B23" s="75" t="str">
        <x:v>Onde o absenteísmo e as horas extras ocorrem simultaneamente, indicando risco de sobrecarga?</x:v>
      </x:c>
      <x:c r="C23" s="75"/>
      <x:c r="D23" s="75"/>
      <x:c r="E23" s="75"/>
      <x:c r="F23" s="75"/>
      <x:c r="G23" s="75"/>
      <x:c r="H23" s="76"/>
    </x:row>
    <x:row r="24" ht="34" customHeight="1">
      <x:c r="A24" s="74" t="n">
        <x:v>3</x:v>
      </x:c>
      <x:c r="B24" s="75" t="str">
        <x:v>Os treinamentos obrigatórios estão sendo concluídos dentro do prazo?</x:v>
      </x:c>
      <x:c r="C24" s="75"/>
      <x:c r="D24" s="75"/>
      <x:c r="E24" s="75"/>
      <x:c r="F24" s="75"/>
      <x:c r="G24" s="75"/>
      <x:c r="H24" s="76"/>
    </x:row>
    <x:row r="25" ht="34" customHeight="1">
      <x:c r="A25" s="74" t="n">
        <x:v>4</x:v>
      </x:c>
      <x:c r="B25" s="75" t="str">
        <x:v>Quais grupos possuem desempenho abaixo do esperado e necessitam de PDI?</x:v>
      </x:c>
      <x:c r="C25" s="75"/>
      <x:c r="D25" s="75"/>
      <x:c r="E25" s="75"/>
      <x:c r="F25" s="75"/>
      <x:c r="G25" s="75"/>
      <x:c r="H25" s="76"/>
    </x:row>
    <x:row r="26" ht="34" customHeight="1">
      <x:c r="A26" s="74" t="n">
        <x:v>5</x:v>
      </x:c>
      <x:c r="B26" s="75" t="str">
        <x:v>Existe relação entre liderança, treinamento, desempenho e retenção?</x:v>
      </x:c>
      <x:c r="C26" s="75"/>
      <x:c r="D26" s="75"/>
      <x:c r="E26" s="75"/>
      <x:c r="F26" s="75"/>
      <x:c r="G26" s="75"/>
      <x:c r="H26" s="76"/>
    </x:row>
    <x:row r="27" ht="34" customHeight="1">
      <x:c r="A27" s="77" t="n">
        <x:v>6</x:v>
      </x:c>
      <x:c r="B27" s="78" t="str">
        <x:v>Quais ações devem ser priorizadas no próximo trimestre e qual impacto esperado?</x:v>
      </x:c>
      <x:c r="C27" s="78"/>
      <x:c r="D27" s="78"/>
      <x:c r="E27" s="78"/>
      <x:c r="F27" s="78"/>
      <x:c r="G27" s="78"/>
      <x:c r="H27" s="79"/>
    </x:row>
  </x:sheetData>
  <x:mergeCells>
    <x:mergeCell ref="A1:H1"/>
    <x:mergeCell ref="A2:H2"/>
    <x:mergeCell ref="A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4.220000267028809" hidden="0" customWidth="1"/>
    <x:col min="3" max="3" width="8" hidden="0" customWidth="1"/>
    <x:col min="4" max="4" width="2.7799999713897705" hidden="0" customWidth="1"/>
    <x:col min="5" max="5" width="7.110000133514404" hidden="0" customWidth="1"/>
  </x:cols>
  <x:sheetData>
    <x:row r="1">
      <x:c r="A1" s="82" t="str">
        <x:v>id_unidade</x:v>
      </x:c>
      <x:c r="B1" s="83" t="str">
        <x:v>unidade</x:v>
      </x:c>
      <x:c r="C1" s="83" t="str">
        <x:v>cidade</x:v>
      </x:c>
      <x:c r="D1" s="83" t="str">
        <x:v>uf</x:v>
      </x:c>
      <x:c r="E1" s="84" t="str">
        <x:v>regiao</x:v>
      </x:c>
    </x:row>
    <x:row r="2">
      <x:c r="A2" s="85" t="n">
        <x:v>1</x:v>
      </x:c>
      <x:c r="B2" s="86" t="str">
        <x:v>Unidade Sudeste</x:v>
      </x:c>
      <x:c r="C2" s="86" t="str">
        <x:v>Campinas</x:v>
      </x:c>
      <x:c r="D2" s="86" t="str">
        <x:v>SP</x:v>
      </x:c>
      <x:c r="E2" s="87" t="str">
        <x:v>Sudeste</x:v>
      </x:c>
    </x:row>
    <x:row r="3">
      <x:c r="A3" s="85" t="n">
        <x:v>2</x:v>
      </x:c>
      <x:c r="B3" s="86" t="str">
        <x:v>Unidade Sul</x:v>
      </x:c>
      <x:c r="C3" s="86" t="str">
        <x:v>Curitiba</x:v>
      </x:c>
      <x:c r="D3" s="86" t="str">
        <x:v>PR</x:v>
      </x:c>
      <x:c r="E3" s="87" t="str">
        <x:v>Sul</x:v>
      </x:c>
    </x:row>
    <x:row r="4">
      <x:c r="A4" s="85" t="n">
        <x:v>3</x:v>
      </x:c>
      <x:c r="B4" s="86" t="str">
        <x:v>Unidade Nordeste</x:v>
      </x:c>
      <x:c r="C4" s="86" t="str">
        <x:v>Recife</x:v>
      </x:c>
      <x:c r="D4" s="86" t="str">
        <x:v>PE</x:v>
      </x:c>
      <x:c r="E4" s="87" t="str">
        <x:v>Nordeste</x:v>
      </x:c>
    </x:row>
    <x:row r="5">
      <x:c r="A5" s="88" t="n">
        <x:v>4</x:v>
      </x:c>
      <x:c r="B5" s="89" t="str">
        <x:v>Centro Corporativo</x:v>
      </x:c>
      <x:c r="C5" s="89" t="str">
        <x:v>São Paulo</x:v>
      </x:c>
      <x:c r="D5" s="89" t="str">
        <x:v>SP</x:v>
      </x:c>
      <x:c r="E5" s="90" t="str">
        <x:v>Sudeste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9.329999923706055" hidden="0" customWidth="1"/>
    <x:col min="3" max="3" width="10.220000267028809" hidden="0" customWidth="1"/>
  </x:cols>
  <x:sheetData>
    <x:row r="1">
      <x:c r="A1" s="82" t="str">
        <x:v>id_setor</x:v>
      </x:c>
      <x:c r="B1" s="83" t="str">
        <x:v>setor</x:v>
      </x:c>
      <x:c r="C1" s="84" t="str">
        <x:v>diretoria</x:v>
      </x:c>
    </x:row>
    <x:row r="2">
      <x:c r="A2" s="85" t="n">
        <x:v>1</x:v>
      </x:c>
      <x:c r="B2" s="86" t="str">
        <x:v>Produção</x:v>
      </x:c>
      <x:c r="C2" s="87" t="str">
        <x:v>Operações</x:v>
      </x:c>
    </x:row>
    <x:row r="3">
      <x:c r="A3" s="85" t="n">
        <x:v>2</x:v>
      </x:c>
      <x:c r="B3" s="86" t="str">
        <x:v>Manutenção</x:v>
      </x:c>
      <x:c r="C3" s="87" t="str">
        <x:v>Operações</x:v>
      </x:c>
    </x:row>
    <x:row r="4">
      <x:c r="A4" s="85" t="n">
        <x:v>3</x:v>
      </x:c>
      <x:c r="B4" s="86" t="str">
        <x:v>Qualidade</x:v>
      </x:c>
      <x:c r="C4" s="87" t="str">
        <x:v>Operações</x:v>
      </x:c>
    </x:row>
    <x:row r="5">
      <x:c r="A5" s="85" t="n">
        <x:v>4</x:v>
      </x:c>
      <x:c r="B5" s="86" t="str">
        <x:v>Logística</x:v>
      </x:c>
      <x:c r="C5" s="87" t="str">
        <x:v>Supply Chain</x:v>
      </x:c>
    </x:row>
    <x:row r="6">
      <x:c r="A6" s="85" t="n">
        <x:v>5</x:v>
      </x:c>
      <x:c r="B6" s="86" t="str">
        <x:v>Engenharia</x:v>
      </x:c>
      <x:c r="C6" s="87" t="str">
        <x:v>Engenharia</x:v>
      </x:c>
    </x:row>
    <x:row r="7">
      <x:c r="A7" s="85" t="n">
        <x:v>6</x:v>
      </x:c>
      <x:c r="B7" s="86" t="str">
        <x:v>Tecnologia da Informação</x:v>
      </x:c>
      <x:c r="C7" s="87" t="str">
        <x:v>Corporativo</x:v>
      </x:c>
    </x:row>
    <x:row r="8">
      <x:c r="A8" s="85" t="n">
        <x:v>7</x:v>
      </x:c>
      <x:c r="B8" s="86" t="str">
        <x:v>Recursos Humanos</x:v>
      </x:c>
      <x:c r="C8" s="87" t="str">
        <x:v>Corporativo</x:v>
      </x:c>
    </x:row>
    <x:row r="9">
      <x:c r="A9" s="85" t="n">
        <x:v>8</x:v>
      </x:c>
      <x:c r="B9" s="86" t="str">
        <x:v>Financeiro</x:v>
      </x:c>
      <x:c r="C9" s="87" t="str">
        <x:v>Corporativo</x:v>
      </x:c>
    </x:row>
    <x:row r="10">
      <x:c r="A10" s="85" t="n">
        <x:v>9</x:v>
      </x:c>
      <x:c r="B10" s="86" t="str">
        <x:v>Comercial</x:v>
      </x:c>
      <x:c r="C10" s="87" t="str">
        <x:v>Comercial</x:v>
      </x:c>
    </x:row>
    <x:row r="11">
      <x:c r="A11" s="88" t="n">
        <x:v>10</x:v>
      </x:c>
      <x:c r="B11" s="89" t="str">
        <x:v>Suprimentos</x:v>
      </x:c>
      <x:c r="C11" s="90" t="str">
        <x:v>Supply Chain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28" hidden="0" customWidth="1"/>
    <x:col min="3" max="3" width="9.329999923706055" hidden="0" customWidth="1"/>
    <x:col min="4" max="4" width="14.5600004196167" hidden="0" customWidth="1"/>
    <x:col min="5" max="5" width="14.890000343322754" hidden="0" customWidth="1"/>
  </x:cols>
  <x:sheetData>
    <x:row r="1">
      <x:c r="A1" s="82" t="str">
        <x:v>id_cargo</x:v>
      </x:c>
      <x:c r="B1" s="83" t="str">
        <x:v>cargo</x:v>
      </x:c>
      <x:c r="C1" s="83" t="str">
        <x:v>nivel</x:v>
      </x:c>
      <x:c r="D1" s="83" t="str">
        <x:v>faixa_salarial_min</x:v>
      </x:c>
      <x:c r="E1" s="84" t="str">
        <x:v>faixa_salarial_max</x:v>
      </x:c>
    </x:row>
    <x:row r="2">
      <x:c r="A2" s="85" t="n">
        <x:v>1</x:v>
      </x:c>
      <x:c r="B2" s="86" t="str">
        <x:v>Operador de Produção</x:v>
      </x:c>
      <x:c r="C2" s="86" t="str">
        <x:v>Operacional</x:v>
      </x:c>
      <x:c r="D2" s="91" t="n">
        <x:v>2200</x:v>
      </x:c>
      <x:c r="E2" s="93" t="n">
        <x:v>3600</x:v>
      </x:c>
    </x:row>
    <x:row r="3">
      <x:c r="A3" s="85" t="n">
        <x:v>2</x:v>
      </x:c>
      <x:c r="B3" s="86" t="str">
        <x:v>Técnico de Manutenção</x:v>
      </x:c>
      <x:c r="C3" s="86" t="str">
        <x:v>Técnico</x:v>
      </x:c>
      <x:c r="D3" s="91" t="n">
        <x:v>3200</x:v>
      </x:c>
      <x:c r="E3" s="93" t="n">
        <x:v>5200</x:v>
      </x:c>
    </x:row>
    <x:row r="4">
      <x:c r="A4" s="85" t="n">
        <x:v>3</x:v>
      </x:c>
      <x:c r="B4" s="86" t="str">
        <x:v>Inspetor de Qualidade</x:v>
      </x:c>
      <x:c r="C4" s="86" t="str">
        <x:v>Técnico</x:v>
      </x:c>
      <x:c r="D4" s="91" t="n">
        <x:v>3000</x:v>
      </x:c>
      <x:c r="E4" s="93" t="n">
        <x:v>4800</x:v>
      </x:c>
    </x:row>
    <x:row r="5">
      <x:c r="A5" s="85" t="n">
        <x:v>4</x:v>
      </x:c>
      <x:c r="B5" s="86" t="str">
        <x:v>Analista de Logística</x:v>
      </x:c>
      <x:c r="C5" s="86" t="str">
        <x:v>Analista</x:v>
      </x:c>
      <x:c r="D5" s="91" t="n">
        <x:v>3800</x:v>
      </x:c>
      <x:c r="E5" s="93" t="n">
        <x:v>6800</x:v>
      </x:c>
    </x:row>
    <x:row r="6">
      <x:c r="A6" s="85" t="n">
        <x:v>5</x:v>
      </x:c>
      <x:c r="B6" s="86" t="str">
        <x:v>Engenheiro de Processos</x:v>
      </x:c>
      <x:c r="C6" s="86" t="str">
        <x:v>Especialista</x:v>
      </x:c>
      <x:c r="D6" s="91" t="n">
        <x:v>6500</x:v>
      </x:c>
      <x:c r="E6" s="93" t="n">
        <x:v>10500</x:v>
      </x:c>
    </x:row>
    <x:row r="7">
      <x:c r="A7" s="85" t="n">
        <x:v>6</x:v>
      </x:c>
      <x:c r="B7" s="86" t="str">
        <x:v>Analista de Sistemas</x:v>
      </x:c>
      <x:c r="C7" s="86" t="str">
        <x:v>Analista</x:v>
      </x:c>
      <x:c r="D7" s="91" t="n">
        <x:v>4800</x:v>
      </x:c>
      <x:c r="E7" s="93" t="n">
        <x:v>8500</x:v>
      </x:c>
    </x:row>
    <x:row r="8">
      <x:c r="A8" s="85" t="n">
        <x:v>7</x:v>
      </x:c>
      <x:c r="B8" s="86" t="str">
        <x:v>Analista de RH</x:v>
      </x:c>
      <x:c r="C8" s="86" t="str">
        <x:v>Analista</x:v>
      </x:c>
      <x:c r="D8" s="91" t="n">
        <x:v>4200</x:v>
      </x:c>
      <x:c r="E8" s="93" t="n">
        <x:v>7200</x:v>
      </x:c>
    </x:row>
    <x:row r="9">
      <x:c r="A9" s="85" t="n">
        <x:v>8</x:v>
      </x:c>
      <x:c r="B9" s="86" t="str">
        <x:v>Analista Financeiro</x:v>
      </x:c>
      <x:c r="C9" s="86" t="str">
        <x:v>Analista</x:v>
      </x:c>
      <x:c r="D9" s="91" t="n">
        <x:v>4300</x:v>
      </x:c>
      <x:c r="E9" s="93" t="n">
        <x:v>7600</x:v>
      </x:c>
    </x:row>
    <x:row r="10">
      <x:c r="A10" s="85" t="n">
        <x:v>9</x:v>
      </x:c>
      <x:c r="B10" s="86" t="str">
        <x:v>Executivo de Vendas</x:v>
      </x:c>
      <x:c r="C10" s="86" t="str">
        <x:v>Especialista</x:v>
      </x:c>
      <x:c r="D10" s="91" t="n">
        <x:v>5200</x:v>
      </x:c>
      <x:c r="E10" s="93" t="n">
        <x:v>9500</x:v>
      </x:c>
    </x:row>
    <x:row r="11">
      <x:c r="A11" s="85" t="n">
        <x:v>10</x:v>
      </x:c>
      <x:c r="B11" s="86" t="str">
        <x:v>Comprador</x:v>
      </x:c>
      <x:c r="C11" s="86" t="str">
        <x:v>Analista</x:v>
      </x:c>
      <x:c r="D11" s="91" t="n">
        <x:v>4500</x:v>
      </x:c>
      <x:c r="E11" s="93" t="n">
        <x:v>7800</x:v>
      </x:c>
    </x:row>
    <x:row r="12">
      <x:c r="A12" s="85" t="n">
        <x:v>11</x:v>
      </x:c>
      <x:c r="B12" s="86" t="str">
        <x:v>Supervisor de Produção</x:v>
      </x:c>
      <x:c r="C12" s="86" t="str">
        <x:v>Liderança</x:v>
      </x:c>
      <x:c r="D12" s="91" t="n">
        <x:v>6500</x:v>
      </x:c>
      <x:c r="E12" s="93" t="n">
        <x:v>9800</x:v>
      </x:c>
    </x:row>
    <x:row r="13">
      <x:c r="A13" s="85" t="n">
        <x:v>12</x:v>
      </x:c>
      <x:c r="B13" s="86" t="str">
        <x:v>Coordenador de Manutenção</x:v>
      </x:c>
      <x:c r="C13" s="86" t="str">
        <x:v>Liderança</x:v>
      </x:c>
      <x:c r="D13" s="91" t="n">
        <x:v>7500</x:v>
      </x:c>
      <x:c r="E13" s="93" t="n">
        <x:v>11500</x:v>
      </x:c>
    </x:row>
    <x:row r="14">
      <x:c r="A14" s="85" t="n">
        <x:v>13</x:v>
      </x:c>
      <x:c r="B14" s="86" t="str">
        <x:v>Coordenador de Qualidade</x:v>
      </x:c>
      <x:c r="C14" s="86" t="str">
        <x:v>Liderança</x:v>
      </x:c>
      <x:c r="D14" s="91" t="n">
        <x:v>7400</x:v>
      </x:c>
      <x:c r="E14" s="93" t="n">
        <x:v>11200</x:v>
      </x:c>
    </x:row>
    <x:row r="15">
      <x:c r="A15" s="85" t="n">
        <x:v>14</x:v>
      </x:c>
      <x:c r="B15" s="86" t="str">
        <x:v>Coordenador de Logística</x:v>
      </x:c>
      <x:c r="C15" s="86" t="str">
        <x:v>Liderança</x:v>
      </x:c>
      <x:c r="D15" s="91" t="n">
        <x:v>7600</x:v>
      </x:c>
      <x:c r="E15" s="93" t="n">
        <x:v>11800</x:v>
      </x:c>
    </x:row>
    <x:row r="16">
      <x:c r="A16" s="85" t="n">
        <x:v>15</x:v>
      </x:c>
      <x:c r="B16" s="86" t="str">
        <x:v>Gerente de Engenharia</x:v>
      </x:c>
      <x:c r="C16" s="86" t="str">
        <x:v>Gestão</x:v>
      </x:c>
      <x:c r="D16" s="91" t="n">
        <x:v>12000</x:v>
      </x:c>
      <x:c r="E16" s="93" t="n">
        <x:v>18500</x:v>
      </x:c>
    </x:row>
    <x:row r="17">
      <x:c r="A17" s="85" t="n">
        <x:v>16</x:v>
      </x:c>
      <x:c r="B17" s="86" t="str">
        <x:v>Gerente de TI</x:v>
      </x:c>
      <x:c r="C17" s="86" t="str">
        <x:v>Gestão</x:v>
      </x:c>
      <x:c r="D17" s="91" t="n">
        <x:v>12500</x:v>
      </x:c>
      <x:c r="E17" s="93" t="n">
        <x:v>19500</x:v>
      </x:c>
    </x:row>
    <x:row r="18">
      <x:c r="A18" s="85" t="n">
        <x:v>17</x:v>
      </x:c>
      <x:c r="B18" s="86" t="str">
        <x:v>Gerente de RH</x:v>
      </x:c>
      <x:c r="C18" s="86" t="str">
        <x:v>Gestão</x:v>
      </x:c>
      <x:c r="D18" s="91" t="n">
        <x:v>11800</x:v>
      </x:c>
      <x:c r="E18" s="93" t="n">
        <x:v>18000</x:v>
      </x:c>
    </x:row>
    <x:row r="19">
      <x:c r="A19" s="85" t="n">
        <x:v>18</x:v>
      </x:c>
      <x:c r="B19" s="86" t="str">
        <x:v>Gerente Financeiro</x:v>
      </x:c>
      <x:c r="C19" s="86" t="str">
        <x:v>Gestão</x:v>
      </x:c>
      <x:c r="D19" s="91" t="n">
        <x:v>12500</x:v>
      </x:c>
      <x:c r="E19" s="93" t="n">
        <x:v>19000</x:v>
      </x:c>
    </x:row>
    <x:row r="20">
      <x:c r="A20" s="85" t="n">
        <x:v>19</x:v>
      </x:c>
      <x:c r="B20" s="86" t="str">
        <x:v>Gerente Comercial</x:v>
      </x:c>
      <x:c r="C20" s="86" t="str">
        <x:v>Gestão</x:v>
      </x:c>
      <x:c r="D20" s="91" t="n">
        <x:v>13500</x:v>
      </x:c>
      <x:c r="E20" s="93" t="n">
        <x:v>22000</x:v>
      </x:c>
    </x:row>
    <x:row r="21">
      <x:c r="A21" s="88" t="n">
        <x:v>20</x:v>
      </x:c>
      <x:c r="B21" s="89" t="str">
        <x:v>Assistente Administrativo</x:v>
      </x:c>
      <x:c r="C21" s="89" t="str">
        <x:v>Assistente</x:v>
      </x:c>
      <x:c r="D21" s="92" t="n">
        <x:v>2500</x:v>
      </x:c>
      <x:c r="E21" s="94" t="n">
        <x:v>3900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.78000020980835" hidden="0" customWidth="1"/>
    <x:col min="3" max="3" width="28" hidden="0" customWidth="1"/>
    <x:col min="4" max="4" width="9.109999656677246" hidden="0" customWidth="1"/>
    <x:col min="5" max="5" width="6.889999866485596" hidden="0" customWidth="1"/>
    <x:col min="6" max="6" width="7.329999923706055" hidden="0" customWidth="1"/>
    <x:col min="7" max="7" width="12.220000267028809" hidden="0" customWidth="1"/>
    <x:col min="8" max="8" width="15.220000267028809" hidden="0" customWidth="1"/>
    <x:col min="9" max="9" width="10.890000343322754" hidden="0" customWidth="1"/>
    <x:col min="10" max="10" width="16.889999389648438" hidden="0" customWidth="1"/>
    <x:col min="11" max="11" width="10.329999923706055" hidden="0" customWidth="1"/>
    <x:col min="12" max="12" width="15.670000076293945" hidden="0" customWidth="1"/>
    <x:col min="13" max="13" width="7.78000020980835" hidden="0" customWidth="1"/>
  </x:cols>
  <x:sheetData>
    <x:row r="1">
      <x:c r="A1" s="82" t="str">
        <x:v>id_colaborador</x:v>
      </x:c>
      <x:c r="B1" s="83" t="str">
        <x:v>matricula</x:v>
      </x:c>
      <x:c r="C1" s="83" t="str">
        <x:v>nome_ficticio</x:v>
      </x:c>
      <x:c r="D1" s="83" t="str">
        <x:v>id_unidade</x:v>
      </x:c>
      <x:c r="E1" s="83" t="str">
        <x:v>id_setor</x:v>
      </x:c>
      <x:c r="F1" s="83" t="str">
        <x:v>id_cargo</x:v>
      </x:c>
      <x:c r="G1" s="83" t="str">
        <x:v>data_admissao</x:v>
      </x:c>
      <x:c r="H1" s="83" t="str">
        <x:v>data_desligamento</x:v>
      </x:c>
      <x:c r="I1" s="83" t="str">
        <x:v>tipo_contrato</x:v>
      </x:c>
      <x:c r="J1" s="83" t="str">
        <x:v>modalidade_trabalho</x:v>
      </x:c>
      <x:c r="K1" s="83" t="str">
        <x:v>salario_base</x:v>
      </x:c>
      <x:c r="L1" s="83" t="str">
        <x:v>status_colaborador</x:v>
      </x:c>
      <x:c r="M1" s="84" t="str">
        <x:v>id_gestor</x:v>
      </x:c>
    </x:row>
    <x:row r="2">
      <x:c r="A2" s="85" t="n">
        <x:v>1</x:v>
      </x:c>
      <x:c r="B2" s="86" t="str">
        <x:v>F00001</x:v>
      </x:c>
      <x:c r="C2" s="86" t="str">
        <x:v>Renata Silva Oliveira</x:v>
      </x:c>
      <x:c r="D2" s="86" t="n">
        <x:v>2</x:v>
      </x:c>
      <x:c r="E2" s="86" t="n">
        <x:v>2</x:v>
      </x:c>
      <x:c r="F2" s="86" t="n">
        <x:v>2</x:v>
      </x:c>
      <x:c r="G2" s="95" t="n">
        <x:v>45297</x:v>
      </x:c>
      <x:c r="H2" s="95"/>
      <x:c r="I2" s="86" t="str">
        <x:v>CLT</x:v>
      </x:c>
      <x:c r="J2" s="86" t="str">
        <x:v>Presencial</x:v>
      </x:c>
      <x:c r="K2" s="91" t="n">
        <x:v>4822.39</x:v>
      </x:c>
      <x:c r="L2" s="86" t="str">
        <x:v>Ativo</x:v>
      </x:c>
      <x:c r="M2" s="87" t="n">
        <x:v>111</x:v>
      </x:c>
    </x:row>
    <x:row r="3">
      <x:c r="A3" s="85" t="n">
        <x:v>2</x:v>
      </x:c>
      <x:c r="B3" s="86" t="str">
        <x:v>F00002</x:v>
      </x:c>
      <x:c r="C3" s="86" t="str">
        <x:v>Ana Ferreira Barbosa</x:v>
      </x:c>
      <x:c r="D3" s="86" t="n">
        <x:v>2</x:v>
      </x:c>
      <x:c r="E3" s="86" t="n">
        <x:v>3</x:v>
      </x:c>
      <x:c r="F3" s="86" t="n">
        <x:v>3</x:v>
      </x:c>
      <x:c r="G3" s="95" t="n">
        <x:v>45191</x:v>
      </x:c>
      <x:c r="H3" s="95"/>
      <x:c r="I3" s="86" t="str">
        <x:v>Estágio</x:v>
      </x:c>
      <x:c r="J3" s="86" t="str">
        <x:v>Presencial</x:v>
      </x:c>
      <x:c r="K3" s="91" t="n">
        <x:v>3282.16</x:v>
      </x:c>
      <x:c r="L3" s="86" t="str">
        <x:v>Ativo</x:v>
      </x:c>
      <x:c r="M3" s="87" t="n">
        <x:v>177</x:v>
      </x:c>
    </x:row>
    <x:row r="4">
      <x:c r="A4" s="85" t="n">
        <x:v>3</x:v>
      </x:c>
      <x:c r="B4" s="86" t="str">
        <x:v>F00003</x:v>
      </x:c>
      <x:c r="C4" s="86" t="str">
        <x:v>Diego Oliveira Nascimento</x:v>
      </x:c>
      <x:c r="D4" s="86" t="n">
        <x:v>3</x:v>
      </x:c>
      <x:c r="E4" s="86" t="n">
        <x:v>1</x:v>
      </x:c>
      <x:c r="F4" s="86" t="n">
        <x:v>1</x:v>
      </x:c>
      <x:c r="G4" s="95" t="n">
        <x:v>45379</x:v>
      </x:c>
      <x:c r="H4" s="95"/>
      <x:c r="I4" s="86" t="str">
        <x:v>CLT</x:v>
      </x:c>
      <x:c r="J4" s="86" t="str">
        <x:v>Presencial</x:v>
      </x:c>
      <x:c r="K4" s="91" t="n">
        <x:v>3276.74</x:v>
      </x:c>
      <x:c r="L4" s="86" t="str">
        <x:v>Ativo</x:v>
      </x:c>
      <x:c r="M4" s="87" t="n">
        <x:v>10</x:v>
      </x:c>
    </x:row>
    <x:row r="5">
      <x:c r="A5" s="85" t="n">
        <x:v>4</x:v>
      </x:c>
      <x:c r="B5" s="86" t="str">
        <x:v>F00004</x:v>
      </x:c>
      <x:c r="C5" s="86" t="str">
        <x:v>Daniela Almeida Martins</x:v>
      </x:c>
      <x:c r="D5" s="86" t="n">
        <x:v>2</x:v>
      </x:c>
      <x:c r="E5" s="86" t="n">
        <x:v>3</x:v>
      </x:c>
      <x:c r="F5" s="86" t="n">
        <x:v>3</x:v>
      </x:c>
      <x:c r="G5" s="95" t="n">
        <x:v>45850</x:v>
      </x:c>
      <x:c r="H5" s="95"/>
      <x:c r="I5" s="86" t="str">
        <x:v>CLT</x:v>
      </x:c>
      <x:c r="J5" s="86" t="str">
        <x:v>Presencial</x:v>
      </x:c>
      <x:c r="K5" s="91" t="n">
        <x:v>4626.86</x:v>
      </x:c>
      <x:c r="L5" s="86" t="str">
        <x:v>Ativo</x:v>
      </x:c>
      <x:c r="M5" s="87" t="n">
        <x:v>177</x:v>
      </x:c>
    </x:row>
    <x:row r="6">
      <x:c r="A6" s="85" t="n">
        <x:v>5</x:v>
      </x:c>
      <x:c r="B6" s="86" t="str">
        <x:v>F00005</x:v>
      </x:c>
      <x:c r="C6" s="86" t="str">
        <x:v>Isabela Gomes Nascimento</x:v>
      </x:c>
      <x:c r="D6" s="86" t="n">
        <x:v>4</x:v>
      </x:c>
      <x:c r="E6" s="86" t="n">
        <x:v>7</x:v>
      </x:c>
      <x:c r="F6" s="86" t="n">
        <x:v>17</x:v>
      </x:c>
      <x:c r="G6" s="95" t="n">
        <x:v>45729</x:v>
      </x:c>
      <x:c r="H6" s="95"/>
      <x:c r="I6" s="86" t="str">
        <x:v>CLT</x:v>
      </x:c>
      <x:c r="J6" s="86" t="str">
        <x:v>Presencial</x:v>
      </x:c>
      <x:c r="K6" s="91" t="n">
        <x:v>13478.81</x:v>
      </x:c>
      <x:c r="L6" s="86" t="str">
        <x:v>Ativo</x:v>
      </x:c>
      <x:c r="M6" s="87" t="n">
        <x:v>156</x:v>
      </x:c>
    </x:row>
    <x:row r="7">
      <x:c r="A7" s="85" t="n">
        <x:v>6</x:v>
      </x:c>
      <x:c r="B7" s="86" t="str">
        <x:v>F00006</x:v>
      </x:c>
      <x:c r="C7" s="86" t="str">
        <x:v>Igor Teixeira Moreira</x:v>
      </x:c>
      <x:c r="D7" s="86" t="n">
        <x:v>3</x:v>
      </x:c>
      <x:c r="E7" s="86" t="n">
        <x:v>3</x:v>
      </x:c>
      <x:c r="F7" s="86" t="n">
        <x:v>3</x:v>
      </x:c>
      <x:c r="G7" s="95" t="n">
        <x:v>45573</x:v>
      </x:c>
      <x:c r="H7" s="95"/>
      <x:c r="I7" s="86" t="str">
        <x:v>CLT</x:v>
      </x:c>
      <x:c r="J7" s="86" t="str">
        <x:v>Híbrido</x:v>
      </x:c>
      <x:c r="K7" s="91" t="n">
        <x:v>3657.47</x:v>
      </x:c>
      <x:c r="L7" s="86" t="str">
        <x:v>Ativo</x:v>
      </x:c>
      <x:c r="M7" s="87" t="n">
        <x:v>26</x:v>
      </x:c>
    </x:row>
    <x:row r="8">
      <x:c r="A8" s="85" t="n">
        <x:v>7</x:v>
      </x:c>
      <x:c r="B8" s="86" t="str">
        <x:v>F00007</x:v>
      </x:c>
      <x:c r="C8" s="86" t="str">
        <x:v>Patrícia Mendes Pereira</x:v>
      </x:c>
      <x:c r="D8" s="86" t="n">
        <x:v>3</x:v>
      </x:c>
      <x:c r="E8" s="86" t="n">
        <x:v>1</x:v>
      </x:c>
      <x:c r="F8" s="86" t="n">
        <x:v>1</x:v>
      </x:c>
      <x:c r="G8" s="95" t="n">
        <x:v>44973</x:v>
      </x:c>
      <x:c r="H8" s="95"/>
      <x:c r="I8" s="86" t="str">
        <x:v>CLT</x:v>
      </x:c>
      <x:c r="J8" s="86" t="str">
        <x:v>Presencial</x:v>
      </x:c>
      <x:c r="K8" s="91" t="n">
        <x:v>2650.14</x:v>
      </x:c>
      <x:c r="L8" s="86" t="str">
        <x:v>Ativo</x:v>
      </x:c>
      <x:c r="M8" s="87" t="n">
        <x:v>98</x:v>
      </x:c>
    </x:row>
    <x:row r="9">
      <x:c r="A9" s="85" t="n">
        <x:v>8</x:v>
      </x:c>
      <x:c r="B9" s="86" t="str">
        <x:v>F00008</x:v>
      </x:c>
      <x:c r="C9" s="86" t="str">
        <x:v>Bruno Martins Rodrigues</x:v>
      </x:c>
      <x:c r="D9" s="86" t="n">
        <x:v>1</x:v>
      </x:c>
      <x:c r="E9" s="86" t="n">
        <x:v>2</x:v>
      </x:c>
      <x:c r="F9" s="86" t="n">
        <x:v>12</x:v>
      </x:c>
      <x:c r="G9" s="95" t="n">
        <x:v>45852</x:v>
      </x:c>
      <x:c r="H9" s="95"/>
      <x:c r="I9" s="86" t="str">
        <x:v>CLT</x:v>
      </x:c>
      <x:c r="J9" s="86" t="str">
        <x:v>Híbrido</x:v>
      </x:c>
      <x:c r="K9" s="91" t="n">
        <x:v>11314.41</x:v>
      </x:c>
      <x:c r="L9" s="86" t="str">
        <x:v>Ativo</x:v>
      </x:c>
      <x:c r="M9" s="87" t="n">
        <x:v>111</x:v>
      </x:c>
    </x:row>
    <x:row r="10">
      <x:c r="A10" s="85" t="n">
        <x:v>9</x:v>
      </x:c>
      <x:c r="B10" s="86" t="str">
        <x:v>F00009</x:v>
      </x:c>
      <x:c r="C10" s="86" t="str">
        <x:v>Isabela Gomes Teixeira</x:v>
      </x:c>
      <x:c r="D10" s="86" t="n">
        <x:v>2</x:v>
      </x:c>
      <x:c r="E10" s="86" t="n">
        <x:v>5</x:v>
      </x:c>
      <x:c r="F10" s="86" t="n">
        <x:v>5</x:v>
      </x:c>
      <x:c r="G10" s="95" t="n">
        <x:v>45256</x:v>
      </x:c>
      <x:c r="H10" s="95"/>
      <x:c r="I10" s="86" t="str">
        <x:v>CLT</x:v>
      </x:c>
      <x:c r="J10" s="86" t="str">
        <x:v>Presencial</x:v>
      </x:c>
      <x:c r="K10" s="91" t="n">
        <x:v>6514.86</x:v>
      </x:c>
      <x:c r="L10" s="86" t="str">
        <x:v>Ativo</x:v>
      </x:c>
      <x:c r="M10" s="87" t="n">
        <x:v>326</x:v>
      </x:c>
    </x:row>
    <x:row r="11">
      <x:c r="A11" s="85" t="n">
        <x:v>10</x:v>
      </x:c>
      <x:c r="B11" s="86" t="str">
        <x:v>F00010</x:v>
      </x:c>
      <x:c r="C11" s="86" t="str">
        <x:v>Beatriz Mendes Barbosa</x:v>
      </x:c>
      <x:c r="D11" s="86" t="n">
        <x:v>2</x:v>
      </x:c>
      <x:c r="E11" s="86" t="n">
        <x:v>1</x:v>
      </x:c>
      <x:c r="F11" s="86" t="n">
        <x:v>11</x:v>
      </x:c>
      <x:c r="G11" s="95" t="n">
        <x:v>45261</x:v>
      </x:c>
      <x:c r="H11" s="95"/>
      <x:c r="I11" s="86" t="str">
        <x:v>CLT</x:v>
      </x:c>
      <x:c r="J11" s="86" t="str">
        <x:v>Híbrido</x:v>
      </x:c>
      <x:c r="K11" s="91" t="n">
        <x:v>7000.39</x:v>
      </x:c>
      <x:c r="L11" s="86" t="str">
        <x:v>Ativo</x:v>
      </x:c>
      <x:c r="M11" s="87" t="n">
        <x:v>185</x:v>
      </x:c>
    </x:row>
    <x:row r="12">
      <x:c r="A12" s="85" t="n">
        <x:v>11</x:v>
      </x:c>
      <x:c r="B12" s="86" t="str">
        <x:v>F00011</x:v>
      </x:c>
      <x:c r="C12" s="86" t="str">
        <x:v>Thiago Nascimento Lima</x:v>
      </x:c>
      <x:c r="D12" s="86" t="n">
        <x:v>4</x:v>
      </x:c>
      <x:c r="E12" s="86" t="n">
        <x:v>9</x:v>
      </x:c>
      <x:c r="F12" s="86" t="n">
        <x:v>9</x:v>
      </x:c>
      <x:c r="G12" s="95" t="n">
        <x:v>45654</x:v>
      </x:c>
      <x:c r="H12" s="95" t="n">
        <x:v>45828</x:v>
      </x:c>
      <x:c r="I12" s="86" t="str">
        <x:v>CLT</x:v>
      </x:c>
      <x:c r="J12" s="86" t="str">
        <x:v>Presencial</x:v>
      </x:c>
      <x:c r="K12" s="91" t="n">
        <x:v>7982.03</x:v>
      </x:c>
      <x:c r="L12" s="86" t="str">
        <x:v>Desligado</x:v>
      </x:c>
      <x:c r="M12" s="87" t="n">
        <x:v>354</x:v>
      </x:c>
    </x:row>
    <x:row r="13">
      <x:c r="A13" s="85" t="n">
        <x:v>12</x:v>
      </x:c>
      <x:c r="B13" s="86" t="str">
        <x:v>F00012</x:v>
      </x:c>
      <x:c r="C13" s="86" t="str">
        <x:v>Diego Silva Gomes</x:v>
      </x:c>
      <x:c r="D13" s="86" t="n">
        <x:v>3</x:v>
      </x:c>
      <x:c r="E13" s="86" t="n">
        <x:v>1</x:v>
      </x:c>
      <x:c r="F13" s="86" t="n">
        <x:v>1</x:v>
      </x:c>
      <x:c r="G13" s="95" t="n">
        <x:v>45572</x:v>
      </x:c>
      <x:c r="H13" s="95"/>
      <x:c r="I13" s="86" t="str">
        <x:v>CLT</x:v>
      </x:c>
      <x:c r="J13" s="86" t="str">
        <x:v>Presencial</x:v>
      </x:c>
      <x:c r="K13" s="91" t="n">
        <x:v>2461.76</x:v>
      </x:c>
      <x:c r="L13" s="86" t="str">
        <x:v>Ativo</x:v>
      </x:c>
      <x:c r="M13" s="87" t="n">
        <x:v>10</x:v>
      </x:c>
    </x:row>
    <x:row r="14">
      <x:c r="A14" s="85" t="n">
        <x:v>13</x:v>
      </x:c>
      <x:c r="B14" s="86" t="str">
        <x:v>F00013</x:v>
      </x:c>
      <x:c r="C14" s="86" t="str">
        <x:v>Eduarda Almeida Nascimento</x:v>
      </x:c>
      <x:c r="D14" s="86" t="n">
        <x:v>4</x:v>
      </x:c>
      <x:c r="E14" s="86" t="n">
        <x:v>9</x:v>
      </x:c>
      <x:c r="F14" s="86" t="n">
        <x:v>19</x:v>
      </x:c>
      <x:c r="G14" s="95" t="n">
        <x:v>45767</x:v>
      </x:c>
      <x:c r="H14" s="95"/>
      <x:c r="I14" s="86" t="str">
        <x:v>CLT</x:v>
      </x:c>
      <x:c r="J14" s="86" t="str">
        <x:v>Híbrido</x:v>
      </x:c>
      <x:c r="K14" s="91" t="n">
        <x:v>19281.99</x:v>
      </x:c>
      <x:c r="L14" s="86" t="str">
        <x:v>Ativo</x:v>
      </x:c>
      <x:c r="M14" s="87" t="n">
        <x:v>354</x:v>
      </x:c>
    </x:row>
    <x:row r="15">
      <x:c r="A15" s="85" t="n">
        <x:v>14</x:v>
      </x:c>
      <x:c r="B15" s="86" t="str">
        <x:v>F00014</x:v>
      </x:c>
      <x:c r="C15" s="86" t="str">
        <x:v>Rafael Moreira Rocha</x:v>
      </x:c>
      <x:c r="D15" s="86" t="n">
        <x:v>2</x:v>
      </x:c>
      <x:c r="E15" s="86" t="n">
        <x:v>3</x:v>
      </x:c>
      <x:c r="F15" s="86" t="n">
        <x:v>3</x:v>
      </x:c>
      <x:c r="G15" s="95" t="n">
        <x:v>45665</x:v>
      </x:c>
      <x:c r="H15" s="95"/>
      <x:c r="I15" s="86" t="str">
        <x:v>CLT</x:v>
      </x:c>
      <x:c r="J15" s="86" t="str">
        <x:v>Presencial</x:v>
      </x:c>
      <x:c r="K15" s="91" t="n">
        <x:v>3346.52</x:v>
      </x:c>
      <x:c r="L15" s="86" t="str">
        <x:v>Ativo</x:v>
      </x:c>
      <x:c r="M15" s="87" t="n">
        <x:v>26</x:v>
      </x:c>
    </x:row>
    <x:row r="16">
      <x:c r="A16" s="85" t="n">
        <x:v>15</x:v>
      </x:c>
      <x:c r="B16" s="86" t="str">
        <x:v>F00015</x:v>
      </x:c>
      <x:c r="C16" s="86" t="str">
        <x:v>Marcelo Rodrigues Teixeira</x:v>
      </x:c>
      <x:c r="D16" s="86" t="n">
        <x:v>3</x:v>
      </x:c>
      <x:c r="E16" s="86" t="n">
        <x:v>2</x:v>
      </x:c>
      <x:c r="F16" s="86" t="n">
        <x:v>12</x:v>
      </x:c>
      <x:c r="G16" s="95" t="n">
        <x:v>45154</x:v>
      </x:c>
      <x:c r="H16" s="95" t="n">
        <x:v>45732</x:v>
      </x:c>
      <x:c r="I16" s="86" t="str">
        <x:v>Estágio</x:v>
      </x:c>
      <x:c r="J16" s="86" t="str">
        <x:v>Presencial</x:v>
      </x:c>
      <x:c r="K16" s="91" t="n">
        <x:v>9953.42</x:v>
      </x:c>
      <x:c r="L16" s="86" t="str">
        <x:v>Desligado</x:v>
      </x:c>
      <x:c r="M16" s="87" t="n">
        <x:v>8</x:v>
      </x:c>
    </x:row>
    <x:row r="17">
      <x:c r="A17" s="85" t="n">
        <x:v>16</x:v>
      </x:c>
      <x:c r="B17" s="86" t="str">
        <x:v>F00016</x:v>
      </x:c>
      <x:c r="C17" s="86" t="str">
        <x:v>Rafael Almeida Souza</x:v>
      </x:c>
      <x:c r="D17" s="86" t="n">
        <x:v>2</x:v>
      </x:c>
      <x:c r="E17" s="86" t="n">
        <x:v>5</x:v>
      </x:c>
      <x:c r="F17" s="86" t="n">
        <x:v>5</x:v>
      </x:c>
      <x:c r="G17" s="95" t="n">
        <x:v>44977</x:v>
      </x:c>
      <x:c r="H17" s="95"/>
      <x:c r="I17" s="86" t="str">
        <x:v>Temporário</x:v>
      </x:c>
      <x:c r="J17" s="86" t="str">
        <x:v>Presencial</x:v>
      </x:c>
      <x:c r="K17" s="91" t="n">
        <x:v>9094.89</x:v>
      </x:c>
      <x:c r="L17" s="86" t="str">
        <x:v>Ativo</x:v>
      </x:c>
      <x:c r="M17" s="87" t="n">
        <x:v>94</x:v>
      </x:c>
    </x:row>
    <x:row r="18">
      <x:c r="A18" s="85" t="n">
        <x:v>17</x:v>
      </x:c>
      <x:c r="B18" s="86" t="str">
        <x:v>F00017</x:v>
      </x:c>
      <x:c r="C18" s="86" t="str">
        <x:v>Beatriz Souza Lima</x:v>
      </x:c>
      <x:c r="D18" s="86" t="n">
        <x:v>4</x:v>
      </x:c>
      <x:c r="E18" s="86" t="n">
        <x:v>8</x:v>
      </x:c>
      <x:c r="F18" s="86" t="n">
        <x:v>8</x:v>
      </x:c>
      <x:c r="G18" s="95" t="n">
        <x:v>45637</x:v>
      </x:c>
      <x:c r="H18" s="95"/>
      <x:c r="I18" s="86" t="str">
        <x:v>CLT</x:v>
      </x:c>
      <x:c r="J18" s="86" t="str">
        <x:v>Presencial</x:v>
      </x:c>
      <x:c r="K18" s="91" t="n">
        <x:v>7545.66</x:v>
      </x:c>
      <x:c r="L18" s="86" t="str">
        <x:v>Ativo</x:v>
      </x:c>
      <x:c r="M18" s="87" t="n">
        <x:v>86</x:v>
      </x:c>
    </x:row>
    <x:row r="19">
      <x:c r="A19" s="85" t="n">
        <x:v>18</x:v>
      </x:c>
      <x:c r="B19" s="86" t="str">
        <x:v>F00018</x:v>
      </x:c>
      <x:c r="C19" s="86" t="str">
        <x:v>Natália Lima Almeida</x:v>
      </x:c>
      <x:c r="D19" s="86" t="n">
        <x:v>2</x:v>
      </x:c>
      <x:c r="E19" s="86" t="n">
        <x:v>1</x:v>
      </x:c>
      <x:c r="F19" s="86" t="n">
        <x:v>1</x:v>
      </x:c>
      <x:c r="G19" s="95" t="n">
        <x:v>45736</x:v>
      </x:c>
      <x:c r="H19" s="95"/>
      <x:c r="I19" s="86" t="str">
        <x:v>Estágio</x:v>
      </x:c>
      <x:c r="J19" s="86" t="str">
        <x:v>Presencial</x:v>
      </x:c>
      <x:c r="K19" s="91" t="n">
        <x:v>2732.31</x:v>
      </x:c>
      <x:c r="L19" s="86" t="str">
        <x:v>Ativo</x:v>
      </x:c>
      <x:c r="M19" s="87" t="n">
        <x:v>202</x:v>
      </x:c>
    </x:row>
    <x:row r="20">
      <x:c r="A20" s="85" t="n">
        <x:v>19</x:v>
      </x:c>
      <x:c r="B20" s="86" t="str">
        <x:v>F00019</x:v>
      </x:c>
      <x:c r="C20" s="86" t="str">
        <x:v>Marcelo Rodrigues Moreira</x:v>
      </x:c>
      <x:c r="D20" s="86" t="n">
        <x:v>4</x:v>
      </x:c>
      <x:c r="E20" s="86" t="n">
        <x:v>7</x:v>
      </x:c>
      <x:c r="F20" s="86" t="n">
        <x:v>7</x:v>
      </x:c>
      <x:c r="G20" s="95" t="n">
        <x:v>45402</x:v>
      </x:c>
      <x:c r="H20" s="95" t="n">
        <x:v>45930</x:v>
      </x:c>
      <x:c r="I20" s="86" t="str">
        <x:v>CLT</x:v>
      </x:c>
      <x:c r="J20" s="86" t="str">
        <x:v>Presencial</x:v>
      </x:c>
      <x:c r="K20" s="91" t="n">
        <x:v>6385.16</x:v>
      </x:c>
      <x:c r="L20" s="86" t="str">
        <x:v>Desligado</x:v>
      </x:c>
      <x:c r="M20" s="87" t="n">
        <x:v>147</x:v>
      </x:c>
    </x:row>
    <x:row r="21">
      <x:c r="A21" s="85" t="n">
        <x:v>20</x:v>
      </x:c>
      <x:c r="B21" s="86" t="str">
        <x:v>F00020</x:v>
      </x:c>
      <x:c r="C21" s="86" t="str">
        <x:v>Ana Ribeiro Moreira</x:v>
      </x:c>
      <x:c r="D21" s="86" t="n">
        <x:v>3</x:v>
      </x:c>
      <x:c r="E21" s="86" t="n">
        <x:v>4</x:v>
      </x:c>
      <x:c r="F21" s="86" t="n">
        <x:v>14</x:v>
      </x:c>
      <x:c r="G21" s="95" t="n">
        <x:v>45320</x:v>
      </x:c>
      <x:c r="H21" s="95"/>
      <x:c r="I21" s="86" t="str">
        <x:v>CLT</x:v>
      </x:c>
      <x:c r="J21" s="86" t="str">
        <x:v>Presencial</x:v>
      </x:c>
      <x:c r="K21" s="91" t="n">
        <x:v>8422.91</x:v>
      </x:c>
      <x:c r="L21" s="86" t="str">
        <x:v>Ativo</x:v>
      </x:c>
      <x:c r="M21" s="87" t="n">
        <x:v>61</x:v>
      </x:c>
    </x:row>
    <x:row r="22">
      <x:c r="A22" s="85" t="n">
        <x:v>21</x:v>
      </x:c>
      <x:c r="B22" s="86" t="str">
        <x:v>F00021</x:v>
      </x:c>
      <x:c r="C22" s="86" t="str">
        <x:v>Henrique Barbosa Lima</x:v>
      </x:c>
      <x:c r="D22" s="86" t="n">
        <x:v>2</x:v>
      </x:c>
      <x:c r="E22" s="86" t="n">
        <x:v>3</x:v>
      </x:c>
      <x:c r="F22" s="86" t="n">
        <x:v>3</x:v>
      </x:c>
      <x:c r="G22" s="95" t="n">
        <x:v>45470</x:v>
      </x:c>
      <x:c r="H22" s="95"/>
      <x:c r="I22" s="86" t="str">
        <x:v>CLT</x:v>
      </x:c>
      <x:c r="J22" s="86" t="str">
        <x:v>Híbrido</x:v>
      </x:c>
      <x:c r="K22" s="91" t="n">
        <x:v>3553.87</x:v>
      </x:c>
      <x:c r="L22" s="86" t="str">
        <x:v>Ativo</x:v>
      </x:c>
      <x:c r="M22" s="87" t="n">
        <x:v>26</x:v>
      </x:c>
    </x:row>
    <x:row r="23">
      <x:c r="A23" s="85" t="n">
        <x:v>22</x:v>
      </x:c>
      <x:c r="B23" s="86" t="str">
        <x:v>F00022</x:v>
      </x:c>
      <x:c r="C23" s="86" t="str">
        <x:v>Larissa Rodrigues Almeida</x:v>
      </x:c>
      <x:c r="D23" s="86" t="n">
        <x:v>4</x:v>
      </x:c>
      <x:c r="E23" s="86" t="n">
        <x:v>9</x:v>
      </x:c>
      <x:c r="F23" s="86" t="n">
        <x:v>9</x:v>
      </x:c>
      <x:c r="G23" s="95" t="n">
        <x:v>45324</x:v>
      </x:c>
      <x:c r="H23" s="95"/>
      <x:c r="I23" s="86" t="str">
        <x:v>CLT</x:v>
      </x:c>
      <x:c r="J23" s="86" t="str">
        <x:v>Presencial</x:v>
      </x:c>
      <x:c r="K23" s="91" t="n">
        <x:v>9098.51</x:v>
      </x:c>
      <x:c r="L23" s="86" t="str">
        <x:v>Ativo</x:v>
      </x:c>
      <x:c r="M23" s="87" t="n">
        <x:v>342</x:v>
      </x:c>
    </x:row>
    <x:row r="24">
      <x:c r="A24" s="85" t="n">
        <x:v>23</x:v>
      </x:c>
      <x:c r="B24" s="86" t="str">
        <x:v>F00023</x:v>
      </x:c>
      <x:c r="C24" s="86" t="str">
        <x:v>João Ferreira Martins</x:v>
      </x:c>
      <x:c r="D24" s="86" t="n">
        <x:v>3</x:v>
      </x:c>
      <x:c r="E24" s="86" t="n">
        <x:v>5</x:v>
      </x:c>
      <x:c r="F24" s="86" t="n">
        <x:v>5</x:v>
      </x:c>
      <x:c r="G24" s="95" t="n">
        <x:v>45410</x:v>
      </x:c>
      <x:c r="H24" s="95"/>
      <x:c r="I24" s="86" t="str">
        <x:v>CLT</x:v>
      </x:c>
      <x:c r="J24" s="86" t="str">
        <x:v>Presencial</x:v>
      </x:c>
      <x:c r="K24" s="91" t="n">
        <x:v>9771.33</x:v>
      </x:c>
      <x:c r="L24" s="86" t="str">
        <x:v>Ativo</x:v>
      </x:c>
      <x:c r="M24" s="87" t="n">
        <x:v>39</x:v>
      </x:c>
    </x:row>
    <x:row r="25">
      <x:c r="A25" s="85" t="n">
        <x:v>24</x:v>
      </x:c>
      <x:c r="B25" s="86" t="str">
        <x:v>F00024</x:v>
      </x:c>
      <x:c r="C25" s="86" t="str">
        <x:v>Lucas Lima Gomes</x:v>
      </x:c>
      <x:c r="D25" s="86" t="n">
        <x:v>1</x:v>
      </x:c>
      <x:c r="E25" s="86" t="n">
        <x:v>10</x:v>
      </x:c>
      <x:c r="F25" s="86" t="n">
        <x:v>20</x:v>
      </x:c>
      <x:c r="G25" s="95" t="n">
        <x:v>45289</x:v>
      </x:c>
      <x:c r="H25" s="95"/>
      <x:c r="I25" s="86" t="str">
        <x:v>CLT</x:v>
      </x:c>
      <x:c r="J25" s="86" t="str">
        <x:v>Presencial</x:v>
      </x:c>
      <x:c r="K25" s="91" t="n">
        <x:v>3469.42</x:v>
      </x:c>
      <x:c r="L25" s="86" t="str">
        <x:v>Ativo</x:v>
      </x:c>
      <x:c r="M25" s="87"/>
    </x:row>
    <x:row r="26">
      <x:c r="A26" s="85" t="n">
        <x:v>25</x:v>
      </x:c>
      <x:c r="B26" s="86" t="str">
        <x:v>F00025</x:v>
      </x:c>
      <x:c r="C26" s="86" t="str">
        <x:v>Felipe Cardoso Rocha</x:v>
      </x:c>
      <x:c r="D26" s="86" t="n">
        <x:v>4</x:v>
      </x:c>
      <x:c r="E26" s="86" t="n">
        <x:v>7</x:v>
      </x:c>
      <x:c r="F26" s="86" t="n">
        <x:v>7</x:v>
      </x:c>
      <x:c r="G26" s="95" t="n">
        <x:v>45555</x:v>
      </x:c>
      <x:c r="H26" s="95"/>
      <x:c r="I26" s="86" t="str">
        <x:v>CLT</x:v>
      </x:c>
      <x:c r="J26" s="86" t="str">
        <x:v>Presencial</x:v>
      </x:c>
      <x:c r="K26" s="91" t="n">
        <x:v>5582.98</x:v>
      </x:c>
      <x:c r="L26" s="86" t="str">
        <x:v>Ativo</x:v>
      </x:c>
      <x:c r="M26" s="87" t="n">
        <x:v>5</x:v>
      </x:c>
    </x:row>
    <x:row r="27">
      <x:c r="A27" s="85" t="n">
        <x:v>26</x:v>
      </x:c>
      <x:c r="B27" s="86" t="str">
        <x:v>F00026</x:v>
      </x:c>
      <x:c r="C27" s="86" t="str">
        <x:v>Thiago Rodrigues Ferreira</x:v>
      </x:c>
      <x:c r="D27" s="86" t="n">
        <x:v>3</x:v>
      </x:c>
      <x:c r="E27" s="86" t="n">
        <x:v>3</x:v>
      </x:c>
      <x:c r="F27" s="86" t="n">
        <x:v>13</x:v>
      </x:c>
      <x:c r="G27" s="95" t="n">
        <x:v>45442</x:v>
      </x:c>
      <x:c r="H27" s="95"/>
      <x:c r="I27" s="86" t="str">
        <x:v>CLT</x:v>
      </x:c>
      <x:c r="J27" s="86" t="str">
        <x:v>Presencial</x:v>
      </x:c>
      <x:c r="K27" s="91" t="n">
        <x:v>8488.42</x:v>
      </x:c>
      <x:c r="L27" s="86" t="str">
        <x:v>Ativo</x:v>
      </x:c>
      <x:c r="M27" s="87" t="n">
        <x:v>177</x:v>
      </x:c>
    </x:row>
    <x:row r="28">
      <x:c r="A28" s="85" t="n">
        <x:v>27</x:v>
      </x:c>
      <x:c r="B28" s="86" t="str">
        <x:v>F00027</x:v>
      </x:c>
      <x:c r="C28" s="86" t="str">
        <x:v>Felipe Pereira Santos</x:v>
      </x:c>
      <x:c r="D28" s="86" t="n">
        <x:v>2</x:v>
      </x:c>
      <x:c r="E28" s="86" t="n">
        <x:v>4</x:v>
      </x:c>
      <x:c r="F28" s="86" t="n">
        <x:v>4</x:v>
      </x:c>
      <x:c r="G28" s="95" t="n">
        <x:v>45483</x:v>
      </x:c>
      <x:c r="H28" s="95"/>
      <x:c r="I28" s="86" t="str">
        <x:v>CLT</x:v>
      </x:c>
      <x:c r="J28" s="86" t="str">
        <x:v>Presencial</x:v>
      </x:c>
      <x:c r="K28" s="91" t="n">
        <x:v>4771.82</x:v>
      </x:c>
      <x:c r="L28" s="86" t="str">
        <x:v>Ativo</x:v>
      </x:c>
      <x:c r="M28" s="87" t="n">
        <x:v>82</x:v>
      </x:c>
    </x:row>
    <x:row r="29">
      <x:c r="A29" s="85" t="n">
        <x:v>28</x:v>
      </x:c>
      <x:c r="B29" s="86" t="str">
        <x:v>F00028</x:v>
      </x:c>
      <x:c r="C29" s="86" t="str">
        <x:v>João Lima Lima</x:v>
      </x:c>
      <x:c r="D29" s="86" t="n">
        <x:v>2</x:v>
      </x:c>
      <x:c r="E29" s="86" t="n">
        <x:v>1</x:v>
      </x:c>
      <x:c r="F29" s="86" t="n">
        <x:v>1</x:v>
      </x:c>
      <x:c r="G29" s="95" t="n">
        <x:v>45490</x:v>
      </x:c>
      <x:c r="H29" s="95"/>
      <x:c r="I29" s="86" t="str">
        <x:v>CLT</x:v>
      </x:c>
      <x:c r="J29" s="86" t="str">
        <x:v>Remoto</x:v>
      </x:c>
      <x:c r="K29" s="91" t="n">
        <x:v>3018.39</x:v>
      </x:c>
      <x:c r="L29" s="86" t="str">
        <x:v>Ativo</x:v>
      </x:c>
      <x:c r="M29" s="87" t="n">
        <x:v>185</x:v>
      </x:c>
    </x:row>
    <x:row r="30">
      <x:c r="A30" s="85" t="n">
        <x:v>29</x:v>
      </x:c>
      <x:c r="B30" s="86" t="str">
        <x:v>F00029</x:v>
      </x:c>
      <x:c r="C30" s="86" t="str">
        <x:v>Fernanda Teixeira Ribeiro</x:v>
      </x:c>
      <x:c r="D30" s="86" t="n">
        <x:v>4</x:v>
      </x:c>
      <x:c r="E30" s="86" t="n">
        <x:v>7</x:v>
      </x:c>
      <x:c r="F30" s="86" t="n">
        <x:v>7</x:v>
      </x:c>
      <x:c r="G30" s="95" t="n">
        <x:v>45896</x:v>
      </x:c>
      <x:c r="H30" s="95" t="n">
        <x:v>45991</x:v>
      </x:c>
      <x:c r="I30" s="86" t="str">
        <x:v>CLT</x:v>
      </x:c>
      <x:c r="J30" s="86" t="str">
        <x:v>Presencial</x:v>
      </x:c>
      <x:c r="K30" s="91" t="n">
        <x:v>6219.06</x:v>
      </x:c>
      <x:c r="L30" s="86" t="str">
        <x:v>Desligado</x:v>
      </x:c>
      <x:c r="M30" s="87" t="n">
        <x:v>5</x:v>
      </x:c>
    </x:row>
    <x:row r="31">
      <x:c r="A31" s="85" t="n">
        <x:v>30</x:v>
      </x:c>
      <x:c r="B31" s="86" t="str">
        <x:v>F00030</x:v>
      </x:c>
      <x:c r="C31" s="86" t="str">
        <x:v>Diego Ferreira Rocha</x:v>
      </x:c>
      <x:c r="D31" s="86" t="n">
        <x:v>3</x:v>
      </x:c>
      <x:c r="E31" s="86" t="n">
        <x:v>3</x:v>
      </x:c>
      <x:c r="F31" s="86" t="n">
        <x:v>3</x:v>
      </x:c>
      <x:c r="G31" s="95" t="n">
        <x:v>45243</x:v>
      </x:c>
      <x:c r="H31" s="95"/>
      <x:c r="I31" s="86" t="str">
        <x:v>CLT</x:v>
      </x:c>
      <x:c r="J31" s="86" t="str">
        <x:v>Presencial</x:v>
      </x:c>
      <x:c r="K31" s="91" t="n">
        <x:v>3320.71</x:v>
      </x:c>
      <x:c r="L31" s="86" t="str">
        <x:v>Ativo</x:v>
      </x:c>
      <x:c r="M31" s="87" t="n">
        <x:v>26</x:v>
      </x:c>
    </x:row>
    <x:row r="32">
      <x:c r="A32" s="85" t="n">
        <x:v>31</x:v>
      </x:c>
      <x:c r="B32" s="86" t="str">
        <x:v>F00031</x:v>
      </x:c>
      <x:c r="C32" s="86" t="str">
        <x:v>Joana Rocha Barbosa</x:v>
      </x:c>
      <x:c r="D32" s="86" t="n">
        <x:v>3</x:v>
      </x:c>
      <x:c r="E32" s="86" t="n">
        <x:v>2</x:v>
      </x:c>
      <x:c r="F32" s="86" t="n">
        <x:v>2</x:v>
      </x:c>
      <x:c r="G32" s="95" t="n">
        <x:v>45638</x:v>
      </x:c>
      <x:c r="H32" s="95" t="n">
        <x:v>45777</x:v>
      </x:c>
      <x:c r="I32" s="86" t="str">
        <x:v>CLT</x:v>
      </x:c>
      <x:c r="J32" s="86" t="str">
        <x:v>Presencial</x:v>
      </x:c>
      <x:c r="K32" s="91" t="n">
        <x:v>4392.18</x:v>
      </x:c>
      <x:c r="L32" s="86" t="str">
        <x:v>Desligado</x:v>
      </x:c>
      <x:c r="M32" s="87" t="n">
        <x:v>148</x:v>
      </x:c>
    </x:row>
    <x:row r="33">
      <x:c r="A33" s="85" t="n">
        <x:v>32</x:v>
      </x:c>
      <x:c r="B33" s="86" t="str">
        <x:v>F00032</x:v>
      </x:c>
      <x:c r="C33" s="86" t="str">
        <x:v>João Barbosa Lima</x:v>
      </x:c>
      <x:c r="D33" s="86" t="n">
        <x:v>1</x:v>
      </x:c>
      <x:c r="E33" s="86" t="n">
        <x:v>6</x:v>
      </x:c>
      <x:c r="F33" s="86" t="n">
        <x:v>6</x:v>
      </x:c>
      <x:c r="G33" s="95" t="n">
        <x:v>45334</x:v>
      </x:c>
      <x:c r="H33" s="95"/>
      <x:c r="I33" s="86" t="str">
        <x:v>CLT</x:v>
      </x:c>
      <x:c r="J33" s="86" t="str">
        <x:v>Remoto</x:v>
      </x:c>
      <x:c r="K33" s="91" t="n">
        <x:v>6612.46</x:v>
      </x:c>
      <x:c r="L33" s="86" t="str">
        <x:v>Ativo</x:v>
      </x:c>
      <x:c r="M33" s="87" t="n">
        <x:v>65</x:v>
      </x:c>
    </x:row>
    <x:row r="34">
      <x:c r="A34" s="85" t="n">
        <x:v>33</x:v>
      </x:c>
      <x:c r="B34" s="86" t="str">
        <x:v>F00033</x:v>
      </x:c>
      <x:c r="C34" s="86" t="str">
        <x:v>Sofia Gomes Ribeiro</x:v>
      </x:c>
      <x:c r="D34" s="86" t="n">
        <x:v>2</x:v>
      </x:c>
      <x:c r="E34" s="86" t="n">
        <x:v>9</x:v>
      </x:c>
      <x:c r="F34" s="86" t="n">
        <x:v>9</x:v>
      </x:c>
      <x:c r="G34" s="95" t="n">
        <x:v>45650</x:v>
      </x:c>
      <x:c r="H34" s="95" t="n">
        <x:v>45851</x:v>
      </x:c>
      <x:c r="I34" s="86" t="str">
        <x:v>CLT</x:v>
      </x:c>
      <x:c r="J34" s="86" t="str">
        <x:v>Presencial</x:v>
      </x:c>
      <x:c r="K34" s="91" t="n">
        <x:v>6095.38</x:v>
      </x:c>
      <x:c r="L34" s="86" t="str">
        <x:v>Desligado</x:v>
      </x:c>
      <x:c r="M34" s="87" t="n">
        <x:v>342</x:v>
      </x:c>
    </x:row>
    <x:row r="35">
      <x:c r="A35" s="85" t="n">
        <x:v>34</x:v>
      </x:c>
      <x:c r="B35" s="86" t="str">
        <x:v>F00034</x:v>
      </x:c>
      <x:c r="C35" s="86" t="str">
        <x:v>Carolina Almeida Barbosa</x:v>
      </x:c>
      <x:c r="D35" s="86" t="n">
        <x:v>1</x:v>
      </x:c>
      <x:c r="E35" s="86" t="n">
        <x:v>1</x:v>
      </x:c>
      <x:c r="F35" s="86" t="n">
        <x:v>1</x:v>
      </x:c>
      <x:c r="G35" s="95" t="n">
        <x:v>45517</x:v>
      </x:c>
      <x:c r="H35" s="95" t="n">
        <x:v>45986</x:v>
      </x:c>
      <x:c r="I35" s="86" t="str">
        <x:v>CLT</x:v>
      </x:c>
      <x:c r="J35" s="86" t="str">
        <x:v>Presencial</x:v>
      </x:c>
      <x:c r="K35" s="91" t="n">
        <x:v>2725.55</x:v>
      </x:c>
      <x:c r="L35" s="86" t="str">
        <x:v>Desligado</x:v>
      </x:c>
      <x:c r="M35" s="87" t="n">
        <x:v>77</x:v>
      </x:c>
    </x:row>
    <x:row r="36">
      <x:c r="A36" s="85" t="n">
        <x:v>35</x:v>
      </x:c>
      <x:c r="B36" s="86" t="str">
        <x:v>F00035</x:v>
      </x:c>
      <x:c r="C36" s="86" t="str">
        <x:v>Patrícia Almeida Lima</x:v>
      </x:c>
      <x:c r="D36" s="86" t="n">
        <x:v>4</x:v>
      </x:c>
      <x:c r="E36" s="86" t="n">
        <x:v>6</x:v>
      </x:c>
      <x:c r="F36" s="86" t="n">
        <x:v>6</x:v>
      </x:c>
      <x:c r="G36" s="95" t="n">
        <x:v>45306</x:v>
      </x:c>
      <x:c r="H36" s="95"/>
      <x:c r="I36" s="86" t="str">
        <x:v>CLT</x:v>
      </x:c>
      <x:c r="J36" s="86" t="str">
        <x:v>Híbrido</x:v>
      </x:c>
      <x:c r="K36" s="91" t="n">
        <x:v>7358.12</x:v>
      </x:c>
      <x:c r="L36" s="86" t="str">
        <x:v>Ativo</x:v>
      </x:c>
      <x:c r="M36" s="87" t="n">
        <x:v>65</x:v>
      </x:c>
    </x:row>
    <x:row r="37">
      <x:c r="A37" s="85" t="n">
        <x:v>36</x:v>
      </x:c>
      <x:c r="B37" s="86" t="str">
        <x:v>F00036</x:v>
      </x:c>
      <x:c r="C37" s="86" t="str">
        <x:v>Marcelo Ribeiro Costa</x:v>
      </x:c>
      <x:c r="D37" s="86" t="n">
        <x:v>1</x:v>
      </x:c>
      <x:c r="E37" s="86" t="n">
        <x:v>4</x:v>
      </x:c>
      <x:c r="F37" s="86" t="n">
        <x:v>4</x:v>
      </x:c>
      <x:c r="G37" s="95" t="n">
        <x:v>44929</x:v>
      </x:c>
      <x:c r="H37" s="95"/>
      <x:c r="I37" s="86" t="str">
        <x:v>CLT</x:v>
      </x:c>
      <x:c r="J37" s="86" t="str">
        <x:v>Presencial</x:v>
      </x:c>
      <x:c r="K37" s="91" t="n">
        <x:v>3800.39</x:v>
      </x:c>
      <x:c r="L37" s="86" t="str">
        <x:v>Ativo</x:v>
      </x:c>
      <x:c r="M37" s="87" t="n">
        <x:v>20</x:v>
      </x:c>
    </x:row>
    <x:row r="38">
      <x:c r="A38" s="85" t="n">
        <x:v>37</x:v>
      </x:c>
      <x:c r="B38" s="86" t="str">
        <x:v>F00037</x:v>
      </x:c>
      <x:c r="C38" s="86" t="str">
        <x:v>Vitória Moreira Moreira</x:v>
      </x:c>
      <x:c r="D38" s="86" t="n">
        <x:v>1</x:v>
      </x:c>
      <x:c r="E38" s="86" t="n">
        <x:v>3</x:v>
      </x:c>
      <x:c r="F38" s="86" t="n">
        <x:v>3</x:v>
      </x:c>
      <x:c r="G38" s="95" t="n">
        <x:v>45089</x:v>
      </x:c>
      <x:c r="H38" s="95"/>
      <x:c r="I38" s="86" t="str">
        <x:v>CLT</x:v>
      </x:c>
      <x:c r="J38" s="86" t="str">
        <x:v>Presencial</x:v>
      </x:c>
      <x:c r="K38" s="91" t="n">
        <x:v>3199.18</x:v>
      </x:c>
      <x:c r="L38" s="86" t="str">
        <x:v>Ativo</x:v>
      </x:c>
      <x:c r="M38" s="87" t="n">
        <x:v>177</x:v>
      </x:c>
    </x:row>
    <x:row r="39">
      <x:c r="A39" s="85" t="n">
        <x:v>38</x:v>
      </x:c>
      <x:c r="B39" s="86" t="str">
        <x:v>F00038</x:v>
      </x:c>
      <x:c r="C39" s="86" t="str">
        <x:v>Ana Pereira Ferreira</x:v>
      </x:c>
      <x:c r="D39" s="86" t="n">
        <x:v>2</x:v>
      </x:c>
      <x:c r="E39" s="86" t="n">
        <x:v>5</x:v>
      </x:c>
      <x:c r="F39" s="86" t="n">
        <x:v>15</x:v>
      </x:c>
      <x:c r="G39" s="95" t="n">
        <x:v>45265</x:v>
      </x:c>
      <x:c r="H39" s="95"/>
      <x:c r="I39" s="86" t="str">
        <x:v>CLT</x:v>
      </x:c>
      <x:c r="J39" s="86" t="str">
        <x:v>Presencial</x:v>
      </x:c>
      <x:c r="K39" s="91" t="n">
        <x:v>16280.28</x:v>
      </x:c>
      <x:c r="L39" s="86" t="str">
        <x:v>Ativo</x:v>
      </x:c>
      <x:c r="M39" s="87" t="n">
        <x:v>326</x:v>
      </x:c>
    </x:row>
    <x:row r="40">
      <x:c r="A40" s="85" t="n">
        <x:v>39</x:v>
      </x:c>
      <x:c r="B40" s="86" t="str">
        <x:v>F00039</x:v>
      </x:c>
      <x:c r="C40" s="86" t="str">
        <x:v>Eduardo Nascimento Silva</x:v>
      </x:c>
      <x:c r="D40" s="86" t="n">
        <x:v>3</x:v>
      </x:c>
      <x:c r="E40" s="86" t="n">
        <x:v>5</x:v>
      </x:c>
      <x:c r="F40" s="86" t="n">
        <x:v>15</x:v>
      </x:c>
      <x:c r="G40" s="95" t="n">
        <x:v>45469</x:v>
      </x:c>
      <x:c r="H40" s="95"/>
      <x:c r="I40" s="86" t="str">
        <x:v>CLT</x:v>
      </x:c>
      <x:c r="J40" s="86" t="str">
        <x:v>Presencial</x:v>
      </x:c>
      <x:c r="K40" s="91" t="n">
        <x:v>13397.94</x:v>
      </x:c>
      <x:c r="L40" s="86" t="str">
        <x:v>Ativo</x:v>
      </x:c>
      <x:c r="M40" s="87" t="n">
        <x:v>326</x:v>
      </x:c>
    </x:row>
    <x:row r="41">
      <x:c r="A41" s="85" t="n">
        <x:v>40</x:v>
      </x:c>
      <x:c r="B41" s="86" t="str">
        <x:v>F00040</x:v>
      </x:c>
      <x:c r="C41" s="86" t="str">
        <x:v>Joana Santos Rodrigues</x:v>
      </x:c>
      <x:c r="D41" s="86" t="n">
        <x:v>2</x:v>
      </x:c>
      <x:c r="E41" s="86" t="n">
        <x:v>1</x:v>
      </x:c>
      <x:c r="F41" s="86" t="n">
        <x:v>1</x:v>
      </x:c>
      <x:c r="G41" s="95" t="n">
        <x:v>45261</x:v>
      </x:c>
      <x:c r="H41" s="95"/>
      <x:c r="I41" s="86" t="str">
        <x:v>CLT</x:v>
      </x:c>
      <x:c r="J41" s="86" t="str">
        <x:v>Presencial</x:v>
      </x:c>
      <x:c r="K41" s="91" t="n">
        <x:v>2445.1</x:v>
      </x:c>
      <x:c r="L41" s="86" t="str">
        <x:v>Ativo</x:v>
      </x:c>
      <x:c r="M41" s="87" t="n">
        <x:v>202</x:v>
      </x:c>
    </x:row>
    <x:row r="42">
      <x:c r="A42" s="85" t="n">
        <x:v>41</x:v>
      </x:c>
      <x:c r="B42" s="86" t="str">
        <x:v>F00041</x:v>
      </x:c>
      <x:c r="C42" s="86" t="str">
        <x:v>Igor Ferreira Silva</x:v>
      </x:c>
      <x:c r="D42" s="86" t="n">
        <x:v>2</x:v>
      </x:c>
      <x:c r="E42" s="86" t="n">
        <x:v>1</x:v>
      </x:c>
      <x:c r="F42" s="86" t="n">
        <x:v>1</x:v>
      </x:c>
      <x:c r="G42" s="95" t="n">
        <x:v>45268</x:v>
      </x:c>
      <x:c r="H42" s="95"/>
      <x:c r="I42" s="86" t="str">
        <x:v>CLT</x:v>
      </x:c>
      <x:c r="J42" s="86" t="str">
        <x:v>Híbrido</x:v>
      </x:c>
      <x:c r="K42" s="91" t="n">
        <x:v>3133.45</x:v>
      </x:c>
      <x:c r="L42" s="86" t="str">
        <x:v>Ativo</x:v>
      </x:c>
      <x:c r="M42" s="87" t="n">
        <x:v>10</x:v>
      </x:c>
    </x:row>
    <x:row r="43">
      <x:c r="A43" s="85" t="n">
        <x:v>42</x:v>
      </x:c>
      <x:c r="B43" s="86" t="str">
        <x:v>F00042</x:v>
      </x:c>
      <x:c r="C43" s="86" t="str">
        <x:v>Henrique Ferreira Oliveira</x:v>
      </x:c>
      <x:c r="D43" s="86" t="n">
        <x:v>1</x:v>
      </x:c>
      <x:c r="E43" s="86" t="n">
        <x:v>2</x:v>
      </x:c>
      <x:c r="F43" s="86" t="n">
        <x:v>2</x:v>
      </x:c>
      <x:c r="G43" s="95" t="n">
        <x:v>45666</x:v>
      </x:c>
      <x:c r="H43" s="95"/>
      <x:c r="I43" s="86" t="str">
        <x:v>Temporário</x:v>
      </x:c>
      <x:c r="J43" s="86" t="str">
        <x:v>Híbrido</x:v>
      </x:c>
      <x:c r="K43" s="91" t="n">
        <x:v>4817.34</x:v>
      </x:c>
      <x:c r="L43" s="86" t="str">
        <x:v>Ativo</x:v>
      </x:c>
      <x:c r="M43" s="87" t="n">
        <x:v>111</x:v>
      </x:c>
    </x:row>
    <x:row r="44">
      <x:c r="A44" s="85" t="n">
        <x:v>43</x:v>
      </x:c>
      <x:c r="B44" s="86" t="str">
        <x:v>F00043</x:v>
      </x:c>
      <x:c r="C44" s="86" t="str">
        <x:v>Daniela Costa Cardoso</x:v>
      </x:c>
      <x:c r="D44" s="86" t="n">
        <x:v>1</x:v>
      </x:c>
      <x:c r="E44" s="86" t="n">
        <x:v>2</x:v>
      </x:c>
      <x:c r="F44" s="86" t="n">
        <x:v>2</x:v>
      </x:c>
      <x:c r="G44" s="95" t="n">
        <x:v>45592</x:v>
      </x:c>
      <x:c r="H44" s="95"/>
      <x:c r="I44" s="86" t="str">
        <x:v>CLT</x:v>
      </x:c>
      <x:c r="J44" s="86" t="str">
        <x:v>Híbrido</x:v>
      </x:c>
      <x:c r="K44" s="91" t="n">
        <x:v>4613.68</x:v>
      </x:c>
      <x:c r="L44" s="86" t="str">
        <x:v>Ativo</x:v>
      </x:c>
      <x:c r="M44" s="87" t="n">
        <x:v>148</x:v>
      </x:c>
    </x:row>
    <x:row r="45">
      <x:c r="A45" s="85" t="n">
        <x:v>44</x:v>
      </x:c>
      <x:c r="B45" s="86" t="str">
        <x:v>F00044</x:v>
      </x:c>
      <x:c r="C45" s="86" t="str">
        <x:v>Larissa Rodrigues Mendes</x:v>
      </x:c>
      <x:c r="D45" s="86" t="n">
        <x:v>2</x:v>
      </x:c>
      <x:c r="E45" s="86" t="n">
        <x:v>2</x:v>
      </x:c>
      <x:c r="F45" s="86" t="n">
        <x:v>2</x:v>
      </x:c>
      <x:c r="G45" s="95" t="n">
        <x:v>45765</x:v>
      </x:c>
      <x:c r="H45" s="95"/>
      <x:c r="I45" s="86" t="str">
        <x:v>CLT</x:v>
      </x:c>
      <x:c r="J45" s="86" t="str">
        <x:v>Híbrido</x:v>
      </x:c>
      <x:c r="K45" s="91" t="n">
        <x:v>4775.72</x:v>
      </x:c>
      <x:c r="L45" s="86" t="str">
        <x:v>Ativo</x:v>
      </x:c>
      <x:c r="M45" s="87" t="n">
        <x:v>148</x:v>
      </x:c>
    </x:row>
    <x:row r="46">
      <x:c r="A46" s="85" t="n">
        <x:v>45</x:v>
      </x:c>
      <x:c r="B46" s="86" t="str">
        <x:v>F00045</x:v>
      </x:c>
      <x:c r="C46" s="86" t="str">
        <x:v>Marcelo Almeida Almeida</x:v>
      </x:c>
      <x:c r="D46" s="86" t="n">
        <x:v>1</x:v>
      </x:c>
      <x:c r="E46" s="86" t="n">
        <x:v>1</x:v>
      </x:c>
      <x:c r="F46" s="86" t="n">
        <x:v>1</x:v>
      </x:c>
      <x:c r="G46" s="95" t="n">
        <x:v>45113</x:v>
      </x:c>
      <x:c r="H46" s="95"/>
      <x:c r="I46" s="86" t="str">
        <x:v>CLT</x:v>
      </x:c>
      <x:c r="J46" s="86" t="str">
        <x:v>Presencial</x:v>
      </x:c>
      <x:c r="K46" s="91" t="n">
        <x:v>2267.7</x:v>
      </x:c>
      <x:c r="L46" s="86" t="str">
        <x:v>Ativo</x:v>
      </x:c>
      <x:c r="M46" s="87" t="n">
        <x:v>78</x:v>
      </x:c>
    </x:row>
    <x:row r="47">
      <x:c r="A47" s="85" t="n">
        <x:v>46</x:v>
      </x:c>
      <x:c r="B47" s="86" t="str">
        <x:v>F00046</x:v>
      </x:c>
      <x:c r="C47" s="86" t="str">
        <x:v>Carlos Martins Ferreira</x:v>
      </x:c>
      <x:c r="D47" s="86" t="n">
        <x:v>1</x:v>
      </x:c>
      <x:c r="E47" s="86" t="n">
        <x:v>1</x:v>
      </x:c>
      <x:c r="F47" s="86" t="n">
        <x:v>1</x:v>
      </x:c>
      <x:c r="G47" s="95" t="n">
        <x:v>45423</x:v>
      </x:c>
      <x:c r="H47" s="95"/>
      <x:c r="I47" s="86" t="str">
        <x:v>CLT</x:v>
      </x:c>
      <x:c r="J47" s="86" t="str">
        <x:v>Híbrido</x:v>
      </x:c>
      <x:c r="K47" s="91" t="n">
        <x:v>2889.6</x:v>
      </x:c>
      <x:c r="L47" s="86" t="str">
        <x:v>Ativo</x:v>
      </x:c>
      <x:c r="M47" s="87" t="n">
        <x:v>78</x:v>
      </x:c>
    </x:row>
    <x:row r="48">
      <x:c r="A48" s="85" t="n">
        <x:v>47</x:v>
      </x:c>
      <x:c r="B48" s="86" t="str">
        <x:v>F00047</x:v>
      </x:c>
      <x:c r="C48" s="86" t="str">
        <x:v>Joana Silva Ferreira</x:v>
      </x:c>
      <x:c r="D48" s="86" t="n">
        <x:v>3</x:v>
      </x:c>
      <x:c r="E48" s="86" t="n">
        <x:v>1</x:v>
      </x:c>
      <x:c r="F48" s="86" t="n">
        <x:v>1</x:v>
      </x:c>
      <x:c r="G48" s="95" t="n">
        <x:v>44963</x:v>
      </x:c>
      <x:c r="H48" s="95"/>
      <x:c r="I48" s="86" t="str">
        <x:v>CLT</x:v>
      </x:c>
      <x:c r="J48" s="86" t="str">
        <x:v>Presencial</x:v>
      </x:c>
      <x:c r="K48" s="91" t="n">
        <x:v>3113.49</x:v>
      </x:c>
      <x:c r="L48" s="86" t="str">
        <x:v>Ativo</x:v>
      </x:c>
      <x:c r="M48" s="87" t="n">
        <x:v>371</x:v>
      </x:c>
    </x:row>
    <x:row r="49">
      <x:c r="A49" s="85" t="n">
        <x:v>48</x:v>
      </x:c>
      <x:c r="B49" s="86" t="str">
        <x:v>F00048</x:v>
      </x:c>
      <x:c r="C49" s="86" t="str">
        <x:v>Lucas Pereira Lima</x:v>
      </x:c>
      <x:c r="D49" s="86" t="n">
        <x:v>4</x:v>
      </x:c>
      <x:c r="E49" s="86" t="n">
        <x:v>8</x:v>
      </x:c>
      <x:c r="F49" s="86" t="n">
        <x:v>8</x:v>
      </x:c>
      <x:c r="G49" s="95" t="n">
        <x:v>45013</x:v>
      </x:c>
      <x:c r="H49" s="95"/>
      <x:c r="I49" s="86" t="str">
        <x:v>CLT</x:v>
      </x:c>
      <x:c r="J49" s="86" t="str">
        <x:v>Híbrido</x:v>
      </x:c>
      <x:c r="K49" s="91" t="n">
        <x:v>6833.81</x:v>
      </x:c>
      <x:c r="L49" s="86" t="str">
        <x:v>Ativo</x:v>
      </x:c>
      <x:c r="M49" s="87" t="n">
        <x:v>109</x:v>
      </x:c>
    </x:row>
    <x:row r="50">
      <x:c r="A50" s="85" t="n">
        <x:v>49</x:v>
      </x:c>
      <x:c r="B50" s="86" t="str">
        <x:v>F00049</x:v>
      </x:c>
      <x:c r="C50" s="86" t="str">
        <x:v>Diego Teixeira Barbosa</x:v>
      </x:c>
      <x:c r="D50" s="86" t="n">
        <x:v>1</x:v>
      </x:c>
      <x:c r="E50" s="86" t="n">
        <x:v>10</x:v>
      </x:c>
      <x:c r="F50" s="86" t="n">
        <x:v>10</x:v>
      </x:c>
      <x:c r="G50" s="95" t="n">
        <x:v>44950</x:v>
      </x:c>
      <x:c r="H50" s="95"/>
      <x:c r="I50" s="86" t="str">
        <x:v>CLT</x:v>
      </x:c>
      <x:c r="J50" s="86" t="str">
        <x:v>Presencial</x:v>
      </x:c>
      <x:c r="K50" s="91" t="n">
        <x:v>6532.57</x:v>
      </x:c>
      <x:c r="L50" s="86" t="str">
        <x:v>Ativo</x:v>
      </x:c>
      <x:c r="M50" s="87" t="n">
        <x:v>24</x:v>
      </x:c>
    </x:row>
    <x:row r="51">
      <x:c r="A51" s="85" t="n">
        <x:v>50</x:v>
      </x:c>
      <x:c r="B51" s="86" t="str">
        <x:v>F00050</x:v>
      </x:c>
      <x:c r="C51" s="86" t="str">
        <x:v>Sofia Barbosa Souza</x:v>
      </x:c>
      <x:c r="D51" s="86" t="n">
        <x:v>3</x:v>
      </x:c>
      <x:c r="E51" s="86" t="n">
        <x:v>6</x:v>
      </x:c>
      <x:c r="F51" s="86" t="n">
        <x:v>6</x:v>
      </x:c>
      <x:c r="G51" s="95" t="n">
        <x:v>45772</x:v>
      </x:c>
      <x:c r="H51" s="95"/>
      <x:c r="I51" s="86" t="str">
        <x:v>CLT</x:v>
      </x:c>
      <x:c r="J51" s="86" t="str">
        <x:v>Híbrido</x:v>
      </x:c>
      <x:c r="K51" s="91" t="n">
        <x:v>4845.26</x:v>
      </x:c>
      <x:c r="L51" s="86" t="str">
        <x:v>Ativo</x:v>
      </x:c>
      <x:c r="M51" s="87" t="n">
        <x:v>65</x:v>
      </x:c>
    </x:row>
    <x:row r="52">
      <x:c r="A52" s="85" t="n">
        <x:v>51</x:v>
      </x:c>
      <x:c r="B52" s="86" t="str">
        <x:v>F00051</x:v>
      </x:c>
      <x:c r="C52" s="86" t="str">
        <x:v>Fernanda Martins Souza</x:v>
      </x:c>
      <x:c r="D52" s="86" t="n">
        <x:v>1</x:v>
      </x:c>
      <x:c r="E52" s="86" t="n">
        <x:v>1</x:v>
      </x:c>
      <x:c r="F52" s="86" t="n">
        <x:v>1</x:v>
      </x:c>
      <x:c r="G52" s="95" t="n">
        <x:v>45632</x:v>
      </x:c>
      <x:c r="H52" s="95"/>
      <x:c r="I52" s="86" t="str">
        <x:v>Estágio</x:v>
      </x:c>
      <x:c r="J52" s="86" t="str">
        <x:v>Presencial</x:v>
      </x:c>
      <x:c r="K52" s="91" t="n">
        <x:v>2935.86</x:v>
      </x:c>
      <x:c r="L52" s="86" t="str">
        <x:v>Ativo</x:v>
      </x:c>
      <x:c r="M52" s="87" t="n">
        <x:v>185</x:v>
      </x:c>
    </x:row>
    <x:row r="53">
      <x:c r="A53" s="85" t="n">
        <x:v>52</x:v>
      </x:c>
      <x:c r="B53" s="86" t="str">
        <x:v>F00052</x:v>
      </x:c>
      <x:c r="C53" s="86" t="str">
        <x:v>Rafael Santos Costa</x:v>
      </x:c>
      <x:c r="D53" s="86" t="n">
        <x:v>2</x:v>
      </x:c>
      <x:c r="E53" s="86" t="n">
        <x:v>10</x:v>
      </x:c>
      <x:c r="F53" s="86" t="n">
        <x:v>10</x:v>
      </x:c>
      <x:c r="G53" s="95" t="n">
        <x:v>44943</x:v>
      </x:c>
      <x:c r="H53" s="95"/>
      <x:c r="I53" s="86" t="str">
        <x:v>CLT</x:v>
      </x:c>
      <x:c r="J53" s="86" t="str">
        <x:v>Presencial</x:v>
      </x:c>
      <x:c r="K53" s="91" t="n">
        <x:v>4516.07</x:v>
      </x:c>
      <x:c r="L53" s="86" t="str">
        <x:v>Ativo</x:v>
      </x:c>
      <x:c r="M53" s="87" t="n">
        <x:v>24</x:v>
      </x:c>
    </x:row>
    <x:row r="54">
      <x:c r="A54" s="85" t="n">
        <x:v>53</x:v>
      </x:c>
      <x:c r="B54" s="86" t="str">
        <x:v>F00053</x:v>
      </x:c>
      <x:c r="C54" s="86" t="str">
        <x:v>Larissa Santos Cardoso</x:v>
      </x:c>
      <x:c r="D54" s="86" t="n">
        <x:v>4</x:v>
      </x:c>
      <x:c r="E54" s="86" t="n">
        <x:v>7</x:v>
      </x:c>
      <x:c r="F54" s="86" t="n">
        <x:v>7</x:v>
      </x:c>
      <x:c r="G54" s="95" t="n">
        <x:v>45861</x:v>
      </x:c>
      <x:c r="H54" s="95"/>
      <x:c r="I54" s="86" t="str">
        <x:v>CLT</x:v>
      </x:c>
      <x:c r="J54" s="86" t="str">
        <x:v>Híbrido</x:v>
      </x:c>
      <x:c r="K54" s="91" t="n">
        <x:v>4629.4</x:v>
      </x:c>
      <x:c r="L54" s="86" t="str">
        <x:v>Ativo</x:v>
      </x:c>
      <x:c r="M54" s="87" t="n">
        <x:v>5</x:v>
      </x:c>
    </x:row>
    <x:row r="55">
      <x:c r="A55" s="85" t="n">
        <x:v>54</x:v>
      </x:c>
      <x:c r="B55" s="86" t="str">
        <x:v>F00054</x:v>
      </x:c>
      <x:c r="C55" s="86" t="str">
        <x:v>Renata Barbosa Cardoso</x:v>
      </x:c>
      <x:c r="D55" s="86" t="n">
        <x:v>2</x:v>
      </x:c>
      <x:c r="E55" s="86" t="n">
        <x:v>10</x:v>
      </x:c>
      <x:c r="F55" s="86" t="n">
        <x:v>20</x:v>
      </x:c>
      <x:c r="G55" s="95" t="n">
        <x:v>45681</x:v>
      </x:c>
      <x:c r="H55" s="95"/>
      <x:c r="I55" s="86" t="str">
        <x:v>CLT</x:v>
      </x:c>
      <x:c r="J55" s="86" t="str">
        <x:v>Remoto</x:v>
      </x:c>
      <x:c r="K55" s="91" t="n">
        <x:v>3673.98</x:v>
      </x:c>
      <x:c r="L55" s="86" t="str">
        <x:v>Ativo</x:v>
      </x:c>
      <x:c r="M55" s="87" t="n">
        <x:v>24</x:v>
      </x:c>
    </x:row>
    <x:row r="56">
      <x:c r="A56" s="85" t="n">
        <x:v>55</x:v>
      </x:c>
      <x:c r="B56" s="86" t="str">
        <x:v>F00055</x:v>
      </x:c>
      <x:c r="C56" s="86" t="str">
        <x:v>Diego Teixeira Teixeira</x:v>
      </x:c>
      <x:c r="D56" s="86" t="n">
        <x:v>1</x:v>
      </x:c>
      <x:c r="E56" s="86" t="n">
        <x:v>1</x:v>
      </x:c>
      <x:c r="F56" s="86" t="n">
        <x:v>1</x:v>
      </x:c>
      <x:c r="G56" s="95" t="n">
        <x:v>45511</x:v>
      </x:c>
      <x:c r="H56" s="95"/>
      <x:c r="I56" s="86" t="str">
        <x:v>CLT</x:v>
      </x:c>
      <x:c r="J56" s="86" t="str">
        <x:v>Híbrido</x:v>
      </x:c>
      <x:c r="K56" s="91" t="n">
        <x:v>2481.97</x:v>
      </x:c>
      <x:c r="L56" s="86" t="str">
        <x:v>Ativo</x:v>
      </x:c>
      <x:c r="M56" s="87" t="n">
        <x:v>396</x:v>
      </x:c>
    </x:row>
    <x:row r="57">
      <x:c r="A57" s="85" t="n">
        <x:v>56</x:v>
      </x:c>
      <x:c r="B57" s="86" t="str">
        <x:v>F00056</x:v>
      </x:c>
      <x:c r="C57" s="86" t="str">
        <x:v>Renata Santos Moreira</x:v>
      </x:c>
      <x:c r="D57" s="86" t="n">
        <x:v>2</x:v>
      </x:c>
      <x:c r="E57" s="86" t="n">
        <x:v>1</x:v>
      </x:c>
      <x:c r="F57" s="86" t="n">
        <x:v>1</x:v>
      </x:c>
      <x:c r="G57" s="95" t="n">
        <x:v>45789</x:v>
      </x:c>
      <x:c r="H57" s="95"/>
      <x:c r="I57" s="86" t="str">
        <x:v>CLT</x:v>
      </x:c>
      <x:c r="J57" s="86" t="str">
        <x:v>Presencial</x:v>
      </x:c>
      <x:c r="K57" s="91" t="n">
        <x:v>3463.07</x:v>
      </x:c>
      <x:c r="L57" s="86" t="str">
        <x:v>Ativo</x:v>
      </x:c>
      <x:c r="M57" s="87" t="n">
        <x:v>10</x:v>
      </x:c>
    </x:row>
    <x:row r="58">
      <x:c r="A58" s="85" t="n">
        <x:v>57</x:v>
      </x:c>
      <x:c r="B58" s="86" t="str">
        <x:v>F00057</x:v>
      </x:c>
      <x:c r="C58" s="86" t="str">
        <x:v>Camila Martins Martins</x:v>
      </x:c>
      <x:c r="D58" s="86" t="n">
        <x:v>1</x:v>
      </x:c>
      <x:c r="E58" s="86" t="n">
        <x:v>5</x:v>
      </x:c>
      <x:c r="F58" s="86" t="n">
        <x:v>5</x:v>
      </x:c>
      <x:c r="G58" s="95" t="n">
        <x:v>45194</x:v>
      </x:c>
      <x:c r="H58" s="95"/>
      <x:c r="I58" s="86" t="str">
        <x:v>CLT</x:v>
      </x:c>
      <x:c r="J58" s="86" t="str">
        <x:v>Presencial</x:v>
      </x:c>
      <x:c r="K58" s="91" t="n">
        <x:v>6553.52</x:v>
      </x:c>
      <x:c r="L58" s="86" t="str">
        <x:v>Ativo</x:v>
      </x:c>
      <x:c r="M58" s="87" t="n">
        <x:v>39</x:v>
      </x:c>
    </x:row>
    <x:row r="59">
      <x:c r="A59" s="85" t="n">
        <x:v>58</x:v>
      </x:c>
      <x:c r="B59" s="86" t="str">
        <x:v>F00058</x:v>
      </x:c>
      <x:c r="C59" s="86" t="str">
        <x:v>Eduardo Cardoso Rodrigues</x:v>
      </x:c>
      <x:c r="D59" s="86" t="n">
        <x:v>1</x:v>
      </x:c>
      <x:c r="E59" s="86" t="n">
        <x:v>6</x:v>
      </x:c>
      <x:c r="F59" s="86" t="n">
        <x:v>6</x:v>
      </x:c>
      <x:c r="G59" s="95" t="n">
        <x:v>45822</x:v>
      </x:c>
      <x:c r="H59" s="95"/>
      <x:c r="I59" s="86" t="str">
        <x:v>CLT</x:v>
      </x:c>
      <x:c r="J59" s="86" t="str">
        <x:v>Presencial</x:v>
      </x:c>
      <x:c r="K59" s="91" t="n">
        <x:v>4841.59</x:v>
      </x:c>
      <x:c r="L59" s="86" t="str">
        <x:v>Ativo</x:v>
      </x:c>
      <x:c r="M59" s="87" t="n">
        <x:v>65</x:v>
      </x:c>
    </x:row>
    <x:row r="60">
      <x:c r="A60" s="85" t="n">
        <x:v>59</x:v>
      </x:c>
      <x:c r="B60" s="86" t="str">
        <x:v>F00059</x:v>
      </x:c>
      <x:c r="C60" s="86" t="str">
        <x:v>Mariana Teixeira Mendes</x:v>
      </x:c>
      <x:c r="D60" s="86" t="n">
        <x:v>2</x:v>
      </x:c>
      <x:c r="E60" s="86" t="n">
        <x:v>9</x:v>
      </x:c>
      <x:c r="F60" s="86" t="n">
        <x:v>9</x:v>
      </x:c>
      <x:c r="G60" s="95" t="n">
        <x:v>45525</x:v>
      </x:c>
      <x:c r="H60" s="95"/>
      <x:c r="I60" s="86" t="str">
        <x:v>CLT</x:v>
      </x:c>
      <x:c r="J60" s="86" t="str">
        <x:v>Presencial</x:v>
      </x:c>
      <x:c r="K60" s="91" t="n">
        <x:v>5855.66</x:v>
      </x:c>
      <x:c r="L60" s="86" t="str">
        <x:v>Ativo</x:v>
      </x:c>
      <x:c r="M60" s="87" t="n">
        <x:v>354</x:v>
      </x:c>
    </x:row>
    <x:row r="61">
      <x:c r="A61" s="85" t="n">
        <x:v>60</x:v>
      </x:c>
      <x:c r="B61" s="86" t="str">
        <x:v>F00060</x:v>
      </x:c>
      <x:c r="C61" s="86" t="str">
        <x:v>Renata Nascimento Lima</x:v>
      </x:c>
      <x:c r="D61" s="86" t="n">
        <x:v>3</x:v>
      </x:c>
      <x:c r="E61" s="86" t="n">
        <x:v>5</x:v>
      </x:c>
      <x:c r="F61" s="86" t="n">
        <x:v>5</x:v>
      </x:c>
      <x:c r="G61" s="95" t="n">
        <x:v>45091</x:v>
      </x:c>
      <x:c r="H61" s="95"/>
      <x:c r="I61" s="86" t="str">
        <x:v>Estágio</x:v>
      </x:c>
      <x:c r="J61" s="86" t="str">
        <x:v>Presencial</x:v>
      </x:c>
      <x:c r="K61" s="91" t="n">
        <x:v>10253.16</x:v>
      </x:c>
      <x:c r="L61" s="86" t="str">
        <x:v>Ativo</x:v>
      </x:c>
      <x:c r="M61" s="87" t="n">
        <x:v>94</x:v>
      </x:c>
    </x:row>
    <x:row r="62">
      <x:c r="A62" s="85" t="n">
        <x:v>61</x:v>
      </x:c>
      <x:c r="B62" s="86" t="str">
        <x:v>F00061</x:v>
      </x:c>
      <x:c r="C62" s="86" t="str">
        <x:v>Daniela Souza Lima</x:v>
      </x:c>
      <x:c r="D62" s="86" t="n">
        <x:v>3</x:v>
      </x:c>
      <x:c r="E62" s="86" t="n">
        <x:v>4</x:v>
      </x:c>
      <x:c r="F62" s="86" t="n">
        <x:v>14</x:v>
      </x:c>
      <x:c r="G62" s="95" t="n">
        <x:v>45490</x:v>
      </x:c>
      <x:c r="H62" s="95"/>
      <x:c r="I62" s="86" t="str">
        <x:v>CLT</x:v>
      </x:c>
      <x:c r="J62" s="86" t="str">
        <x:v>Híbrido</x:v>
      </x:c>
      <x:c r="K62" s="91" t="n">
        <x:v>9391.21</x:v>
      </x:c>
      <x:c r="L62" s="86" t="str">
        <x:v>Ativo</x:v>
      </x:c>
      <x:c r="M62" s="87" t="n">
        <x:v>82</x:v>
      </x:c>
    </x:row>
    <x:row r="63">
      <x:c r="A63" s="85" t="n">
        <x:v>62</x:v>
      </x:c>
      <x:c r="B63" s="86" t="str">
        <x:v>F00062</x:v>
      </x:c>
      <x:c r="C63" s="86" t="str">
        <x:v>Marcelo Gomes Souza</x:v>
      </x:c>
      <x:c r="D63" s="86" t="n">
        <x:v>3</x:v>
      </x:c>
      <x:c r="E63" s="86" t="n">
        <x:v>2</x:v>
      </x:c>
      <x:c r="F63" s="86" t="n">
        <x:v>2</x:v>
      </x:c>
      <x:c r="G63" s="95" t="n">
        <x:v>45221</x:v>
      </x:c>
      <x:c r="H63" s="95" t="n">
        <x:v>45983</x:v>
      </x:c>
      <x:c r="I63" s="86" t="str">
        <x:v>CLT</x:v>
      </x:c>
      <x:c r="J63" s="86" t="str">
        <x:v>Híbrido</x:v>
      </x:c>
      <x:c r="K63" s="91" t="n">
        <x:v>4518.21</x:v>
      </x:c>
      <x:c r="L63" s="86" t="str">
        <x:v>Desligado</x:v>
      </x:c>
      <x:c r="M63" s="87" t="n">
        <x:v>104</x:v>
      </x:c>
    </x:row>
    <x:row r="64">
      <x:c r="A64" s="85" t="n">
        <x:v>63</x:v>
      </x:c>
      <x:c r="B64" s="86" t="str">
        <x:v>F00063</x:v>
      </x:c>
      <x:c r="C64" s="86" t="str">
        <x:v>Henrique Costa Ferreira</x:v>
      </x:c>
      <x:c r="D64" s="86" t="n">
        <x:v>4</x:v>
      </x:c>
      <x:c r="E64" s="86" t="n">
        <x:v>7</x:v>
      </x:c>
      <x:c r="F64" s="86" t="n">
        <x:v>7</x:v>
      </x:c>
      <x:c r="G64" s="95" t="n">
        <x:v>45618</x:v>
      </x:c>
      <x:c r="H64" s="95"/>
      <x:c r="I64" s="86" t="str">
        <x:v>CLT</x:v>
      </x:c>
      <x:c r="J64" s="86" t="str">
        <x:v>Presencial</x:v>
      </x:c>
      <x:c r="K64" s="91" t="n">
        <x:v>4894.81</x:v>
      </x:c>
      <x:c r="L64" s="86" t="str">
        <x:v>Ativo</x:v>
      </x:c>
      <x:c r="M64" s="87" t="n">
        <x:v>156</x:v>
      </x:c>
    </x:row>
    <x:row r="65">
      <x:c r="A65" s="85" t="n">
        <x:v>64</x:v>
      </x:c>
      <x:c r="B65" s="86" t="str">
        <x:v>F00064</x:v>
      </x:c>
      <x:c r="C65" s="86" t="str">
        <x:v>Larissa Ribeiro Nascimento</x:v>
      </x:c>
      <x:c r="D65" s="86" t="n">
        <x:v>3</x:v>
      </x:c>
      <x:c r="E65" s="86" t="n">
        <x:v>8</x:v>
      </x:c>
      <x:c r="F65" s="86" t="n">
        <x:v>18</x:v>
      </x:c>
      <x:c r="G65" s="95" t="n">
        <x:v>45264</x:v>
      </x:c>
      <x:c r="H65" s="95"/>
      <x:c r="I65" s="86" t="str">
        <x:v>CLT</x:v>
      </x:c>
      <x:c r="J65" s="86" t="str">
        <x:v>Presencial</x:v>
      </x:c>
      <x:c r="K65" s="91" t="n">
        <x:v>15644.35</x:v>
      </x:c>
      <x:c r="L65" s="86" t="str">
        <x:v>Ativo</x:v>
      </x:c>
      <x:c r="M65" s="87" t="n">
        <x:v>86</x:v>
      </x:c>
    </x:row>
    <x:row r="66">
      <x:c r="A66" s="85" t="n">
        <x:v>65</x:v>
      </x:c>
      <x:c r="B66" s="86" t="str">
        <x:v>F00065</x:v>
      </x:c>
      <x:c r="C66" s="86" t="str">
        <x:v>Felipe Rodrigues Cardoso</x:v>
      </x:c>
      <x:c r="D66" s="86" t="n">
        <x:v>4</x:v>
      </x:c>
      <x:c r="E66" s="86" t="n">
        <x:v>6</x:v>
      </x:c>
      <x:c r="F66" s="86" t="n">
        <x:v>16</x:v>
      </x:c>
      <x:c r="G66" s="95" t="n">
        <x:v>45813</x:v>
      </x:c>
      <x:c r="H66" s="95"/>
      <x:c r="I66" s="86" t="str">
        <x:v>CLT</x:v>
      </x:c>
      <x:c r="J66" s="86" t="str">
        <x:v>Presencial</x:v>
      </x:c>
      <x:c r="K66" s="91" t="n">
        <x:v>15994.47</x:v>
      </x:c>
      <x:c r="L66" s="86" t="str">
        <x:v>Ativo</x:v>
      </x:c>
      <x:c r="M66" s="87" t="n">
        <x:v>116</x:v>
      </x:c>
    </x:row>
    <x:row r="67">
      <x:c r="A67" s="85" t="n">
        <x:v>66</x:v>
      </x:c>
      <x:c r="B67" s="86" t="str">
        <x:v>F00066</x:v>
      </x:c>
      <x:c r="C67" s="86" t="str">
        <x:v>Camila Moreira Rocha</x:v>
      </x:c>
      <x:c r="D67" s="86" t="n">
        <x:v>2</x:v>
      </x:c>
      <x:c r="E67" s="86" t="n">
        <x:v>1</x:v>
      </x:c>
      <x:c r="F67" s="86" t="n">
        <x:v>1</x:v>
      </x:c>
      <x:c r="G67" s="95" t="n">
        <x:v>45063</x:v>
      </x:c>
      <x:c r="H67" s="95"/>
      <x:c r="I67" s="86" t="str">
        <x:v>CLT</x:v>
      </x:c>
      <x:c r="J67" s="86" t="str">
        <x:v>Presencial</x:v>
      </x:c>
      <x:c r="K67" s="91" t="n">
        <x:v>2968.41</x:v>
      </x:c>
      <x:c r="L67" s="86" t="str">
        <x:v>Ativo</x:v>
      </x:c>
      <x:c r="M67" s="87" t="n">
        <x:v>85</x:v>
      </x:c>
    </x:row>
    <x:row r="68">
      <x:c r="A68" s="85" t="n">
        <x:v>67</x:v>
      </x:c>
      <x:c r="B68" s="86" t="str">
        <x:v>F00067</x:v>
      </x:c>
      <x:c r="C68" s="86" t="str">
        <x:v>Patrícia Ferreira Souza</x:v>
      </x:c>
      <x:c r="D68" s="86" t="n">
        <x:v>1</x:v>
      </x:c>
      <x:c r="E68" s="86" t="n">
        <x:v>3</x:v>
      </x:c>
      <x:c r="F68" s="86" t="n">
        <x:v>3</x:v>
      </x:c>
      <x:c r="G68" s="95" t="n">
        <x:v>45538</x:v>
      </x:c>
      <x:c r="H68" s="95" t="n">
        <x:v>45756</x:v>
      </x:c>
      <x:c r="I68" s="86" t="str">
        <x:v>CLT</x:v>
      </x:c>
      <x:c r="J68" s="86" t="str">
        <x:v>Híbrido</x:v>
      </x:c>
      <x:c r="K68" s="91" t="n">
        <x:v>4242.16</x:v>
      </x:c>
      <x:c r="L68" s="86" t="str">
        <x:v>Desligado</x:v>
      </x:c>
      <x:c r="M68" s="87" t="n">
        <x:v>177</x:v>
      </x:c>
    </x:row>
    <x:row r="69">
      <x:c r="A69" s="85" t="n">
        <x:v>68</x:v>
      </x:c>
      <x:c r="B69" s="86" t="str">
        <x:v>F00068</x:v>
      </x:c>
      <x:c r="C69" s="86" t="str">
        <x:v>Larissa Almeida Ferreira</x:v>
      </x:c>
      <x:c r="D69" s="86" t="n">
        <x:v>3</x:v>
      </x:c>
      <x:c r="E69" s="86" t="n">
        <x:v>4</x:v>
      </x:c>
      <x:c r="F69" s="86" t="n">
        <x:v>4</x:v>
      </x:c>
      <x:c r="G69" s="95" t="n">
        <x:v>45718</x:v>
      </x:c>
      <x:c r="H69" s="95" t="n">
        <x:v>45871</x:v>
      </x:c>
      <x:c r="I69" s="86" t="str">
        <x:v>CLT</x:v>
      </x:c>
      <x:c r="J69" s="86" t="str">
        <x:v>Presencial</x:v>
      </x:c>
      <x:c r="K69" s="91" t="n">
        <x:v>4402.28</x:v>
      </x:c>
      <x:c r="L69" s="86" t="str">
        <x:v>Desligado</x:v>
      </x:c>
      <x:c r="M69" s="87" t="n">
        <x:v>82</x:v>
      </x:c>
    </x:row>
    <x:row r="70">
      <x:c r="A70" s="85" t="n">
        <x:v>69</x:v>
      </x:c>
      <x:c r="B70" s="86" t="str">
        <x:v>F00069</x:v>
      </x:c>
      <x:c r="C70" s="86" t="str">
        <x:v>Diego Nascimento Pereira</x:v>
      </x:c>
      <x:c r="D70" s="86" t="n">
        <x:v>2</x:v>
      </x:c>
      <x:c r="E70" s="86" t="n">
        <x:v>10</x:v>
      </x:c>
      <x:c r="F70" s="86" t="n">
        <x:v>10</x:v>
      </x:c>
      <x:c r="G70" s="95" t="n">
        <x:v>45225</x:v>
      </x:c>
      <x:c r="H70" s="95"/>
      <x:c r="I70" s="86" t="str">
        <x:v>CLT</x:v>
      </x:c>
      <x:c r="J70" s="86" t="str">
        <x:v>Presencial</x:v>
      </x:c>
      <x:c r="K70" s="91" t="n">
        <x:v>7106.3</x:v>
      </x:c>
      <x:c r="L70" s="86" t="str">
        <x:v>Ativo</x:v>
      </x:c>
      <x:c r="M70" s="87" t="n">
        <x:v>24</x:v>
      </x:c>
    </x:row>
    <x:row r="71">
      <x:c r="A71" s="85" t="n">
        <x:v>70</x:v>
      </x:c>
      <x:c r="B71" s="86" t="str">
        <x:v>F00070</x:v>
      </x:c>
      <x:c r="C71" s="86" t="str">
        <x:v>Camila Rodrigues Souza</x:v>
      </x:c>
      <x:c r="D71" s="86" t="n">
        <x:v>2</x:v>
      </x:c>
      <x:c r="E71" s="86" t="n">
        <x:v>3</x:v>
      </x:c>
      <x:c r="F71" s="86" t="n">
        <x:v>3</x:v>
      </x:c>
      <x:c r="G71" s="95" t="n">
        <x:v>45351</x:v>
      </x:c>
      <x:c r="H71" s="95"/>
      <x:c r="I71" s="86" t="str">
        <x:v>Temporário</x:v>
      </x:c>
      <x:c r="J71" s="86" t="str">
        <x:v>Presencial</x:v>
      </x:c>
      <x:c r="K71" s="91" t="n">
        <x:v>3718.66</x:v>
      </x:c>
      <x:c r="L71" s="86" t="str">
        <x:v>Ativo</x:v>
      </x:c>
      <x:c r="M71" s="87" t="n">
        <x:v>177</x:v>
      </x:c>
    </x:row>
    <x:row r="72">
      <x:c r="A72" s="85" t="n">
        <x:v>71</x:v>
      </x:c>
      <x:c r="B72" s="86" t="str">
        <x:v>F00071</x:v>
      </x:c>
      <x:c r="C72" s="86" t="str">
        <x:v>Gabriela Teixeira Cardoso</x:v>
      </x:c>
      <x:c r="D72" s="86" t="n">
        <x:v>4</x:v>
      </x:c>
      <x:c r="E72" s="86" t="n">
        <x:v>8</x:v>
      </x:c>
      <x:c r="F72" s="86" t="n">
        <x:v>8</x:v>
      </x:c>
      <x:c r="G72" s="95" t="n">
        <x:v>45691</x:v>
      </x:c>
      <x:c r="H72" s="95"/>
      <x:c r="I72" s="86" t="str">
        <x:v>Estágio</x:v>
      </x:c>
      <x:c r="J72" s="86" t="str">
        <x:v>Presencial</x:v>
      </x:c>
      <x:c r="K72" s="91" t="n">
        <x:v>7119.88</x:v>
      </x:c>
      <x:c r="L72" s="86" t="str">
        <x:v>Ativo</x:v>
      </x:c>
      <x:c r="M72" s="87" t="n">
        <x:v>86</x:v>
      </x:c>
    </x:row>
    <x:row r="73">
      <x:c r="A73" s="85" t="n">
        <x:v>72</x:v>
      </x:c>
      <x:c r="B73" s="86" t="str">
        <x:v>F00072</x:v>
      </x:c>
      <x:c r="C73" s="86" t="str">
        <x:v>Diego Mendes Silva</x:v>
      </x:c>
      <x:c r="D73" s="86" t="n">
        <x:v>3</x:v>
      </x:c>
      <x:c r="E73" s="86" t="n">
        <x:v>1</x:v>
      </x:c>
      <x:c r="F73" s="86" t="n">
        <x:v>1</x:v>
      </x:c>
      <x:c r="G73" s="95" t="n">
        <x:v>45602</x:v>
      </x:c>
      <x:c r="H73" s="95"/>
      <x:c r="I73" s="86" t="str">
        <x:v>CLT</x:v>
      </x:c>
      <x:c r="J73" s="86" t="str">
        <x:v>Presencial</x:v>
      </x:c>
      <x:c r="K73" s="91" t="n">
        <x:v>3029.94</x:v>
      </x:c>
      <x:c r="L73" s="86" t="str">
        <x:v>Ativo</x:v>
      </x:c>
      <x:c r="M73" s="87" t="n">
        <x:v>396</x:v>
      </x:c>
    </x:row>
    <x:row r="74">
      <x:c r="A74" s="85" t="n">
        <x:v>73</x:v>
      </x:c>
      <x:c r="B74" s="86" t="str">
        <x:v>F00073</x:v>
      </x:c>
      <x:c r="C74" s="86" t="str">
        <x:v>Vitória Santos Silva</x:v>
      </x:c>
      <x:c r="D74" s="86" t="n">
        <x:v>4</x:v>
      </x:c>
      <x:c r="E74" s="86" t="n">
        <x:v>6</x:v>
      </x:c>
      <x:c r="F74" s="86" t="n">
        <x:v>6</x:v>
      </x:c>
      <x:c r="G74" s="95" t="n">
        <x:v>45905</x:v>
      </x:c>
      <x:c r="H74" s="95"/>
      <x:c r="I74" s="86" t="str">
        <x:v>CLT</x:v>
      </x:c>
      <x:c r="J74" s="86" t="str">
        <x:v>Híbrido</x:v>
      </x:c>
      <x:c r="K74" s="91" t="n">
        <x:v>5535.72</x:v>
      </x:c>
      <x:c r="L74" s="86" t="str">
        <x:v>Ativo</x:v>
      </x:c>
      <x:c r="M74" s="87" t="n">
        <x:v>116</x:v>
      </x:c>
    </x:row>
    <x:row r="75">
      <x:c r="A75" s="85" t="n">
        <x:v>74</x:v>
      </x:c>
      <x:c r="B75" s="86" t="str">
        <x:v>F00074</x:v>
      </x:c>
      <x:c r="C75" s="86" t="str">
        <x:v>Sofia Rocha Mendes</x:v>
      </x:c>
      <x:c r="D75" s="86" t="n">
        <x:v>3</x:v>
      </x:c>
      <x:c r="E75" s="86" t="n">
        <x:v>1</x:v>
      </x:c>
      <x:c r="F75" s="86" t="n">
        <x:v>1</x:v>
      </x:c>
      <x:c r="G75" s="95" t="n">
        <x:v>45797</x:v>
      </x:c>
      <x:c r="H75" s="95" t="n">
        <x:v>45966</x:v>
      </x:c>
      <x:c r="I75" s="86" t="str">
        <x:v>CLT</x:v>
      </x:c>
      <x:c r="J75" s="86" t="str">
        <x:v>Presencial</x:v>
      </x:c>
      <x:c r="K75" s="91" t="n">
        <x:v>2389.57</x:v>
      </x:c>
      <x:c r="L75" s="86" t="str">
        <x:v>Desligado</x:v>
      </x:c>
      <x:c r="M75" s="87" t="n">
        <x:v>78</x:v>
      </x:c>
    </x:row>
    <x:row r="76">
      <x:c r="A76" s="85" t="n">
        <x:v>75</x:v>
      </x:c>
      <x:c r="B76" s="86" t="str">
        <x:v>F00075</x:v>
      </x:c>
      <x:c r="C76" s="86" t="str">
        <x:v>Beatriz Nascimento Pereira</x:v>
      </x:c>
      <x:c r="D76" s="86" t="n">
        <x:v>1</x:v>
      </x:c>
      <x:c r="E76" s="86" t="n">
        <x:v>10</x:v>
      </x:c>
      <x:c r="F76" s="86" t="n">
        <x:v>10</x:v>
      </x:c>
      <x:c r="G76" s="95" t="n">
        <x:v>45409</x:v>
      </x:c>
      <x:c r="H76" s="95"/>
      <x:c r="I76" s="86" t="str">
        <x:v>CLT</x:v>
      </x:c>
      <x:c r="J76" s="86" t="str">
        <x:v>Presencial</x:v>
      </x:c>
      <x:c r="K76" s="91" t="n">
        <x:v>7763.2</x:v>
      </x:c>
      <x:c r="L76" s="86" t="str">
        <x:v>Ativo</x:v>
      </x:c>
      <x:c r="M76" s="87" t="n">
        <x:v>24</x:v>
      </x:c>
    </x:row>
    <x:row r="77">
      <x:c r="A77" s="85" t="n">
        <x:v>76</x:v>
      </x:c>
      <x:c r="B77" s="86" t="str">
        <x:v>F00076</x:v>
      </x:c>
      <x:c r="C77" s="86" t="str">
        <x:v>Renata Cardoso Mendes</x:v>
      </x:c>
      <x:c r="D77" s="86" t="n">
        <x:v>3</x:v>
      </x:c>
      <x:c r="E77" s="86" t="n">
        <x:v>7</x:v>
      </x:c>
      <x:c r="F77" s="86" t="n">
        <x:v>7</x:v>
      </x:c>
      <x:c r="G77" s="95" t="n">
        <x:v>45034</x:v>
      </x:c>
      <x:c r="H77" s="95"/>
      <x:c r="I77" s="86" t="str">
        <x:v>Temporário</x:v>
      </x:c>
      <x:c r="J77" s="86" t="str">
        <x:v>Híbrido</x:v>
      </x:c>
      <x:c r="K77" s="91" t="n">
        <x:v>6500.11</x:v>
      </x:c>
      <x:c r="L77" s="86" t="str">
        <x:v>Ativo</x:v>
      </x:c>
      <x:c r="M77" s="87" t="n">
        <x:v>156</x:v>
      </x:c>
    </x:row>
    <x:row r="78">
      <x:c r="A78" s="85" t="n">
        <x:v>77</x:v>
      </x:c>
      <x:c r="B78" s="86" t="str">
        <x:v>F00077</x:v>
      </x:c>
      <x:c r="C78" s="86" t="str">
        <x:v>Camila Pereira Ferreira</x:v>
      </x:c>
      <x:c r="D78" s="86" t="n">
        <x:v>1</x:v>
      </x:c>
      <x:c r="E78" s="86" t="n">
        <x:v>1</x:v>
      </x:c>
      <x:c r="F78" s="86" t="n">
        <x:v>11</x:v>
      </x:c>
      <x:c r="G78" s="95" t="n">
        <x:v>45198</x:v>
      </x:c>
      <x:c r="H78" s="95"/>
      <x:c r="I78" s="86" t="str">
        <x:v>Temporário</x:v>
      </x:c>
      <x:c r="J78" s="86" t="str">
        <x:v>Presencial</x:v>
      </x:c>
      <x:c r="K78" s="91" t="n">
        <x:v>7835.91</x:v>
      </x:c>
      <x:c r="L78" s="86" t="str">
        <x:v>Ativo</x:v>
      </x:c>
      <x:c r="M78" s="87" t="n">
        <x:v>78</x:v>
      </x:c>
    </x:row>
    <x:row r="79">
      <x:c r="A79" s="85" t="n">
        <x:v>78</x:v>
      </x:c>
      <x:c r="B79" s="86" t="str">
        <x:v>F00078</x:v>
      </x:c>
      <x:c r="C79" s="86" t="str">
        <x:v>Carolina Mendes Silva</x:v>
      </x:c>
      <x:c r="D79" s="86" t="n">
        <x:v>1</x:v>
      </x:c>
      <x:c r="E79" s="86" t="n">
        <x:v>1</x:v>
      </x:c>
      <x:c r="F79" s="86" t="n">
        <x:v>11</x:v>
      </x:c>
      <x:c r="G79" s="95" t="n">
        <x:v>45958</x:v>
      </x:c>
      <x:c r="H79" s="95"/>
      <x:c r="I79" s="86" t="str">
        <x:v>CLT</x:v>
      </x:c>
      <x:c r="J79" s="86" t="str">
        <x:v>Presencial</x:v>
      </x:c>
      <x:c r="K79" s="91" t="n">
        <x:v>6919.26</x:v>
      </x:c>
      <x:c r="L79" s="86" t="str">
        <x:v>Ativo</x:v>
      </x:c>
      <x:c r="M79" s="87" t="n">
        <x:v>371</x:v>
      </x:c>
    </x:row>
    <x:row r="80">
      <x:c r="A80" s="85" t="n">
        <x:v>79</x:v>
      </x:c>
      <x:c r="B80" s="86" t="str">
        <x:v>F00079</x:v>
      </x:c>
      <x:c r="C80" s="86" t="str">
        <x:v>Patrícia Nascimento Gomes</x:v>
      </x:c>
      <x:c r="D80" s="86" t="n">
        <x:v>3</x:v>
      </x:c>
      <x:c r="E80" s="86" t="n">
        <x:v>4</x:v>
      </x:c>
      <x:c r="F80" s="86" t="n">
        <x:v>4</x:v>
      </x:c>
      <x:c r="G80" s="95" t="n">
        <x:v>45390</x:v>
      </x:c>
      <x:c r="H80" s="95"/>
      <x:c r="I80" s="86" t="str">
        <x:v>CLT</x:v>
      </x:c>
      <x:c r="J80" s="86" t="str">
        <x:v>Remoto</x:v>
      </x:c>
      <x:c r="K80" s="91" t="n">
        <x:v>5662.47</x:v>
      </x:c>
      <x:c r="L80" s="86" t="str">
        <x:v>Ativo</x:v>
      </x:c>
      <x:c r="M80" s="87" t="n">
        <x:v>61</x:v>
      </x:c>
    </x:row>
    <x:row r="81">
      <x:c r="A81" s="85" t="n">
        <x:v>80</x:v>
      </x:c>
      <x:c r="B81" s="86" t="str">
        <x:v>F00080</x:v>
      </x:c>
      <x:c r="C81" s="86" t="str">
        <x:v>João Martins Ribeiro</x:v>
      </x:c>
      <x:c r="D81" s="86" t="n">
        <x:v>4</x:v>
      </x:c>
      <x:c r="E81" s="86" t="n">
        <x:v>9</x:v>
      </x:c>
      <x:c r="F81" s="86" t="n">
        <x:v>9</x:v>
      </x:c>
      <x:c r="G81" s="95" t="n">
        <x:v>45687</x:v>
      </x:c>
      <x:c r="H81" s="95" t="n">
        <x:v>45960</x:v>
      </x:c>
      <x:c r="I81" s="86" t="str">
        <x:v>CLT</x:v>
      </x:c>
      <x:c r="J81" s="86" t="str">
        <x:v>Presencial</x:v>
      </x:c>
      <x:c r="K81" s="91" t="n">
        <x:v>6421.4</x:v>
      </x:c>
      <x:c r="L81" s="86" t="str">
        <x:v>Desligado</x:v>
      </x:c>
      <x:c r="M81" s="87" t="n">
        <x:v>189</x:v>
      </x:c>
    </x:row>
    <x:row r="82">
      <x:c r="A82" s="85" t="n">
        <x:v>81</x:v>
      </x:c>
      <x:c r="B82" s="86" t="str">
        <x:v>F00081</x:v>
      </x:c>
      <x:c r="C82" s="86" t="str">
        <x:v>Fernanda Souza Silva</x:v>
      </x:c>
      <x:c r="D82" s="86" t="n">
        <x:v>1</x:v>
      </x:c>
      <x:c r="E82" s="86" t="n">
        <x:v>3</x:v>
      </x:c>
      <x:c r="F82" s="86" t="n">
        <x:v>3</x:v>
      </x:c>
      <x:c r="G82" s="95" t="n">
        <x:v>45234</x:v>
      </x:c>
      <x:c r="H82" s="95" t="n">
        <x:v>45975</x:v>
      </x:c>
      <x:c r="I82" s="86" t="str">
        <x:v>CLT</x:v>
      </x:c>
      <x:c r="J82" s="86" t="str">
        <x:v>Híbrido</x:v>
      </x:c>
      <x:c r="K82" s="91" t="n">
        <x:v>3661.88</x:v>
      </x:c>
      <x:c r="L82" s="86" t="str">
        <x:v>Desligado</x:v>
      </x:c>
      <x:c r="M82" s="87" t="n">
        <x:v>26</x:v>
      </x:c>
    </x:row>
    <x:row r="83">
      <x:c r="A83" s="85" t="n">
        <x:v>82</x:v>
      </x:c>
      <x:c r="B83" s="86" t="str">
        <x:v>F00082</x:v>
      </x:c>
      <x:c r="C83" s="86" t="str">
        <x:v>Lucas Rodrigues Rodrigues</x:v>
      </x:c>
      <x:c r="D83" s="86" t="n">
        <x:v>2</x:v>
      </x:c>
      <x:c r="E83" s="86" t="n">
        <x:v>4</x:v>
      </x:c>
      <x:c r="F83" s="86" t="n">
        <x:v>14</x:v>
      </x:c>
      <x:c r="G83" s="95" t="n">
        <x:v>45169</x:v>
      </x:c>
      <x:c r="H83" s="95"/>
      <x:c r="I83" s="86" t="str">
        <x:v>CLT</x:v>
      </x:c>
      <x:c r="J83" s="86" t="str">
        <x:v>Presencial</x:v>
      </x:c>
      <x:c r="K83" s="91" t="n">
        <x:v>9846.32</x:v>
      </x:c>
      <x:c r="L83" s="86" t="str">
        <x:v>Ativo</x:v>
      </x:c>
      <x:c r="M83" s="87" t="n">
        <x:v>61</x:v>
      </x:c>
    </x:row>
    <x:row r="84">
      <x:c r="A84" s="85" t="n">
        <x:v>83</x:v>
      </x:c>
      <x:c r="B84" s="86" t="str">
        <x:v>F00083</x:v>
      </x:c>
      <x:c r="C84" s="86" t="str">
        <x:v>Helena Cardoso Nascimento</x:v>
      </x:c>
      <x:c r="D84" s="86" t="n">
        <x:v>2</x:v>
      </x:c>
      <x:c r="E84" s="86" t="n">
        <x:v>1</x:v>
      </x:c>
      <x:c r="F84" s="86" t="n">
        <x:v>1</x:v>
      </x:c>
      <x:c r="G84" s="95" t="n">
        <x:v>45768</x:v>
      </x:c>
      <x:c r="H84" s="95" t="n">
        <x:v>45923</x:v>
      </x:c>
      <x:c r="I84" s="86" t="str">
        <x:v>Estágio</x:v>
      </x:c>
      <x:c r="J84" s="86" t="str">
        <x:v>Híbrido</x:v>
      </x:c>
      <x:c r="K84" s="91" t="n">
        <x:v>2290.15</x:v>
      </x:c>
      <x:c r="L84" s="86" t="str">
        <x:v>Desligado</x:v>
      </x:c>
      <x:c r="M84" s="87" t="n">
        <x:v>371</x:v>
      </x:c>
    </x:row>
    <x:row r="85">
      <x:c r="A85" s="85" t="n">
        <x:v>84</x:v>
      </x:c>
      <x:c r="B85" s="86" t="str">
        <x:v>F00084</x:v>
      </x:c>
      <x:c r="C85" s="86" t="str">
        <x:v>Diego Moreira Santos</x:v>
      </x:c>
      <x:c r="D85" s="86" t="n">
        <x:v>2</x:v>
      </x:c>
      <x:c r="E85" s="86" t="n">
        <x:v>4</x:v>
      </x:c>
      <x:c r="F85" s="86" t="n">
        <x:v>4</x:v>
      </x:c>
      <x:c r="G85" s="95" t="n">
        <x:v>45924</x:v>
      </x:c>
      <x:c r="H85" s="95"/>
      <x:c r="I85" s="86" t="str">
        <x:v>CLT</x:v>
      </x:c>
      <x:c r="J85" s="86" t="str">
        <x:v>Remoto</x:v>
      </x:c>
      <x:c r="K85" s="91" t="n">
        <x:v>5573.95</x:v>
      </x:c>
      <x:c r="L85" s="86" t="str">
        <x:v>Ativo</x:v>
      </x:c>
      <x:c r="M85" s="87" t="n">
        <x:v>237</x:v>
      </x:c>
    </x:row>
    <x:row r="86">
      <x:c r="A86" s="85" t="n">
        <x:v>85</x:v>
      </x:c>
      <x:c r="B86" s="86" t="str">
        <x:v>F00085</x:v>
      </x:c>
      <x:c r="C86" s="86" t="str">
        <x:v>Eduardo Costa Rodrigues</x:v>
      </x:c>
      <x:c r="D86" s="86" t="n">
        <x:v>3</x:v>
      </x:c>
      <x:c r="E86" s="86" t="n">
        <x:v>1</x:v>
      </x:c>
      <x:c r="F86" s="86" t="n">
        <x:v>11</x:v>
      </x:c>
      <x:c r="G86" s="95" t="n">
        <x:v>45324</x:v>
      </x:c>
      <x:c r="H86" s="95"/>
      <x:c r="I86" s="86" t="str">
        <x:v>CLT</x:v>
      </x:c>
      <x:c r="J86" s="86" t="str">
        <x:v>Híbrido</x:v>
      </x:c>
      <x:c r="K86" s="91" t="n">
        <x:v>8171.36</x:v>
      </x:c>
      <x:c r="L86" s="86" t="str">
        <x:v>Ativo</x:v>
      </x:c>
      <x:c r="M86" s="87" t="n">
        <x:v>77</x:v>
      </x:c>
    </x:row>
    <x:row r="87">
      <x:c r="A87" s="85" t="n">
        <x:v>86</x:v>
      </x:c>
      <x:c r="B87" s="86" t="str">
        <x:v>F00086</x:v>
      </x:c>
      <x:c r="C87" s="86" t="str">
        <x:v>Bruno Nascimento Ferreira</x:v>
      </x:c>
      <x:c r="D87" s="86" t="n">
        <x:v>3</x:v>
      </x:c>
      <x:c r="E87" s="86" t="n">
        <x:v>8</x:v>
      </x:c>
      <x:c r="F87" s="86" t="n">
        <x:v>18</x:v>
      </x:c>
      <x:c r="G87" s="95" t="n">
        <x:v>45777</x:v>
      </x:c>
      <x:c r="H87" s="95"/>
      <x:c r="I87" s="86" t="str">
        <x:v>CLT</x:v>
      </x:c>
      <x:c r="J87" s="86" t="str">
        <x:v>Presencial</x:v>
      </x:c>
      <x:c r="K87" s="91" t="n">
        <x:v>17613.06</x:v>
      </x:c>
      <x:c r="L87" s="86" t="str">
        <x:v>Ativo</x:v>
      </x:c>
      <x:c r="M87" s="87" t="n">
        <x:v>109</x:v>
      </x:c>
    </x:row>
    <x:row r="88">
      <x:c r="A88" s="85" t="n">
        <x:v>87</x:v>
      </x:c>
      <x:c r="B88" s="86" t="str">
        <x:v>F00087</x:v>
      </x:c>
      <x:c r="C88" s="86" t="str">
        <x:v>Rafael Ribeiro Rocha</x:v>
      </x:c>
      <x:c r="D88" s="86" t="n">
        <x:v>3</x:v>
      </x:c>
      <x:c r="E88" s="86" t="n">
        <x:v>2</x:v>
      </x:c>
      <x:c r="F88" s="86" t="n">
        <x:v>2</x:v>
      </x:c>
      <x:c r="G88" s="95" t="n">
        <x:v>45902</x:v>
      </x:c>
      <x:c r="H88" s="95"/>
      <x:c r="I88" s="86" t="str">
        <x:v>CLT</x:v>
      </x:c>
      <x:c r="J88" s="86" t="str">
        <x:v>Híbrido</x:v>
      </x:c>
      <x:c r="K88" s="91" t="n">
        <x:v>3978.45</x:v>
      </x:c>
      <x:c r="L88" s="86" t="str">
        <x:v>Ativo</x:v>
      </x:c>
      <x:c r="M88" s="87" t="n">
        <x:v>111</x:v>
      </x:c>
    </x:row>
    <x:row r="89">
      <x:c r="A89" s="85" t="n">
        <x:v>88</x:v>
      </x:c>
      <x:c r="B89" s="86" t="str">
        <x:v>F00088</x:v>
      </x:c>
      <x:c r="C89" s="86" t="str">
        <x:v>Sofia Mendes Gomes</x:v>
      </x:c>
      <x:c r="D89" s="86" t="n">
        <x:v>1</x:v>
      </x:c>
      <x:c r="E89" s="86" t="n">
        <x:v>1</x:v>
      </x:c>
      <x:c r="F89" s="86" t="n">
        <x:v>1</x:v>
      </x:c>
      <x:c r="G89" s="95" t="n">
        <x:v>45547</x:v>
      </x:c>
      <x:c r="H89" s="95"/>
      <x:c r="I89" s="86" t="str">
        <x:v>CLT</x:v>
      </x:c>
      <x:c r="J89" s="86" t="str">
        <x:v>Presencial</x:v>
      </x:c>
      <x:c r="K89" s="91" t="n">
        <x:v>3047.51</x:v>
      </x:c>
      <x:c r="L89" s="86" t="str">
        <x:v>Ativo</x:v>
      </x:c>
      <x:c r="M89" s="87" t="n">
        <x:v>185</x:v>
      </x:c>
    </x:row>
    <x:row r="90">
      <x:c r="A90" s="85" t="n">
        <x:v>89</x:v>
      </x:c>
      <x:c r="B90" s="86" t="str">
        <x:v>F00089</x:v>
      </x:c>
      <x:c r="C90" s="86" t="str">
        <x:v>Igor Nascimento Cardoso</x:v>
      </x:c>
      <x:c r="D90" s="86" t="n">
        <x:v>3</x:v>
      </x:c>
      <x:c r="E90" s="86" t="n">
        <x:v>3</x:v>
      </x:c>
      <x:c r="F90" s="86" t="n">
        <x:v>3</x:v>
      </x:c>
      <x:c r="G90" s="95" t="n">
        <x:v>45443</x:v>
      </x:c>
      <x:c r="H90" s="95"/>
      <x:c r="I90" s="86" t="str">
        <x:v>CLT</x:v>
      </x:c>
      <x:c r="J90" s="86" t="str">
        <x:v>Presencial</x:v>
      </x:c>
      <x:c r="K90" s="91" t="n">
        <x:v>3149.25</x:v>
      </x:c>
      <x:c r="L90" s="86" t="str">
        <x:v>Ativo</x:v>
      </x:c>
      <x:c r="M90" s="87" t="n">
        <x:v>177</x:v>
      </x:c>
    </x:row>
    <x:row r="91">
      <x:c r="A91" s="85" t="n">
        <x:v>90</x:v>
      </x:c>
      <x:c r="B91" s="86" t="str">
        <x:v>F00090</x:v>
      </x:c>
      <x:c r="C91" s="86" t="str">
        <x:v>Igor Almeida Mendes</x:v>
      </x:c>
      <x:c r="D91" s="86" t="n">
        <x:v>4</x:v>
      </x:c>
      <x:c r="E91" s="86" t="n">
        <x:v>6</x:v>
      </x:c>
      <x:c r="F91" s="86" t="n">
        <x:v>6</x:v>
      </x:c>
      <x:c r="G91" s="95" t="n">
        <x:v>45043</x:v>
      </x:c>
      <x:c r="H91" s="95" t="n">
        <x:v>45780</x:v>
      </x:c>
      <x:c r="I91" s="86" t="str">
        <x:v>CLT</x:v>
      </x:c>
      <x:c r="J91" s="86" t="str">
        <x:v>Presencial</x:v>
      </x:c>
      <x:c r="K91" s="91" t="n">
        <x:v>5325.51</x:v>
      </x:c>
      <x:c r="L91" s="86" t="str">
        <x:v>Desligado</x:v>
      </x:c>
      <x:c r="M91" s="87" t="n">
        <x:v>116</x:v>
      </x:c>
    </x:row>
    <x:row r="92">
      <x:c r="A92" s="85" t="n">
        <x:v>91</x:v>
      </x:c>
      <x:c r="B92" s="86" t="str">
        <x:v>F00091</x:v>
      </x:c>
      <x:c r="C92" s="86" t="str">
        <x:v>Eduardo Rocha Teixeira</x:v>
      </x:c>
      <x:c r="D92" s="86" t="n">
        <x:v>2</x:v>
      </x:c>
      <x:c r="E92" s="86" t="n">
        <x:v>1</x:v>
      </x:c>
      <x:c r="F92" s="86" t="n">
        <x:v>11</x:v>
      </x:c>
      <x:c r="G92" s="95" t="n">
        <x:v>45738</x:v>
      </x:c>
      <x:c r="H92" s="95" t="n">
        <x:v>45934</x:v>
      </x:c>
      <x:c r="I92" s="86" t="str">
        <x:v>CLT</x:v>
      </x:c>
      <x:c r="J92" s="86" t="str">
        <x:v>Híbrido</x:v>
      </x:c>
      <x:c r="K92" s="91" t="n">
        <x:v>7875.98</x:v>
      </x:c>
      <x:c r="L92" s="86" t="str">
        <x:v>Desligado</x:v>
      </x:c>
      <x:c r="M92" s="87" t="n">
        <x:v>85</x:v>
      </x:c>
    </x:row>
    <x:row r="93">
      <x:c r="A93" s="85" t="n">
        <x:v>92</x:v>
      </x:c>
      <x:c r="B93" s="86" t="str">
        <x:v>F00092</x:v>
      </x:c>
      <x:c r="C93" s="86" t="str">
        <x:v>Renata Rodrigues Nascimento</x:v>
      </x:c>
      <x:c r="D93" s="86" t="n">
        <x:v>3</x:v>
      </x:c>
      <x:c r="E93" s="86" t="n">
        <x:v>9</x:v>
      </x:c>
      <x:c r="F93" s="86" t="n">
        <x:v>9</x:v>
      </x:c>
      <x:c r="G93" s="95" t="n">
        <x:v>45533</x:v>
      </x:c>
      <x:c r="H93" s="95"/>
      <x:c r="I93" s="86" t="str">
        <x:v>Temporário</x:v>
      </x:c>
      <x:c r="J93" s="86" t="str">
        <x:v>Presencial</x:v>
      </x:c>
      <x:c r="K93" s="91" t="n">
        <x:v>9378.96</x:v>
      </x:c>
      <x:c r="L93" s="86" t="str">
        <x:v>Ativo</x:v>
      </x:c>
      <x:c r="M93" s="87" t="n">
        <x:v>189</x:v>
      </x:c>
    </x:row>
    <x:row r="94">
      <x:c r="A94" s="85" t="n">
        <x:v>93</x:v>
      </x:c>
      <x:c r="B94" s="86" t="str">
        <x:v>F00093</x:v>
      </x:c>
      <x:c r="C94" s="86" t="str">
        <x:v>Camila Ribeiro Cardoso</x:v>
      </x:c>
      <x:c r="D94" s="86" t="n">
        <x:v>4</x:v>
      </x:c>
      <x:c r="E94" s="86" t="n">
        <x:v>8</x:v>
      </x:c>
      <x:c r="F94" s="86" t="n">
        <x:v>8</x:v>
      </x:c>
      <x:c r="G94" s="95" t="n">
        <x:v>45325</x:v>
      </x:c>
      <x:c r="H94" s="95" t="n">
        <x:v>45942</x:v>
      </x:c>
      <x:c r="I94" s="86" t="str">
        <x:v>CLT</x:v>
      </x:c>
      <x:c r="J94" s="86" t="str">
        <x:v>Híbrido</x:v>
      </x:c>
      <x:c r="K94" s="91" t="n">
        <x:v>5098.44</x:v>
      </x:c>
      <x:c r="L94" s="86" t="str">
        <x:v>Desligado</x:v>
      </x:c>
      <x:c r="M94" s="87" t="n">
        <x:v>64</x:v>
      </x:c>
    </x:row>
    <x:row r="95">
      <x:c r="A95" s="85" t="n">
        <x:v>94</x:v>
      </x:c>
      <x:c r="B95" s="86" t="str">
        <x:v>F00094</x:v>
      </x:c>
      <x:c r="C95" s="86" t="str">
        <x:v>Helena Silva Martins</x:v>
      </x:c>
      <x:c r="D95" s="86" t="n">
        <x:v>2</x:v>
      </x:c>
      <x:c r="E95" s="86" t="n">
        <x:v>5</x:v>
      </x:c>
      <x:c r="F95" s="86" t="n">
        <x:v>15</x:v>
      </x:c>
      <x:c r="G95" s="95" t="n">
        <x:v>45506</x:v>
      </x:c>
      <x:c r="H95" s="95"/>
      <x:c r="I95" s="86" t="str">
        <x:v>CLT</x:v>
      </x:c>
      <x:c r="J95" s="86" t="str">
        <x:v>Presencial</x:v>
      </x:c>
      <x:c r="K95" s="91" t="n">
        <x:v>15294.25</x:v>
      </x:c>
      <x:c r="L95" s="86" t="str">
        <x:v>Ativo</x:v>
      </x:c>
      <x:c r="M95" s="87" t="n">
        <x:v>39</x:v>
      </x:c>
    </x:row>
    <x:row r="96">
      <x:c r="A96" s="85" t="n">
        <x:v>95</x:v>
      </x:c>
      <x:c r="B96" s="86" t="str">
        <x:v>F00095</x:v>
      </x:c>
      <x:c r="C96" s="86" t="str">
        <x:v>Helena Martins Souza</x:v>
      </x:c>
      <x:c r="D96" s="86" t="n">
        <x:v>2</x:v>
      </x:c>
      <x:c r="E96" s="86" t="n">
        <x:v>1</x:v>
      </x:c>
      <x:c r="F96" s="86" t="n">
        <x:v>1</x:v>
      </x:c>
      <x:c r="G96" s="95" t="n">
        <x:v>45083</x:v>
      </x:c>
      <x:c r="H96" s="95"/>
      <x:c r="I96" s="86" t="str">
        <x:v>Temporário</x:v>
      </x:c>
      <x:c r="J96" s="86" t="str">
        <x:v>Presencial</x:v>
      </x:c>
      <x:c r="K96" s="91" t="n">
        <x:v>3257.69</x:v>
      </x:c>
      <x:c r="L96" s="86" t="str">
        <x:v>Ativo</x:v>
      </x:c>
      <x:c r="M96" s="87" t="n">
        <x:v>185</x:v>
      </x:c>
    </x:row>
    <x:row r="97">
      <x:c r="A97" s="85" t="n">
        <x:v>96</x:v>
      </x:c>
      <x:c r="B97" s="86" t="str">
        <x:v>F00096</x:v>
      </x:c>
      <x:c r="C97" s="86" t="str">
        <x:v>Bruno Costa Barbosa</x:v>
      </x:c>
      <x:c r="D97" s="86" t="n">
        <x:v>3</x:v>
      </x:c>
      <x:c r="E97" s="86" t="n">
        <x:v>1</x:v>
      </x:c>
      <x:c r="F97" s="86" t="n">
        <x:v>1</x:v>
      </x:c>
      <x:c r="G97" s="95" t="n">
        <x:v>45122</x:v>
      </x:c>
      <x:c r="H97" s="95"/>
      <x:c r="I97" s="86" t="str">
        <x:v>CLT</x:v>
      </x:c>
      <x:c r="J97" s="86" t="str">
        <x:v>Presencial</x:v>
      </x:c>
      <x:c r="K97" s="91" t="n">
        <x:v>2637.32</x:v>
      </x:c>
      <x:c r="L97" s="86" t="str">
        <x:v>Ativo</x:v>
      </x:c>
      <x:c r="M97" s="87" t="n">
        <x:v>10</x:v>
      </x:c>
    </x:row>
    <x:row r="98">
      <x:c r="A98" s="85" t="n">
        <x:v>97</x:v>
      </x:c>
      <x:c r="B98" s="86" t="str">
        <x:v>F00097</x:v>
      </x:c>
      <x:c r="C98" s="86" t="str">
        <x:v>Lucas Pereira Oliveira</x:v>
      </x:c>
      <x:c r="D98" s="86" t="n">
        <x:v>3</x:v>
      </x:c>
      <x:c r="E98" s="86" t="n">
        <x:v>7</x:v>
      </x:c>
      <x:c r="F98" s="86" t="n">
        <x:v>7</x:v>
      </x:c>
      <x:c r="G98" s="95" t="n">
        <x:v>45173</x:v>
      </x:c>
      <x:c r="H98" s="95"/>
      <x:c r="I98" s="86" t="str">
        <x:v>CLT</x:v>
      </x:c>
      <x:c r="J98" s="86" t="str">
        <x:v>Presencial</x:v>
      </x:c>
      <x:c r="K98" s="91" t="n">
        <x:v>5659.79</x:v>
      </x:c>
      <x:c r="L98" s="86" t="str">
        <x:v>Ativo</x:v>
      </x:c>
      <x:c r="M98" s="87" t="n">
        <x:v>147</x:v>
      </x:c>
    </x:row>
    <x:row r="99">
      <x:c r="A99" s="85" t="n">
        <x:v>98</x:v>
      </x:c>
      <x:c r="B99" s="86" t="str">
        <x:v>F00098</x:v>
      </x:c>
      <x:c r="C99" s="86" t="str">
        <x:v>Fernanda Almeida Ferreira</x:v>
      </x:c>
      <x:c r="D99" s="86" t="n">
        <x:v>1</x:v>
      </x:c>
      <x:c r="E99" s="86" t="n">
        <x:v>1</x:v>
      </x:c>
      <x:c r="F99" s="86" t="n">
        <x:v>11</x:v>
      </x:c>
      <x:c r="G99" s="95" t="n">
        <x:v>45584</x:v>
      </x:c>
      <x:c r="H99" s="95"/>
      <x:c r="I99" s="86" t="str">
        <x:v>CLT</x:v>
      </x:c>
      <x:c r="J99" s="86" t="str">
        <x:v>Presencial</x:v>
      </x:c>
      <x:c r="K99" s="91" t="n">
        <x:v>8468.77</x:v>
      </x:c>
      <x:c r="L99" s="86" t="str">
        <x:v>Ativo</x:v>
      </x:c>
      <x:c r="M99" s="87" t="n">
        <x:v>185</x:v>
      </x:c>
    </x:row>
    <x:row r="100">
      <x:c r="A100" s="85" t="n">
        <x:v>99</x:v>
      </x:c>
      <x:c r="B100" s="86" t="str">
        <x:v>F00099</x:v>
      </x:c>
      <x:c r="C100" s="86" t="str">
        <x:v>Bruno Rocha Cardoso</x:v>
      </x:c>
      <x:c r="D100" s="86" t="n">
        <x:v>2</x:v>
      </x:c>
      <x:c r="E100" s="86" t="n">
        <x:v>2</x:v>
      </x:c>
      <x:c r="F100" s="86" t="n">
        <x:v>2</x:v>
      </x:c>
      <x:c r="G100" s="95" t="n">
        <x:v>44956</x:v>
      </x:c>
      <x:c r="H100" s="95"/>
      <x:c r="I100" s="86" t="str">
        <x:v>CLT</x:v>
      </x:c>
      <x:c r="J100" s="86" t="str">
        <x:v>Híbrido</x:v>
      </x:c>
      <x:c r="K100" s="91" t="n">
        <x:v>3276.5</x:v>
      </x:c>
      <x:c r="L100" s="86" t="str">
        <x:v>Ativo</x:v>
      </x:c>
      <x:c r="M100" s="87" t="n">
        <x:v>8</x:v>
      </x:c>
    </x:row>
    <x:row r="101">
      <x:c r="A101" s="85" t="n">
        <x:v>100</x:v>
      </x:c>
      <x:c r="B101" s="86" t="str">
        <x:v>F00100</x:v>
      </x:c>
      <x:c r="C101" s="86" t="str">
        <x:v>Vitória Ferreira Oliveira</x:v>
      </x:c>
      <x:c r="D101" s="86" t="n">
        <x:v>2</x:v>
      </x:c>
      <x:c r="E101" s="86" t="n">
        <x:v>1</x:v>
      </x:c>
      <x:c r="F101" s="86" t="n">
        <x:v>1</x:v>
      </x:c>
      <x:c r="G101" s="95" t="n">
        <x:v>45719</x:v>
      </x:c>
      <x:c r="H101" s="95"/>
      <x:c r="I101" s="86" t="str">
        <x:v>Estágio</x:v>
      </x:c>
      <x:c r="J101" s="86" t="str">
        <x:v>Presencial</x:v>
      </x:c>
      <x:c r="K101" s="91" t="n">
        <x:v>2863.07</x:v>
      </x:c>
      <x:c r="L101" s="86" t="str">
        <x:v>Ativo</x:v>
      </x:c>
      <x:c r="M101" s="87" t="n">
        <x:v>396</x:v>
      </x:c>
    </x:row>
    <x:row r="102">
      <x:c r="A102" s="85" t="n">
        <x:v>101</x:v>
      </x:c>
      <x:c r="B102" s="86" t="str">
        <x:v>F00101</x:v>
      </x:c>
      <x:c r="C102" s="86" t="str">
        <x:v>Carlos Mendes Santos</x:v>
      </x:c>
      <x:c r="D102" s="86" t="n">
        <x:v>3</x:v>
      </x:c>
      <x:c r="E102" s="86" t="n">
        <x:v>1</x:v>
      </x:c>
      <x:c r="F102" s="86" t="n">
        <x:v>1</x:v>
      </x:c>
      <x:c r="G102" s="95" t="n">
        <x:v>45291</x:v>
      </x:c>
      <x:c r="H102" s="95"/>
      <x:c r="I102" s="86" t="str">
        <x:v>CLT</x:v>
      </x:c>
      <x:c r="J102" s="86" t="str">
        <x:v>Híbrido</x:v>
      </x:c>
      <x:c r="K102" s="91" t="n">
        <x:v>2307.34</x:v>
      </x:c>
      <x:c r="L102" s="86" t="str">
        <x:v>Ativo</x:v>
      </x:c>
      <x:c r="M102" s="87" t="n">
        <x:v>78</x:v>
      </x:c>
    </x:row>
    <x:row r="103">
      <x:c r="A103" s="85" t="n">
        <x:v>102</x:v>
      </x:c>
      <x:c r="B103" s="86" t="str">
        <x:v>F00102</x:v>
      </x:c>
      <x:c r="C103" s="86" t="str">
        <x:v>Eduardo Gomes Silva</x:v>
      </x:c>
      <x:c r="D103" s="86" t="n">
        <x:v>3</x:v>
      </x:c>
      <x:c r="E103" s="86" t="n">
        <x:v>4</x:v>
      </x:c>
      <x:c r="F103" s="86" t="n">
        <x:v>4</x:v>
      </x:c>
      <x:c r="G103" s="95" t="n">
        <x:v>45225</x:v>
      </x:c>
      <x:c r="H103" s="95"/>
      <x:c r="I103" s="86" t="str">
        <x:v>CLT</x:v>
      </x:c>
      <x:c r="J103" s="86" t="str">
        <x:v>Presencial</x:v>
      </x:c>
      <x:c r="K103" s="91" t="n">
        <x:v>6409.42</x:v>
      </x:c>
      <x:c r="L103" s="86" t="str">
        <x:v>Ativo</x:v>
      </x:c>
      <x:c r="M103" s="87" t="n">
        <x:v>82</x:v>
      </x:c>
    </x:row>
    <x:row r="104">
      <x:c r="A104" s="85" t="n">
        <x:v>103</x:v>
      </x:c>
      <x:c r="B104" s="86" t="str">
        <x:v>F00103</x:v>
      </x:c>
      <x:c r="C104" s="86" t="str">
        <x:v>Fernanda Gomes Ribeiro</x:v>
      </x:c>
      <x:c r="D104" s="86" t="n">
        <x:v>1</x:v>
      </x:c>
      <x:c r="E104" s="86" t="n">
        <x:v>5</x:v>
      </x:c>
      <x:c r="F104" s="86" t="n">
        <x:v>5</x:v>
      </x:c>
      <x:c r="G104" s="95" t="n">
        <x:v>45929</x:v>
      </x:c>
      <x:c r="H104" s="95"/>
      <x:c r="I104" s="86" t="str">
        <x:v>CLT</x:v>
      </x:c>
      <x:c r="J104" s="86" t="str">
        <x:v>Híbrido</x:v>
      </x:c>
      <x:c r="K104" s="91" t="n">
        <x:v>7627.11</x:v>
      </x:c>
      <x:c r="L104" s="86" t="str">
        <x:v>Ativo</x:v>
      </x:c>
      <x:c r="M104" s="87" t="n">
        <x:v>39</x:v>
      </x:c>
    </x:row>
    <x:row r="105">
      <x:c r="A105" s="85" t="n">
        <x:v>104</x:v>
      </x:c>
      <x:c r="B105" s="86" t="str">
        <x:v>F00104</x:v>
      </x:c>
      <x:c r="C105" s="86" t="str">
        <x:v>Gabriela Souza Ribeiro</x:v>
      </x:c>
      <x:c r="D105" s="86" t="n">
        <x:v>2</x:v>
      </x:c>
      <x:c r="E105" s="86" t="n">
        <x:v>2</x:v>
      </x:c>
      <x:c r="F105" s="86" t="n">
        <x:v>12</x:v>
      </x:c>
      <x:c r="G105" s="95" t="n">
        <x:v>45549</x:v>
      </x:c>
      <x:c r="H105" s="95"/>
      <x:c r="I105" s="86" t="str">
        <x:v>Estágio</x:v>
      </x:c>
      <x:c r="J105" s="86" t="str">
        <x:v>Presencial</x:v>
      </x:c>
      <x:c r="K105" s="91" t="n">
        <x:v>10552.55</x:v>
      </x:c>
      <x:c r="L105" s="86" t="str">
        <x:v>Ativo</x:v>
      </x:c>
      <x:c r="M105" s="87" t="n">
        <x:v>111</x:v>
      </x:c>
    </x:row>
    <x:row r="106">
      <x:c r="A106" s="85" t="n">
        <x:v>105</x:v>
      </x:c>
      <x:c r="B106" s="86" t="str">
        <x:v>F00105</x:v>
      </x:c>
      <x:c r="C106" s="86" t="str">
        <x:v>Carlos Mendes Almeida</x:v>
      </x:c>
      <x:c r="D106" s="86" t="n">
        <x:v>3</x:v>
      </x:c>
      <x:c r="E106" s="86" t="n">
        <x:v>2</x:v>
      </x:c>
      <x:c r="F106" s="86" t="n">
        <x:v>2</x:v>
      </x:c>
      <x:c r="G106" s="95" t="n">
        <x:v>45061</x:v>
      </x:c>
      <x:c r="H106" s="95"/>
      <x:c r="I106" s="86" t="str">
        <x:v>CLT</x:v>
      </x:c>
      <x:c r="J106" s="86" t="str">
        <x:v>Presencial</x:v>
      </x:c>
      <x:c r="K106" s="91" t="n">
        <x:v>4073.3</x:v>
      </x:c>
      <x:c r="L106" s="86" t="str">
        <x:v>Ativo</x:v>
      </x:c>
      <x:c r="M106" s="87" t="n">
        <x:v>148</x:v>
      </x:c>
    </x:row>
    <x:row r="107">
      <x:c r="A107" s="85" t="n">
        <x:v>106</x:v>
      </x:c>
      <x:c r="B107" s="86" t="str">
        <x:v>F00106</x:v>
      </x:c>
      <x:c r="C107" s="86" t="str">
        <x:v>Bruno Mendes Teixeira</x:v>
      </x:c>
      <x:c r="D107" s="86" t="n">
        <x:v>1</x:v>
      </x:c>
      <x:c r="E107" s="86" t="n">
        <x:v>4</x:v>
      </x:c>
      <x:c r="F107" s="86" t="n">
        <x:v>4</x:v>
      </x:c>
      <x:c r="G107" s="95" t="n">
        <x:v>44998</x:v>
      </x:c>
      <x:c r="H107" s="95"/>
      <x:c r="I107" s="86" t="str">
        <x:v>CLT</x:v>
      </x:c>
      <x:c r="J107" s="86" t="str">
        <x:v>Presencial</x:v>
      </x:c>
      <x:c r="K107" s="91" t="n">
        <x:v>5461.11</x:v>
      </x:c>
      <x:c r="L107" s="86" t="str">
        <x:v>Ativo</x:v>
      </x:c>
      <x:c r="M107" s="87" t="n">
        <x:v>237</x:v>
      </x:c>
    </x:row>
    <x:row r="108">
      <x:c r="A108" s="85" t="n">
        <x:v>107</x:v>
      </x:c>
      <x:c r="B108" s="86" t="str">
        <x:v>F00107</x:v>
      </x:c>
      <x:c r="C108" s="86" t="str">
        <x:v>Eduarda Martins Nascimento</x:v>
      </x:c>
      <x:c r="D108" s="86" t="n">
        <x:v>3</x:v>
      </x:c>
      <x:c r="E108" s="86" t="n">
        <x:v>7</x:v>
      </x:c>
      <x:c r="F108" s="86" t="n">
        <x:v>7</x:v>
      </x:c>
      <x:c r="G108" s="95" t="n">
        <x:v>44990</x:v>
      </x:c>
      <x:c r="H108" s="95"/>
      <x:c r="I108" s="86" t="str">
        <x:v>CLT</x:v>
      </x:c>
      <x:c r="J108" s="86" t="str">
        <x:v>Presencial</x:v>
      </x:c>
      <x:c r="K108" s="91" t="n">
        <x:v>5355.87</x:v>
      </x:c>
      <x:c r="L108" s="86" t="str">
        <x:v>Ativo</x:v>
      </x:c>
      <x:c r="M108" s="87" t="n">
        <x:v>147</x:v>
      </x:c>
    </x:row>
    <x:row r="109">
      <x:c r="A109" s="85" t="n">
        <x:v>108</x:v>
      </x:c>
      <x:c r="B109" s="86" t="str">
        <x:v>F00108</x:v>
      </x:c>
      <x:c r="C109" s="86" t="str">
        <x:v>André Nascimento Lima</x:v>
      </x:c>
      <x:c r="D109" s="86" t="n">
        <x:v>1</x:v>
      </x:c>
      <x:c r="E109" s="86" t="n">
        <x:v>1</x:v>
      </x:c>
      <x:c r="F109" s="86" t="n">
        <x:v>1</x:v>
      </x:c>
      <x:c r="G109" s="95" t="n">
        <x:v>45431</x:v>
      </x:c>
      <x:c r="H109" s="95" t="n">
        <x:v>45974</x:v>
      </x:c>
      <x:c r="I109" s="86" t="str">
        <x:v>CLT</x:v>
      </x:c>
      <x:c r="J109" s="86" t="str">
        <x:v>Presencial</x:v>
      </x:c>
      <x:c r="K109" s="91" t="n">
        <x:v>2612</x:v>
      </x:c>
      <x:c r="L109" s="86" t="str">
        <x:v>Desligado</x:v>
      </x:c>
      <x:c r="M109" s="87" t="n">
        <x:v>98</x:v>
      </x:c>
    </x:row>
    <x:row r="110">
      <x:c r="A110" s="85" t="n">
        <x:v>109</x:v>
      </x:c>
      <x:c r="B110" s="86" t="str">
        <x:v>F00109</x:v>
      </x:c>
      <x:c r="C110" s="86" t="str">
        <x:v>Igor Costa Teixeira</x:v>
      </x:c>
      <x:c r="D110" s="86" t="n">
        <x:v>4</x:v>
      </x:c>
      <x:c r="E110" s="86" t="n">
        <x:v>8</x:v>
      </x:c>
      <x:c r="F110" s="86" t="n">
        <x:v>18</x:v>
      </x:c>
      <x:c r="G110" s="95" t="n">
        <x:v>45382</x:v>
      </x:c>
      <x:c r="H110" s="95"/>
      <x:c r="I110" s="86" t="str">
        <x:v>CLT</x:v>
      </x:c>
      <x:c r="J110" s="86" t="str">
        <x:v>Presencial</x:v>
      </x:c>
      <x:c r="K110" s="91" t="n">
        <x:v>15835.88</x:v>
      </x:c>
      <x:c r="L110" s="86" t="str">
        <x:v>Ativo</x:v>
      </x:c>
      <x:c r="M110" s="87" t="n">
        <x:v>86</x:v>
      </x:c>
    </x:row>
    <x:row r="111">
      <x:c r="A111" s="85" t="n">
        <x:v>110</x:v>
      </x:c>
      <x:c r="B111" s="86" t="str">
        <x:v>F00110</x:v>
      </x:c>
      <x:c r="C111" s="86" t="str">
        <x:v>Bruno Nascimento Souza</x:v>
      </x:c>
      <x:c r="D111" s="86" t="n">
        <x:v>1</x:v>
      </x:c>
      <x:c r="E111" s="86" t="n">
        <x:v>8</x:v>
      </x:c>
      <x:c r="F111" s="86" t="n">
        <x:v>18</x:v>
      </x:c>
      <x:c r="G111" s="95" t="n">
        <x:v>45588</x:v>
      </x:c>
      <x:c r="H111" s="95" t="n">
        <x:v>45656</x:v>
      </x:c>
      <x:c r="I111" s="86" t="str">
        <x:v>CLT</x:v>
      </x:c>
      <x:c r="J111" s="86" t="str">
        <x:v>Presencial</x:v>
      </x:c>
      <x:c r="K111" s="91" t="n">
        <x:v>18627.78</x:v>
      </x:c>
      <x:c r="L111" s="86" t="str">
        <x:v>Desligado</x:v>
      </x:c>
      <x:c r="M111" s="87" t="n">
        <x:v>64</x:v>
      </x:c>
    </x:row>
    <x:row r="112">
      <x:c r="A112" s="85" t="n">
        <x:v>111</x:v>
      </x:c>
      <x:c r="B112" s="86" t="str">
        <x:v>F00111</x:v>
      </x:c>
      <x:c r="C112" s="86" t="str">
        <x:v>Bruno Pereira Costa</x:v>
      </x:c>
      <x:c r="D112" s="86" t="n">
        <x:v>3</x:v>
      </x:c>
      <x:c r="E112" s="86" t="n">
        <x:v>2</x:v>
      </x:c>
      <x:c r="F112" s="86" t="n">
        <x:v>12</x:v>
      </x:c>
      <x:c r="G112" s="95" t="n">
        <x:v>45391</x:v>
      </x:c>
      <x:c r="H112" s="95"/>
      <x:c r="I112" s="86" t="str">
        <x:v>Temporário</x:v>
      </x:c>
      <x:c r="J112" s="86" t="str">
        <x:v>Presencial</x:v>
      </x:c>
      <x:c r="K112" s="91" t="n">
        <x:v>10463.78</x:v>
      </x:c>
      <x:c r="L112" s="86" t="str">
        <x:v>Ativo</x:v>
      </x:c>
      <x:c r="M112" s="87" t="n">
        <x:v>104</x:v>
      </x:c>
    </x:row>
    <x:row r="113">
      <x:c r="A113" s="85" t="n">
        <x:v>112</x:v>
      </x:c>
      <x:c r="B113" s="86" t="str">
        <x:v>F00112</x:v>
      </x:c>
      <x:c r="C113" s="86" t="str">
        <x:v>Vitória Ribeiro Pereira</x:v>
      </x:c>
      <x:c r="D113" s="86" t="n">
        <x:v>2</x:v>
      </x:c>
      <x:c r="E113" s="86" t="n">
        <x:v>2</x:v>
      </x:c>
      <x:c r="F113" s="86" t="n">
        <x:v>2</x:v>
      </x:c>
      <x:c r="G113" s="95" t="n">
        <x:v>45649</x:v>
      </x:c>
      <x:c r="H113" s="95"/>
      <x:c r="I113" s="86" t="str">
        <x:v>CLT</x:v>
      </x:c>
      <x:c r="J113" s="86" t="str">
        <x:v>Presencial</x:v>
      </x:c>
      <x:c r="K113" s="91" t="n">
        <x:v>4542.62</x:v>
      </x:c>
      <x:c r="L113" s="86" t="str">
        <x:v>Ativo</x:v>
      </x:c>
      <x:c r="M113" s="87" t="n">
        <x:v>111</x:v>
      </x:c>
    </x:row>
    <x:row r="114">
      <x:c r="A114" s="85" t="n">
        <x:v>113</x:v>
      </x:c>
      <x:c r="B114" s="86" t="str">
        <x:v>F00113</x:v>
      </x:c>
      <x:c r="C114" s="86" t="str">
        <x:v>Beatriz Oliveira Oliveira</x:v>
      </x:c>
      <x:c r="D114" s="86" t="n">
        <x:v>1</x:v>
      </x:c>
      <x:c r="E114" s="86" t="n">
        <x:v>1</x:v>
      </x:c>
      <x:c r="F114" s="86" t="n">
        <x:v>1</x:v>
      </x:c>
      <x:c r="G114" s="95" t="n">
        <x:v>45503</x:v>
      </x:c>
      <x:c r="H114" s="95" t="n">
        <x:v>45898</x:v>
      </x:c>
      <x:c r="I114" s="86" t="str">
        <x:v>CLT</x:v>
      </x:c>
      <x:c r="J114" s="86" t="str">
        <x:v>Presencial</x:v>
      </x:c>
      <x:c r="K114" s="91" t="n">
        <x:v>3277.56</x:v>
      </x:c>
      <x:c r="L114" s="86" t="str">
        <x:v>Desligado</x:v>
      </x:c>
      <x:c r="M114" s="87" t="n">
        <x:v>202</x:v>
      </x:c>
    </x:row>
    <x:row r="115">
      <x:c r="A115" s="85" t="n">
        <x:v>114</x:v>
      </x:c>
      <x:c r="B115" s="86" t="str">
        <x:v>F00114</x:v>
      </x:c>
      <x:c r="C115" s="86" t="str">
        <x:v>Larissa Rodrigues Barbosa</x:v>
      </x:c>
      <x:c r="D115" s="86" t="n">
        <x:v>4</x:v>
      </x:c>
      <x:c r="E115" s="86" t="n">
        <x:v>7</x:v>
      </x:c>
      <x:c r="F115" s="86" t="n">
        <x:v>7</x:v>
      </x:c>
      <x:c r="G115" s="95" t="n">
        <x:v>45030</x:v>
      </x:c>
      <x:c r="H115" s="95"/>
      <x:c r="I115" s="86" t="str">
        <x:v>CLT</x:v>
      </x:c>
      <x:c r="J115" s="86" t="str">
        <x:v>Presencial</x:v>
      </x:c>
      <x:c r="K115" s="91" t="n">
        <x:v>4899.47</x:v>
      </x:c>
      <x:c r="L115" s="86" t="str">
        <x:v>Ativo</x:v>
      </x:c>
      <x:c r="M115" s="87" t="n">
        <x:v>147</x:v>
      </x:c>
    </x:row>
    <x:row r="116">
      <x:c r="A116" s="85" t="n">
        <x:v>115</x:v>
      </x:c>
      <x:c r="B116" s="86" t="str">
        <x:v>F00115</x:v>
      </x:c>
      <x:c r="C116" s="86" t="str">
        <x:v>Beatriz Moreira Lima</x:v>
      </x:c>
      <x:c r="D116" s="86" t="n">
        <x:v>1</x:v>
      </x:c>
      <x:c r="E116" s="86" t="n">
        <x:v>4</x:v>
      </x:c>
      <x:c r="F116" s="86" t="n">
        <x:v>4</x:v>
      </x:c>
      <x:c r="G116" s="95" t="n">
        <x:v>45491</x:v>
      </x:c>
      <x:c r="H116" s="95"/>
      <x:c r="I116" s="86" t="str">
        <x:v>CLT</x:v>
      </x:c>
      <x:c r="J116" s="86" t="str">
        <x:v>Presencial</x:v>
      </x:c>
      <x:c r="K116" s="91" t="n">
        <x:v>5494.09</x:v>
      </x:c>
      <x:c r="L116" s="86" t="str">
        <x:v>Ativo</x:v>
      </x:c>
      <x:c r="M116" s="87" t="n">
        <x:v>237</x:v>
      </x:c>
    </x:row>
    <x:row r="117">
      <x:c r="A117" s="85" t="n">
        <x:v>116</x:v>
      </x:c>
      <x:c r="B117" s="86" t="str">
        <x:v>F00116</x:v>
      </x:c>
      <x:c r="C117" s="86" t="str">
        <x:v>Vitória Almeida Barbosa</x:v>
      </x:c>
      <x:c r="D117" s="86" t="n">
        <x:v>4</x:v>
      </x:c>
      <x:c r="E117" s="86" t="n">
        <x:v>6</x:v>
      </x:c>
      <x:c r="F117" s="86" t="n">
        <x:v>16</x:v>
      </x:c>
      <x:c r="G117" s="95" t="n">
        <x:v>45185</x:v>
      </x:c>
      <x:c r="H117" s="95"/>
      <x:c r="I117" s="86" t="str">
        <x:v>CLT</x:v>
      </x:c>
      <x:c r="J117" s="86" t="str">
        <x:v>Presencial</x:v>
      </x:c>
      <x:c r="K117" s="91" t="n">
        <x:v>14964.76</x:v>
      </x:c>
      <x:c r="L117" s="86" t="str">
        <x:v>Ativo</x:v>
      </x:c>
      <x:c r="M117" s="87" t="n">
        <x:v>65</x:v>
      </x:c>
    </x:row>
    <x:row r="118">
      <x:c r="A118" s="85" t="n">
        <x:v>117</x:v>
      </x:c>
      <x:c r="B118" s="86" t="str">
        <x:v>F00117</x:v>
      </x:c>
      <x:c r="C118" s="86" t="str">
        <x:v>Diego Ribeiro Moreira</x:v>
      </x:c>
      <x:c r="D118" s="86" t="n">
        <x:v>1</x:v>
      </x:c>
      <x:c r="E118" s="86" t="n">
        <x:v>5</x:v>
      </x:c>
      <x:c r="F118" s="86" t="n">
        <x:v>5</x:v>
      </x:c>
      <x:c r="G118" s="95" t="n">
        <x:v>45480</x:v>
      </x:c>
      <x:c r="H118" s="95"/>
      <x:c r="I118" s="86" t="str">
        <x:v>CLT</x:v>
      </x:c>
      <x:c r="J118" s="86" t="str">
        <x:v>Presencial</x:v>
      </x:c>
      <x:c r="K118" s="91" t="n">
        <x:v>7658.54</x:v>
      </x:c>
      <x:c r="L118" s="86" t="str">
        <x:v>Ativo</x:v>
      </x:c>
      <x:c r="M118" s="87" t="n">
        <x:v>326</x:v>
      </x:c>
    </x:row>
    <x:row r="119">
      <x:c r="A119" s="85" t="n">
        <x:v>118</x:v>
      </x:c>
      <x:c r="B119" s="86" t="str">
        <x:v>F00118</x:v>
      </x:c>
      <x:c r="C119" s="86" t="str">
        <x:v>João Pereira Rocha</x:v>
      </x:c>
      <x:c r="D119" s="86" t="n">
        <x:v>1</x:v>
      </x:c>
      <x:c r="E119" s="86" t="n">
        <x:v>1</x:v>
      </x:c>
      <x:c r="F119" s="86" t="n">
        <x:v>1</x:v>
      </x:c>
      <x:c r="G119" s="95" t="n">
        <x:v>45564</x:v>
      </x:c>
      <x:c r="H119" s="95" t="n">
        <x:v>45823</x:v>
      </x:c>
      <x:c r="I119" s="86" t="str">
        <x:v>CLT</x:v>
      </x:c>
      <x:c r="J119" s="86" t="str">
        <x:v>Remoto</x:v>
      </x:c>
      <x:c r="K119" s="91" t="n">
        <x:v>2763.38</x:v>
      </x:c>
      <x:c r="L119" s="86" t="str">
        <x:v>Desligado</x:v>
      </x:c>
      <x:c r="M119" s="87" t="n">
        <x:v>396</x:v>
      </x:c>
    </x:row>
    <x:row r="120">
      <x:c r="A120" s="85" t="n">
        <x:v>119</x:v>
      </x:c>
      <x:c r="B120" s="86" t="str">
        <x:v>F00119</x:v>
      </x:c>
      <x:c r="C120" s="86" t="str">
        <x:v>Eduarda Mendes Pereira</x:v>
      </x:c>
      <x:c r="D120" s="86" t="n">
        <x:v>1</x:v>
      </x:c>
      <x:c r="E120" s="86" t="n">
        <x:v>8</x:v>
      </x:c>
      <x:c r="F120" s="86" t="n">
        <x:v>8</x:v>
      </x:c>
      <x:c r="G120" s="95" t="n">
        <x:v>45496</x:v>
      </x:c>
      <x:c r="H120" s="95"/>
      <x:c r="I120" s="86" t="str">
        <x:v>CLT</x:v>
      </x:c>
      <x:c r="J120" s="86" t="str">
        <x:v>Presencial</x:v>
      </x:c>
      <x:c r="K120" s="91" t="n">
        <x:v>5782.13</x:v>
      </x:c>
      <x:c r="L120" s="86" t="str">
        <x:v>Ativo</x:v>
      </x:c>
      <x:c r="M120" s="87" t="n">
        <x:v>86</x:v>
      </x:c>
    </x:row>
    <x:row r="121">
      <x:c r="A121" s="85" t="n">
        <x:v>120</x:v>
      </x:c>
      <x:c r="B121" s="86" t="str">
        <x:v>F00120</x:v>
      </x:c>
      <x:c r="C121" s="86" t="str">
        <x:v>Fernanda Martins Pereira</x:v>
      </x:c>
      <x:c r="D121" s="86" t="n">
        <x:v>3</x:v>
      </x:c>
      <x:c r="E121" s="86" t="n">
        <x:v>5</x:v>
      </x:c>
      <x:c r="F121" s="86" t="n">
        <x:v>5</x:v>
      </x:c>
      <x:c r="G121" s="95" t="n">
        <x:v>45740</x:v>
      </x:c>
      <x:c r="H121" s="95" t="n">
        <x:v>45822</x:v>
      </x:c>
      <x:c r="I121" s="86" t="str">
        <x:v>Temporário</x:v>
      </x:c>
      <x:c r="J121" s="86" t="str">
        <x:v>Híbrido</x:v>
      </x:c>
      <x:c r="K121" s="91" t="n">
        <x:v>9630.65</x:v>
      </x:c>
      <x:c r="L121" s="86" t="str">
        <x:v>Desligado</x:v>
      </x:c>
      <x:c r="M121" s="87" t="n">
        <x:v>94</x:v>
      </x:c>
    </x:row>
    <x:row r="122">
      <x:c r="A122" s="85" t="n">
        <x:v>121</x:v>
      </x:c>
      <x:c r="B122" s="86" t="str">
        <x:v>F00121</x:v>
      </x:c>
      <x:c r="C122" s="86" t="str">
        <x:v>Eduarda Gomes Barbosa</x:v>
      </x:c>
      <x:c r="D122" s="86" t="n">
        <x:v>3</x:v>
      </x:c>
      <x:c r="E122" s="86" t="n">
        <x:v>4</x:v>
      </x:c>
      <x:c r="F122" s="86" t="n">
        <x:v>4</x:v>
      </x:c>
      <x:c r="G122" s="95" t="n">
        <x:v>45529</x:v>
      </x:c>
      <x:c r="H122" s="95"/>
      <x:c r="I122" s="86" t="str">
        <x:v>CLT</x:v>
      </x:c>
      <x:c r="J122" s="86" t="str">
        <x:v>Híbrido</x:v>
      </x:c>
      <x:c r="K122" s="91" t="n">
        <x:v>4752.93</x:v>
      </x:c>
      <x:c r="L122" s="86" t="str">
        <x:v>Ativo</x:v>
      </x:c>
      <x:c r="M122" s="87" t="n">
        <x:v>61</x:v>
      </x:c>
    </x:row>
    <x:row r="123">
      <x:c r="A123" s="85" t="n">
        <x:v>122</x:v>
      </x:c>
      <x:c r="B123" s="86" t="str">
        <x:v>F00122</x:v>
      </x:c>
      <x:c r="C123" s="86" t="str">
        <x:v>Patrícia Pereira Cardoso</x:v>
      </x:c>
      <x:c r="D123" s="86" t="n">
        <x:v>3</x:v>
      </x:c>
      <x:c r="E123" s="86" t="n">
        <x:v>1</x:v>
      </x:c>
      <x:c r="F123" s="86" t="n">
        <x:v>1</x:v>
      </x:c>
      <x:c r="G123" s="95" t="n">
        <x:v>45634</x:v>
      </x:c>
      <x:c r="H123" s="95" t="n">
        <x:v>45969</x:v>
      </x:c>
      <x:c r="I123" s="86" t="str">
        <x:v>CLT</x:v>
      </x:c>
      <x:c r="J123" s="86" t="str">
        <x:v>Presencial</x:v>
      </x:c>
      <x:c r="K123" s="91" t="n">
        <x:v>2269.96</x:v>
      </x:c>
      <x:c r="L123" s="86" t="str">
        <x:v>Desligado</x:v>
      </x:c>
      <x:c r="M123" s="87" t="n">
        <x:v>77</x:v>
      </x:c>
    </x:row>
    <x:row r="124">
      <x:c r="A124" s="85" t="n">
        <x:v>123</x:v>
      </x:c>
      <x:c r="B124" s="86" t="str">
        <x:v>F00123</x:v>
      </x:c>
      <x:c r="C124" s="86" t="str">
        <x:v>Diego Souza Ribeiro</x:v>
      </x:c>
      <x:c r="D124" s="86" t="n">
        <x:v>1</x:v>
      </x:c>
      <x:c r="E124" s="86" t="n">
        <x:v>1</x:v>
      </x:c>
      <x:c r="F124" s="86" t="n">
        <x:v>1</x:v>
      </x:c>
      <x:c r="G124" s="95" t="n">
        <x:v>45099</x:v>
      </x:c>
      <x:c r="H124" s="95"/>
      <x:c r="I124" s="86" t="str">
        <x:v>CLT</x:v>
      </x:c>
      <x:c r="J124" s="86" t="str">
        <x:v>Híbrido</x:v>
      </x:c>
      <x:c r="K124" s="91" t="n">
        <x:v>2962.61</x:v>
      </x:c>
      <x:c r="L124" s="86" t="str">
        <x:v>Ativo</x:v>
      </x:c>
      <x:c r="M124" s="87" t="n">
        <x:v>98</x:v>
      </x:c>
    </x:row>
    <x:row r="125">
      <x:c r="A125" s="85" t="n">
        <x:v>124</x:v>
      </x:c>
      <x:c r="B125" s="86" t="str">
        <x:v>F00124</x:v>
      </x:c>
      <x:c r="C125" s="86" t="str">
        <x:v>Thiago Ribeiro Silva</x:v>
      </x:c>
      <x:c r="D125" s="86" t="n">
        <x:v>4</x:v>
      </x:c>
      <x:c r="E125" s="86" t="n">
        <x:v>6</x:v>
      </x:c>
      <x:c r="F125" s="86" t="n">
        <x:v>6</x:v>
      </x:c>
      <x:c r="G125" s="95" t="n">
        <x:v>45352</x:v>
      </x:c>
      <x:c r="H125" s="95"/>
      <x:c r="I125" s="86" t="str">
        <x:v>CLT</x:v>
      </x:c>
      <x:c r="J125" s="86" t="str">
        <x:v>Remoto</x:v>
      </x:c>
      <x:c r="K125" s="91" t="n">
        <x:v>5912.93</x:v>
      </x:c>
      <x:c r="L125" s="86" t="str">
        <x:v>Ativo</x:v>
      </x:c>
      <x:c r="M125" s="87" t="n">
        <x:v>116</x:v>
      </x:c>
    </x:row>
    <x:row r="126">
      <x:c r="A126" s="85" t="n">
        <x:v>125</x:v>
      </x:c>
      <x:c r="B126" s="86" t="str">
        <x:v>F00125</x:v>
      </x:c>
      <x:c r="C126" s="86" t="str">
        <x:v>Gustavo Santos Ferreira</x:v>
      </x:c>
      <x:c r="D126" s="86" t="n">
        <x:v>1</x:v>
      </x:c>
      <x:c r="E126" s="86" t="n">
        <x:v>1</x:v>
      </x:c>
      <x:c r="F126" s="86" t="n">
        <x:v>1</x:v>
      </x:c>
      <x:c r="G126" s="95" t="n">
        <x:v>45243</x:v>
      </x:c>
      <x:c r="H126" s="95"/>
      <x:c r="I126" s="86" t="str">
        <x:v>CLT</x:v>
      </x:c>
      <x:c r="J126" s="86" t="str">
        <x:v>Presencial</x:v>
      </x:c>
      <x:c r="K126" s="91" t="n">
        <x:v>3150.43</x:v>
      </x:c>
      <x:c r="L126" s="86" t="str">
        <x:v>Ativo</x:v>
      </x:c>
      <x:c r="M126" s="87" t="n">
        <x:v>78</x:v>
      </x:c>
    </x:row>
    <x:row r="127">
      <x:c r="A127" s="85" t="n">
        <x:v>126</x:v>
      </x:c>
      <x:c r="B127" s="86" t="str">
        <x:v>F00126</x:v>
      </x:c>
      <x:c r="C127" s="86" t="str">
        <x:v>Mariana Lima Souza</x:v>
      </x:c>
      <x:c r="D127" s="86" t="n">
        <x:v>1</x:v>
      </x:c>
      <x:c r="E127" s="86" t="n">
        <x:v>3</x:v>
      </x:c>
      <x:c r="F127" s="86" t="n">
        <x:v>13</x:v>
      </x:c>
      <x:c r="G127" s="95" t="n">
        <x:v>45825</x:v>
      </x:c>
      <x:c r="H127" s="95" t="n">
        <x:v>45991</x:v>
      </x:c>
      <x:c r="I127" s="86" t="str">
        <x:v>CLT</x:v>
      </x:c>
      <x:c r="J127" s="86" t="str">
        <x:v>Presencial</x:v>
      </x:c>
      <x:c r="K127" s="91" t="n">
        <x:v>9576.79</x:v>
      </x:c>
      <x:c r="L127" s="86" t="str">
        <x:v>Desligado</x:v>
      </x:c>
      <x:c r="M127" s="87" t="n">
        <x:v>177</x:v>
      </x:c>
    </x:row>
    <x:row r="128">
      <x:c r="A128" s="85" t="n">
        <x:v>127</x:v>
      </x:c>
      <x:c r="B128" s="86" t="str">
        <x:v>F00127</x:v>
      </x:c>
      <x:c r="C128" s="86" t="str">
        <x:v>Renata Nascimento Gomes</x:v>
      </x:c>
      <x:c r="D128" s="86" t="n">
        <x:v>3</x:v>
      </x:c>
      <x:c r="E128" s="86" t="n">
        <x:v>5</x:v>
      </x:c>
      <x:c r="F128" s="86" t="n">
        <x:v>5</x:v>
      </x:c>
      <x:c r="G128" s="95" t="n">
        <x:v>45956</x:v>
      </x:c>
      <x:c r="H128" s="95"/>
      <x:c r="I128" s="86" t="str">
        <x:v>CLT</x:v>
      </x:c>
      <x:c r="J128" s="86" t="str">
        <x:v>Híbrido</x:v>
      </x:c>
      <x:c r="K128" s="91" t="n">
        <x:v>10326.46</x:v>
      </x:c>
      <x:c r="L128" s="86" t="str">
        <x:v>Ativo</x:v>
      </x:c>
      <x:c r="M128" s="87" t="n">
        <x:v>326</x:v>
      </x:c>
    </x:row>
    <x:row r="129">
      <x:c r="A129" s="85" t="n">
        <x:v>128</x:v>
      </x:c>
      <x:c r="B129" s="86" t="str">
        <x:v>F00128</x:v>
      </x:c>
      <x:c r="C129" s="86" t="str">
        <x:v>Sofia Martins Rodrigues</x:v>
      </x:c>
      <x:c r="D129" s="86" t="n">
        <x:v>1</x:v>
      </x:c>
      <x:c r="E129" s="86" t="n">
        <x:v>1</x:v>
      </x:c>
      <x:c r="F129" s="86" t="n">
        <x:v>1</x:v>
      </x:c>
      <x:c r="G129" s="95" t="n">
        <x:v>45083</x:v>
      </x:c>
      <x:c r="H129" s="95"/>
      <x:c r="I129" s="86" t="str">
        <x:v>CLT</x:v>
      </x:c>
      <x:c r="J129" s="86" t="str">
        <x:v>Presencial</x:v>
      </x:c>
      <x:c r="K129" s="91" t="n">
        <x:v>2754.04</x:v>
      </x:c>
      <x:c r="L129" s="86" t="str">
        <x:v>Ativo</x:v>
      </x:c>
      <x:c r="M129" s="87" t="n">
        <x:v>185</x:v>
      </x:c>
    </x:row>
    <x:row r="130">
      <x:c r="A130" s="85" t="n">
        <x:v>129</x:v>
      </x:c>
      <x:c r="B130" s="86" t="str">
        <x:v>F00129</x:v>
      </x:c>
      <x:c r="C130" s="86" t="str">
        <x:v>Ana Souza Nascimento</x:v>
      </x:c>
      <x:c r="D130" s="86" t="n">
        <x:v>3</x:v>
      </x:c>
      <x:c r="E130" s="86" t="n">
        <x:v>1</x:v>
      </x:c>
      <x:c r="F130" s="86" t="n">
        <x:v>1</x:v>
      </x:c>
      <x:c r="G130" s="95" t="n">
        <x:v>45953</x:v>
      </x:c>
      <x:c r="H130" s="95"/>
      <x:c r="I130" s="86" t="str">
        <x:v>CLT</x:v>
      </x:c>
      <x:c r="J130" s="86" t="str">
        <x:v>Remoto</x:v>
      </x:c>
      <x:c r="K130" s="91" t="n">
        <x:v>3466.51</x:v>
      </x:c>
      <x:c r="L130" s="86" t="str">
        <x:v>Ativo</x:v>
      </x:c>
      <x:c r="M130" s="87" t="n">
        <x:v>98</x:v>
      </x:c>
    </x:row>
    <x:row r="131">
      <x:c r="A131" s="85" t="n">
        <x:v>130</x:v>
      </x:c>
      <x:c r="B131" s="86" t="str">
        <x:v>F00130</x:v>
      </x:c>
      <x:c r="C131" s="86" t="str">
        <x:v>Sofia Silva Silva</x:v>
      </x:c>
      <x:c r="D131" s="86" t="n">
        <x:v>2</x:v>
      </x:c>
      <x:c r="E131" s="86" t="n">
        <x:v>10</x:v>
      </x:c>
      <x:c r="F131" s="86" t="n">
        <x:v>10</x:v>
      </x:c>
      <x:c r="G131" s="95" t="n">
        <x:v>45277</x:v>
      </x:c>
      <x:c r="H131" s="95" t="n">
        <x:v>45888</x:v>
      </x:c>
      <x:c r="I131" s="86" t="str">
        <x:v>CLT</x:v>
      </x:c>
      <x:c r="J131" s="86" t="str">
        <x:v>Presencial</x:v>
      </x:c>
      <x:c r="K131" s="91" t="n">
        <x:v>7105.71</x:v>
      </x:c>
      <x:c r="L131" s="86" t="str">
        <x:v>Desligado</x:v>
      </x:c>
      <x:c r="M131" s="87" t="n">
        <x:v>24</x:v>
      </x:c>
    </x:row>
    <x:row r="132">
      <x:c r="A132" s="85" t="n">
        <x:v>131</x:v>
      </x:c>
      <x:c r="B132" s="86" t="str">
        <x:v>F00131</x:v>
      </x:c>
      <x:c r="C132" s="86" t="str">
        <x:v>Rafael Souza Ribeiro</x:v>
      </x:c>
      <x:c r="D132" s="86" t="n">
        <x:v>1</x:v>
      </x:c>
      <x:c r="E132" s="86" t="n">
        <x:v>8</x:v>
      </x:c>
      <x:c r="F132" s="86" t="n">
        <x:v>8</x:v>
      </x:c>
      <x:c r="G132" s="95" t="n">
        <x:v>45160</x:v>
      </x:c>
      <x:c r="H132" s="95"/>
      <x:c r="I132" s="86" t="str">
        <x:v>Temporário</x:v>
      </x:c>
      <x:c r="J132" s="86" t="str">
        <x:v>Presencial</x:v>
      </x:c>
      <x:c r="K132" s="91" t="n">
        <x:v>5509.47</x:v>
      </x:c>
      <x:c r="L132" s="86" t="str">
        <x:v>Ativo</x:v>
      </x:c>
      <x:c r="M132" s="87" t="n">
        <x:v>64</x:v>
      </x:c>
    </x:row>
    <x:row r="133">
      <x:c r="A133" s="85" t="n">
        <x:v>132</x:v>
      </x:c>
      <x:c r="B133" s="86" t="str">
        <x:v>F00132</x:v>
      </x:c>
      <x:c r="C133" s="86" t="str">
        <x:v>Joana Costa Barbosa</x:v>
      </x:c>
      <x:c r="D133" s="86" t="n">
        <x:v>3</x:v>
      </x:c>
      <x:c r="E133" s="86" t="n">
        <x:v>4</x:v>
      </x:c>
      <x:c r="F133" s="86" t="n">
        <x:v>4</x:v>
      </x:c>
      <x:c r="G133" s="95" t="n">
        <x:v>45854</x:v>
      </x:c>
      <x:c r="H133" s="95"/>
      <x:c r="I133" s="86" t="str">
        <x:v>CLT</x:v>
      </x:c>
      <x:c r="J133" s="86" t="str">
        <x:v>Presencial</x:v>
      </x:c>
      <x:c r="K133" s="91" t="n">
        <x:v>5814.32</x:v>
      </x:c>
      <x:c r="L133" s="86" t="str">
        <x:v>Ativo</x:v>
      </x:c>
      <x:c r="M133" s="87" t="n">
        <x:v>237</x:v>
      </x:c>
    </x:row>
    <x:row r="134">
      <x:c r="A134" s="85" t="n">
        <x:v>133</x:v>
      </x:c>
      <x:c r="B134" s="86" t="str">
        <x:v>F00133</x:v>
      </x:c>
      <x:c r="C134" s="86" t="str">
        <x:v>Henrique Rocha Lima</x:v>
      </x:c>
      <x:c r="D134" s="86" t="n">
        <x:v>2</x:v>
      </x:c>
      <x:c r="E134" s="86" t="n">
        <x:v>6</x:v>
      </x:c>
      <x:c r="F134" s="86" t="n">
        <x:v>6</x:v>
      </x:c>
      <x:c r="G134" s="95" t="n">
        <x:v>45761</x:v>
      </x:c>
      <x:c r="H134" s="95"/>
      <x:c r="I134" s="86" t="str">
        <x:v>CLT</x:v>
      </x:c>
      <x:c r="J134" s="86" t="str">
        <x:v>Presencial</x:v>
      </x:c>
      <x:c r="K134" s="91" t="n">
        <x:v>8248.94</x:v>
      </x:c>
      <x:c r="L134" s="86" t="str">
        <x:v>Ativo</x:v>
      </x:c>
      <x:c r="M134" s="87" t="n">
        <x:v>116</x:v>
      </x:c>
    </x:row>
    <x:row r="135">
      <x:c r="A135" s="85" t="n">
        <x:v>134</x:v>
      </x:c>
      <x:c r="B135" s="86" t="str">
        <x:v>F00134</x:v>
      </x:c>
      <x:c r="C135" s="86" t="str">
        <x:v>Diego Rocha Almeida</x:v>
      </x:c>
      <x:c r="D135" s="86" t="n">
        <x:v>2</x:v>
      </x:c>
      <x:c r="E135" s="86" t="n">
        <x:v>5</x:v>
      </x:c>
      <x:c r="F135" s="86" t="n">
        <x:v>5</x:v>
      </x:c>
      <x:c r="G135" s="95" t="n">
        <x:v>45440</x:v>
      </x:c>
      <x:c r="H135" s="95"/>
      <x:c r="I135" s="86" t="str">
        <x:v>Temporário</x:v>
      </x:c>
      <x:c r="J135" s="86" t="str">
        <x:v>Presencial</x:v>
      </x:c>
      <x:c r="K135" s="91" t="n">
        <x:v>7714.48</x:v>
      </x:c>
      <x:c r="L135" s="86" t="str">
        <x:v>Ativo</x:v>
      </x:c>
      <x:c r="M135" s="87" t="n">
        <x:v>94</x:v>
      </x:c>
    </x:row>
    <x:row r="136">
      <x:c r="A136" s="85" t="n">
        <x:v>135</x:v>
      </x:c>
      <x:c r="B136" s="86" t="str">
        <x:v>F00135</x:v>
      </x:c>
      <x:c r="C136" s="86" t="str">
        <x:v>Diego Santos Moreira</x:v>
      </x:c>
      <x:c r="D136" s="86" t="n">
        <x:v>3</x:v>
      </x:c>
      <x:c r="E136" s="86" t="n">
        <x:v>10</x:v>
      </x:c>
      <x:c r="F136" s="86" t="n">
        <x:v>20</x:v>
      </x:c>
      <x:c r="G136" s="95" t="n">
        <x:v>45656</x:v>
      </x:c>
      <x:c r="H136" s="95"/>
      <x:c r="I136" s="86" t="str">
        <x:v>CLT</x:v>
      </x:c>
      <x:c r="J136" s="86" t="str">
        <x:v>Híbrido</x:v>
      </x:c>
      <x:c r="K136" s="91" t="n">
        <x:v>3271.35</x:v>
      </x:c>
      <x:c r="L136" s="86" t="str">
        <x:v>Ativo</x:v>
      </x:c>
      <x:c r="M136" s="87" t="n">
        <x:v>24</x:v>
      </x:c>
    </x:row>
    <x:row r="137">
      <x:c r="A137" s="85" t="n">
        <x:v>136</x:v>
      </x:c>
      <x:c r="B137" s="86" t="str">
        <x:v>F00136</x:v>
      </x:c>
      <x:c r="C137" s="86" t="str">
        <x:v>Ana Costa Barbosa</x:v>
      </x:c>
      <x:c r="D137" s="86" t="n">
        <x:v>1</x:v>
      </x:c>
      <x:c r="E137" s="86" t="n">
        <x:v>1</x:v>
      </x:c>
      <x:c r="F137" s="86" t="n">
        <x:v>1</x:v>
      </x:c>
      <x:c r="G137" s="95" t="n">
        <x:v>45015</x:v>
      </x:c>
      <x:c r="H137" s="95"/>
      <x:c r="I137" s="86" t="str">
        <x:v>CLT</x:v>
      </x:c>
      <x:c r="J137" s="86" t="str">
        <x:v>Híbrido</x:v>
      </x:c>
      <x:c r="K137" s="91" t="n">
        <x:v>2298.58</x:v>
      </x:c>
      <x:c r="L137" s="86" t="str">
        <x:v>Ativo</x:v>
      </x:c>
      <x:c r="M137" s="87" t="n">
        <x:v>77</x:v>
      </x:c>
    </x:row>
    <x:row r="138">
      <x:c r="A138" s="85" t="n">
        <x:v>137</x:v>
      </x:c>
      <x:c r="B138" s="86" t="str">
        <x:v>F00137</x:v>
      </x:c>
      <x:c r="C138" s="86" t="str">
        <x:v>Eduarda Rodrigues Costa</x:v>
      </x:c>
      <x:c r="D138" s="86" t="n">
        <x:v>1</x:v>
      </x:c>
      <x:c r="E138" s="86" t="n">
        <x:v>10</x:v>
      </x:c>
      <x:c r="F138" s="86" t="n">
        <x:v>10</x:v>
      </x:c>
      <x:c r="G138" s="95" t="n">
        <x:v>45890</x:v>
      </x:c>
      <x:c r="H138" s="95"/>
      <x:c r="I138" s="86" t="str">
        <x:v>CLT</x:v>
      </x:c>
      <x:c r="J138" s="86" t="str">
        <x:v>Presencial</x:v>
      </x:c>
      <x:c r="K138" s="91" t="n">
        <x:v>7686.54</x:v>
      </x:c>
      <x:c r="L138" s="86" t="str">
        <x:v>Ativo</x:v>
      </x:c>
      <x:c r="M138" s="87" t="n">
        <x:v>24</x:v>
      </x:c>
    </x:row>
    <x:row r="139">
      <x:c r="A139" s="85" t="n">
        <x:v>138</x:v>
      </x:c>
      <x:c r="B139" s="86" t="str">
        <x:v>F00138</x:v>
      </x:c>
      <x:c r="C139" s="86" t="str">
        <x:v>Mariana Almeida Souza</x:v>
      </x:c>
      <x:c r="D139" s="86" t="n">
        <x:v>4</x:v>
      </x:c>
      <x:c r="E139" s="86" t="n">
        <x:v>7</x:v>
      </x:c>
      <x:c r="F139" s="86" t="n">
        <x:v>7</x:v>
      </x:c>
      <x:c r="G139" s="95" t="n">
        <x:v>45227</x:v>
      </x:c>
      <x:c r="H139" s="95"/>
      <x:c r="I139" s="86" t="str">
        <x:v>CLT</x:v>
      </x:c>
      <x:c r="J139" s="86" t="str">
        <x:v>Híbrido</x:v>
      </x:c>
      <x:c r="K139" s="91" t="n">
        <x:v>5804.73</x:v>
      </x:c>
      <x:c r="L139" s="86" t="str">
        <x:v>Ativo</x:v>
      </x:c>
      <x:c r="M139" s="87" t="n">
        <x:v>156</x:v>
      </x:c>
    </x:row>
    <x:row r="140">
      <x:c r="A140" s="85" t="n">
        <x:v>139</x:v>
      </x:c>
      <x:c r="B140" s="86" t="str">
        <x:v>F00139</x:v>
      </x:c>
      <x:c r="C140" s="86" t="str">
        <x:v>Igor Santos Pereira</x:v>
      </x:c>
      <x:c r="D140" s="86" t="n">
        <x:v>2</x:v>
      </x:c>
      <x:c r="E140" s="86" t="n">
        <x:v>10</x:v>
      </x:c>
      <x:c r="F140" s="86" t="n">
        <x:v>10</x:v>
      </x:c>
      <x:c r="G140" s="95" t="n">
        <x:v>45272</x:v>
      </x:c>
      <x:c r="H140" s="95"/>
      <x:c r="I140" s="86" t="str">
        <x:v>CLT</x:v>
      </x:c>
      <x:c r="J140" s="86" t="str">
        <x:v>Presencial</x:v>
      </x:c>
      <x:c r="K140" s="91" t="n">
        <x:v>7149.26</x:v>
      </x:c>
      <x:c r="L140" s="86" t="str">
        <x:v>Ativo</x:v>
      </x:c>
      <x:c r="M140" s="87" t="n">
        <x:v>24</x:v>
      </x:c>
    </x:row>
    <x:row r="141">
      <x:c r="A141" s="85" t="n">
        <x:v>140</x:v>
      </x:c>
      <x:c r="B141" s="86" t="str">
        <x:v>F00140</x:v>
      </x:c>
      <x:c r="C141" s="86" t="str">
        <x:v>Lucas Ferreira Gomes</x:v>
      </x:c>
      <x:c r="D141" s="86" t="n">
        <x:v>4</x:v>
      </x:c>
      <x:c r="E141" s="86" t="n">
        <x:v>7</x:v>
      </x:c>
      <x:c r="F141" s="86" t="n">
        <x:v>20</x:v>
      </x:c>
      <x:c r="G141" s="95" t="n">
        <x:v>45730</x:v>
      </x:c>
      <x:c r="H141" s="95" t="n">
        <x:v>46000</x:v>
      </x:c>
      <x:c r="I141" s="86" t="str">
        <x:v>CLT</x:v>
      </x:c>
      <x:c r="J141" s="86" t="str">
        <x:v>Presencial</x:v>
      </x:c>
      <x:c r="K141" s="91" t="n">
        <x:v>3756.63</x:v>
      </x:c>
      <x:c r="L141" s="86" t="str">
        <x:v>Desligado</x:v>
      </x:c>
      <x:c r="M141" s="87" t="n">
        <x:v>5</x:v>
      </x:c>
    </x:row>
    <x:row r="142">
      <x:c r="A142" s="85" t="n">
        <x:v>141</x:v>
      </x:c>
      <x:c r="B142" s="86" t="str">
        <x:v>F00141</x:v>
      </x:c>
      <x:c r="C142" s="86" t="str">
        <x:v>Henrique Silva Rodrigues</x:v>
      </x:c>
      <x:c r="D142" s="86" t="n">
        <x:v>3</x:v>
      </x:c>
      <x:c r="E142" s="86" t="n">
        <x:v>4</x:v>
      </x:c>
      <x:c r="F142" s="86" t="n">
        <x:v>4</x:v>
      </x:c>
      <x:c r="G142" s="95" t="n">
        <x:v>45854</x:v>
      </x:c>
      <x:c r="H142" s="95"/>
      <x:c r="I142" s="86" t="str">
        <x:v>CLT</x:v>
      </x:c>
      <x:c r="J142" s="86" t="str">
        <x:v>Presencial</x:v>
      </x:c>
      <x:c r="K142" s="91" t="n">
        <x:v>4342.44</x:v>
      </x:c>
      <x:c r="L142" s="86" t="str">
        <x:v>Ativo</x:v>
      </x:c>
      <x:c r="M142" s="87" t="n">
        <x:v>82</x:v>
      </x:c>
    </x:row>
    <x:row r="143">
      <x:c r="A143" s="85" t="n">
        <x:v>142</x:v>
      </x:c>
      <x:c r="B143" s="86" t="str">
        <x:v>F00142</x:v>
      </x:c>
      <x:c r="C143" s="86" t="str">
        <x:v>Marcelo Moreira Barbosa</x:v>
      </x:c>
      <x:c r="D143" s="86" t="n">
        <x:v>1</x:v>
      </x:c>
      <x:c r="E143" s="86" t="n">
        <x:v>4</x:v>
      </x:c>
      <x:c r="F143" s="86" t="n">
        <x:v>4</x:v>
      </x:c>
      <x:c r="G143" s="95" t="n">
        <x:v>45579</x:v>
      </x:c>
      <x:c r="H143" s="95"/>
      <x:c r="I143" s="86" t="str">
        <x:v>Estágio</x:v>
      </x:c>
      <x:c r="J143" s="86" t="str">
        <x:v>Presencial</x:v>
      </x:c>
      <x:c r="K143" s="91" t="n">
        <x:v>4754.59</x:v>
      </x:c>
      <x:c r="L143" s="86" t="str">
        <x:v>Ativo</x:v>
      </x:c>
      <x:c r="M143" s="87" t="n">
        <x:v>20</x:v>
      </x:c>
    </x:row>
    <x:row r="144">
      <x:c r="A144" s="85" t="n">
        <x:v>143</x:v>
      </x:c>
      <x:c r="B144" s="86" t="str">
        <x:v>F00143</x:v>
      </x:c>
      <x:c r="C144" s="86" t="str">
        <x:v>Camila Mendes Ferreira</x:v>
      </x:c>
      <x:c r="D144" s="86" t="n">
        <x:v>2</x:v>
      </x:c>
      <x:c r="E144" s="86" t="n">
        <x:v>4</x:v>
      </x:c>
      <x:c r="F144" s="86" t="n">
        <x:v>4</x:v>
      </x:c>
      <x:c r="G144" s="95" t="n">
        <x:v>45759</x:v>
      </x:c>
      <x:c r="H144" s="95"/>
      <x:c r="I144" s="86" t="str">
        <x:v>CLT</x:v>
      </x:c>
      <x:c r="J144" s="86" t="str">
        <x:v>Presencial</x:v>
      </x:c>
      <x:c r="K144" s="91" t="n">
        <x:v>6702.74</x:v>
      </x:c>
      <x:c r="L144" s="86" t="str">
        <x:v>Ativo</x:v>
      </x:c>
      <x:c r="M144" s="87" t="n">
        <x:v>61</x:v>
      </x:c>
    </x:row>
    <x:row r="145">
      <x:c r="A145" s="85" t="n">
        <x:v>144</x:v>
      </x:c>
      <x:c r="B145" s="86" t="str">
        <x:v>F00144</x:v>
      </x:c>
      <x:c r="C145" s="86" t="str">
        <x:v>Fernanda Cardoso Rocha</x:v>
      </x:c>
      <x:c r="D145" s="86" t="n">
        <x:v>2</x:v>
      </x:c>
      <x:c r="E145" s="86" t="n">
        <x:v>4</x:v>
      </x:c>
      <x:c r="F145" s="86" t="n">
        <x:v>4</x:v>
      </x:c>
      <x:c r="G145" s="95" t="n">
        <x:v>45892</x:v>
      </x:c>
      <x:c r="H145" s="95"/>
      <x:c r="I145" s="86" t="str">
        <x:v>CLT</x:v>
      </x:c>
      <x:c r="J145" s="86" t="str">
        <x:v>Presencial</x:v>
      </x:c>
      <x:c r="K145" s="91" t="n">
        <x:v>6134.55</x:v>
      </x:c>
      <x:c r="L145" s="86" t="str">
        <x:v>Ativo</x:v>
      </x:c>
      <x:c r="M145" s="87" t="n">
        <x:v>20</x:v>
      </x:c>
    </x:row>
    <x:row r="146">
      <x:c r="A146" s="85" t="n">
        <x:v>145</x:v>
      </x:c>
      <x:c r="B146" s="86" t="str">
        <x:v>F00145</x:v>
      </x:c>
      <x:c r="C146" s="86" t="str">
        <x:v>Renata Ribeiro Almeida</x:v>
      </x:c>
      <x:c r="D146" s="86" t="n">
        <x:v>3</x:v>
      </x:c>
      <x:c r="E146" s="86" t="n">
        <x:v>2</x:v>
      </x:c>
      <x:c r="F146" s="86" t="n">
        <x:v>2</x:v>
      </x:c>
      <x:c r="G146" s="95" t="n">
        <x:v>45849</x:v>
      </x:c>
      <x:c r="H146" s="95"/>
      <x:c r="I146" s="86" t="str">
        <x:v>CLT</x:v>
      </x:c>
      <x:c r="J146" s="86" t="str">
        <x:v>Híbrido</x:v>
      </x:c>
      <x:c r="K146" s="91" t="n">
        <x:v>4238.8</x:v>
      </x:c>
      <x:c r="L146" s="86" t="str">
        <x:v>Ativo</x:v>
      </x:c>
      <x:c r="M146" s="87" t="n">
        <x:v>111</x:v>
      </x:c>
    </x:row>
    <x:row r="147">
      <x:c r="A147" s="85" t="n">
        <x:v>146</x:v>
      </x:c>
      <x:c r="B147" s="86" t="str">
        <x:v>F00146</x:v>
      </x:c>
      <x:c r="C147" s="86" t="str">
        <x:v>Rafael Rocha Almeida</x:v>
      </x:c>
      <x:c r="D147" s="86" t="n">
        <x:v>4</x:v>
      </x:c>
      <x:c r="E147" s="86" t="n">
        <x:v>9</x:v>
      </x:c>
      <x:c r="F147" s="86" t="n">
        <x:v>9</x:v>
      </x:c>
      <x:c r="G147" s="95" t="n">
        <x:v>45724</x:v>
      </x:c>
      <x:c r="H147" s="95"/>
      <x:c r="I147" s="86" t="str">
        <x:v>CLT</x:v>
      </x:c>
      <x:c r="J147" s="86" t="str">
        <x:v>Presencial</x:v>
      </x:c>
      <x:c r="K147" s="91" t="n">
        <x:v>9315.24</x:v>
      </x:c>
      <x:c r="L147" s="86" t="str">
        <x:v>Ativo</x:v>
      </x:c>
      <x:c r="M147" s="87" t="n">
        <x:v>354</x:v>
      </x:c>
    </x:row>
    <x:row r="148">
      <x:c r="A148" s="85" t="n">
        <x:v>147</x:v>
      </x:c>
      <x:c r="B148" s="86" t="str">
        <x:v>F00147</x:v>
      </x:c>
      <x:c r="C148" s="86" t="str">
        <x:v>Lucas Silva Cardoso</x:v>
      </x:c>
      <x:c r="D148" s="86" t="n">
        <x:v>4</x:v>
      </x:c>
      <x:c r="E148" s="86" t="n">
        <x:v>7</x:v>
      </x:c>
      <x:c r="F148" s="86" t="n">
        <x:v>17</x:v>
      </x:c>
      <x:c r="G148" s="95" t="n">
        <x:v>45886</x:v>
      </x:c>
      <x:c r="H148" s="95"/>
      <x:c r="I148" s="86" t="str">
        <x:v>CLT</x:v>
      </x:c>
      <x:c r="J148" s="86" t="str">
        <x:v>Presencial</x:v>
      </x:c>
      <x:c r="K148" s="91" t="n">
        <x:v>12145.78</x:v>
      </x:c>
      <x:c r="L148" s="86" t="str">
        <x:v>Ativo</x:v>
      </x:c>
      <x:c r="M148" s="87" t="n">
        <x:v>5</x:v>
      </x:c>
    </x:row>
    <x:row r="149">
      <x:c r="A149" s="85" t="n">
        <x:v>148</x:v>
      </x:c>
      <x:c r="B149" s="86" t="str">
        <x:v>F00148</x:v>
      </x:c>
      <x:c r="C149" s="86" t="str">
        <x:v>Eduardo Teixeira Ferreira</x:v>
      </x:c>
      <x:c r="D149" s="86" t="n">
        <x:v>3</x:v>
      </x:c>
      <x:c r="E149" s="86" t="n">
        <x:v>2</x:v>
      </x:c>
      <x:c r="F149" s="86" t="n">
        <x:v>12</x:v>
      </x:c>
      <x:c r="G149" s="95" t="n">
        <x:v>45119</x:v>
      </x:c>
      <x:c r="H149" s="95"/>
      <x:c r="I149" s="86" t="str">
        <x:v>CLT</x:v>
      </x:c>
      <x:c r="J149" s="86" t="str">
        <x:v>Presencial</x:v>
      </x:c>
      <x:c r="K149" s="91" t="n">
        <x:v>8680.85</x:v>
      </x:c>
      <x:c r="L149" s="86" t="str">
        <x:v>Ativo</x:v>
      </x:c>
      <x:c r="M149" s="87" t="n">
        <x:v>104</x:v>
      </x:c>
    </x:row>
    <x:row r="150">
      <x:c r="A150" s="85" t="n">
        <x:v>149</x:v>
      </x:c>
      <x:c r="B150" s="86" t="str">
        <x:v>F00149</x:v>
      </x:c>
      <x:c r="C150" s="86" t="str">
        <x:v>Carolina Rodrigues Santos</x:v>
      </x:c>
      <x:c r="D150" s="86" t="n">
        <x:v>4</x:v>
      </x:c>
      <x:c r="E150" s="86" t="n">
        <x:v>6</x:v>
      </x:c>
      <x:c r="F150" s="86" t="n">
        <x:v>6</x:v>
      </x:c>
      <x:c r="G150" s="95" t="n">
        <x:v>45043</x:v>
      </x:c>
      <x:c r="H150" s="95"/>
      <x:c r="I150" s="86" t="str">
        <x:v>CLT</x:v>
      </x:c>
      <x:c r="J150" s="86" t="str">
        <x:v>Híbrido</x:v>
      </x:c>
      <x:c r="K150" s="91" t="n">
        <x:v>7329.71</x:v>
      </x:c>
      <x:c r="L150" s="86" t="str">
        <x:v>Ativo</x:v>
      </x:c>
      <x:c r="M150" s="87" t="n">
        <x:v>65</x:v>
      </x:c>
    </x:row>
    <x:row r="151">
      <x:c r="A151" s="85" t="n">
        <x:v>150</x:v>
      </x:c>
      <x:c r="B151" s="86" t="str">
        <x:v>F00150</x:v>
      </x:c>
      <x:c r="C151" s="86" t="str">
        <x:v>Gustavo Oliveira Costa</x:v>
      </x:c>
      <x:c r="D151" s="86" t="n">
        <x:v>2</x:v>
      </x:c>
      <x:c r="E151" s="86" t="n">
        <x:v>1</x:v>
      </x:c>
      <x:c r="F151" s="86" t="n">
        <x:v>1</x:v>
      </x:c>
      <x:c r="G151" s="95" t="n">
        <x:v>45825</x:v>
      </x:c>
      <x:c r="H151" s="95"/>
      <x:c r="I151" s="86" t="str">
        <x:v>CLT</x:v>
      </x:c>
      <x:c r="J151" s="86" t="str">
        <x:v>Presencial</x:v>
      </x:c>
      <x:c r="K151" s="91" t="n">
        <x:v>3473.07</x:v>
      </x:c>
      <x:c r="L151" s="86" t="str">
        <x:v>Ativo</x:v>
      </x:c>
      <x:c r="M151" s="87" t="n">
        <x:v>10</x:v>
      </x:c>
    </x:row>
    <x:row r="152">
      <x:c r="A152" s="85" t="n">
        <x:v>151</x:v>
      </x:c>
      <x:c r="B152" s="86" t="str">
        <x:v>F00151</x:v>
      </x:c>
      <x:c r="C152" s="86" t="str">
        <x:v>Camila Rocha Ferreira</x:v>
      </x:c>
      <x:c r="D152" s="86" t="n">
        <x:v>1</x:v>
      </x:c>
      <x:c r="E152" s="86" t="n">
        <x:v>2</x:v>
      </x:c>
      <x:c r="F152" s="86" t="n">
        <x:v>2</x:v>
      </x:c>
      <x:c r="G152" s="95" t="n">
        <x:v>45488</x:v>
      </x:c>
      <x:c r="H152" s="95"/>
      <x:c r="I152" s="86" t="str">
        <x:v>CLT</x:v>
      </x:c>
      <x:c r="J152" s="86" t="str">
        <x:v>Híbrido</x:v>
      </x:c>
      <x:c r="K152" s="91" t="n">
        <x:v>4764.3</x:v>
      </x:c>
      <x:c r="L152" s="86" t="str">
        <x:v>Ativo</x:v>
      </x:c>
      <x:c r="M152" s="87" t="n">
        <x:v>104</x:v>
      </x:c>
    </x:row>
    <x:row r="153">
      <x:c r="A153" s="85" t="n">
        <x:v>152</x:v>
      </x:c>
      <x:c r="B153" s="86" t="str">
        <x:v>F00152</x:v>
      </x:c>
      <x:c r="C153" s="86" t="str">
        <x:v>Felipe Mendes Rocha</x:v>
      </x:c>
      <x:c r="D153" s="86" t="n">
        <x:v>2</x:v>
      </x:c>
      <x:c r="E153" s="86" t="n">
        <x:v>1</x:v>
      </x:c>
      <x:c r="F153" s="86" t="n">
        <x:v>1</x:v>
      </x:c>
      <x:c r="G153" s="95" t="n">
        <x:v>45929</x:v>
      </x:c>
      <x:c r="H153" s="95"/>
      <x:c r="I153" s="86" t="str">
        <x:v>Estágio</x:v>
      </x:c>
      <x:c r="J153" s="86" t="str">
        <x:v>Híbrido</x:v>
      </x:c>
      <x:c r="K153" s="91" t="n">
        <x:v>3383.97</x:v>
      </x:c>
      <x:c r="L153" s="86" t="str">
        <x:v>Ativo</x:v>
      </x:c>
      <x:c r="M153" s="87" t="n">
        <x:v>371</x:v>
      </x:c>
    </x:row>
    <x:row r="154">
      <x:c r="A154" s="85" t="n">
        <x:v>153</x:v>
      </x:c>
      <x:c r="B154" s="86" t="str">
        <x:v>F00153</x:v>
      </x:c>
      <x:c r="C154" s="86" t="str">
        <x:v>Henrique Gomes Martins</x:v>
      </x:c>
      <x:c r="D154" s="86" t="n">
        <x:v>1</x:v>
      </x:c>
      <x:c r="E154" s="86" t="n">
        <x:v>4</x:v>
      </x:c>
      <x:c r="F154" s="86" t="n">
        <x:v>4</x:v>
      </x:c>
      <x:c r="G154" s="95" t="n">
        <x:v>45137</x:v>
      </x:c>
      <x:c r="H154" s="95"/>
      <x:c r="I154" s="86" t="str">
        <x:v>CLT</x:v>
      </x:c>
      <x:c r="J154" s="86" t="str">
        <x:v>Híbrido</x:v>
      </x:c>
      <x:c r="K154" s="91" t="n">
        <x:v>5440.92</x:v>
      </x:c>
      <x:c r="L154" s="86" t="str">
        <x:v>Ativo</x:v>
      </x:c>
      <x:c r="M154" s="87" t="n">
        <x:v>82</x:v>
      </x:c>
    </x:row>
    <x:row r="155">
      <x:c r="A155" s="85" t="n">
        <x:v>154</x:v>
      </x:c>
      <x:c r="B155" s="86" t="str">
        <x:v>F00154</x:v>
      </x:c>
      <x:c r="C155" s="86" t="str">
        <x:v>Larissa Teixeira Santos</x:v>
      </x:c>
      <x:c r="D155" s="86" t="n">
        <x:v>1</x:v>
      </x:c>
      <x:c r="E155" s="86" t="n">
        <x:v>7</x:v>
      </x:c>
      <x:c r="F155" s="86" t="n">
        <x:v>7</x:v>
      </x:c>
      <x:c r="G155" s="95" t="n">
        <x:v>45406</x:v>
      </x:c>
      <x:c r="H155" s="95"/>
      <x:c r="I155" s="86" t="str">
        <x:v>CLT</x:v>
      </x:c>
      <x:c r="J155" s="86" t="str">
        <x:v>Híbrido</x:v>
      </x:c>
      <x:c r="K155" s="91" t="n">
        <x:v>5454.17</x:v>
      </x:c>
      <x:c r="L155" s="86" t="str">
        <x:v>Ativo</x:v>
      </x:c>
      <x:c r="M155" s="87" t="n">
        <x:v>147</x:v>
      </x:c>
    </x:row>
    <x:row r="156">
      <x:c r="A156" s="85" t="n">
        <x:v>155</x:v>
      </x:c>
      <x:c r="B156" s="86" t="str">
        <x:v>F00155</x:v>
      </x:c>
      <x:c r="C156" s="86" t="str">
        <x:v>Vitória Cardoso Ribeiro</x:v>
      </x:c>
      <x:c r="D156" s="86" t="n">
        <x:v>1</x:v>
      </x:c>
      <x:c r="E156" s="86" t="n">
        <x:v>1</x:v>
      </x:c>
      <x:c r="F156" s="86" t="n">
        <x:v>1</x:v>
      </x:c>
      <x:c r="G156" s="95" t="n">
        <x:v>45369</x:v>
      </x:c>
      <x:c r="H156" s="95"/>
      <x:c r="I156" s="86" t="str">
        <x:v>CLT</x:v>
      </x:c>
      <x:c r="J156" s="86" t="str">
        <x:v>Presencial</x:v>
      </x:c>
      <x:c r="K156" s="91" t="n">
        <x:v>2929.77</x:v>
      </x:c>
      <x:c r="L156" s="86" t="str">
        <x:v>Ativo</x:v>
      </x:c>
      <x:c r="M156" s="87" t="n">
        <x:v>371</x:v>
      </x:c>
    </x:row>
    <x:row r="157">
      <x:c r="A157" s="85" t="n">
        <x:v>156</x:v>
      </x:c>
      <x:c r="B157" s="86" t="str">
        <x:v>F00156</x:v>
      </x:c>
      <x:c r="C157" s="86" t="str">
        <x:v>Isabela Rocha Oliveira</x:v>
      </x:c>
      <x:c r="D157" s="86" t="n">
        <x:v>4</x:v>
      </x:c>
      <x:c r="E157" s="86" t="n">
        <x:v>7</x:v>
      </x:c>
      <x:c r="F157" s="86" t="n">
        <x:v>17</x:v>
      </x:c>
      <x:c r="G157" s="95" t="n">
        <x:v>45244</x:v>
      </x:c>
      <x:c r="H157" s="95"/>
      <x:c r="I157" s="86" t="str">
        <x:v>CLT</x:v>
      </x:c>
      <x:c r="J157" s="86" t="str">
        <x:v>Híbrido</x:v>
      </x:c>
      <x:c r="K157" s="91" t="n">
        <x:v>16755.48</x:v>
      </x:c>
      <x:c r="L157" s="86" t="str">
        <x:v>Ativo</x:v>
      </x:c>
      <x:c r="M157" s="87" t="n">
        <x:v>147</x:v>
      </x:c>
    </x:row>
    <x:row r="158">
      <x:c r="A158" s="85" t="n">
        <x:v>157</x:v>
      </x:c>
      <x:c r="B158" s="86" t="str">
        <x:v>F00157</x:v>
      </x:c>
      <x:c r="C158" s="86" t="str">
        <x:v>Patrícia Rodrigues Rocha</x:v>
      </x:c>
      <x:c r="D158" s="86" t="n">
        <x:v>4</x:v>
      </x:c>
      <x:c r="E158" s="86" t="n">
        <x:v>7</x:v>
      </x:c>
      <x:c r="F158" s="86" t="n">
        <x:v>7</x:v>
      </x:c>
      <x:c r="G158" s="95" t="n">
        <x:v>45045</x:v>
      </x:c>
      <x:c r="H158" s="95" t="n">
        <x:v>45847</x:v>
      </x:c>
      <x:c r="I158" s="86" t="str">
        <x:v>CLT</x:v>
      </x:c>
      <x:c r="J158" s="86" t="str">
        <x:v>Híbrido</x:v>
      </x:c>
      <x:c r="K158" s="91" t="n">
        <x:v>4878.33</x:v>
      </x:c>
      <x:c r="L158" s="86" t="str">
        <x:v>Desligado</x:v>
      </x:c>
      <x:c r="M158" s="87" t="n">
        <x:v>147</x:v>
      </x:c>
    </x:row>
    <x:row r="159">
      <x:c r="A159" s="85" t="n">
        <x:v>158</x:v>
      </x:c>
      <x:c r="B159" s="86" t="str">
        <x:v>F00158</x:v>
      </x:c>
      <x:c r="C159" s="86" t="str">
        <x:v>Joana Rocha Silva</x:v>
      </x:c>
      <x:c r="D159" s="86" t="n">
        <x:v>3</x:v>
      </x:c>
      <x:c r="E159" s="86" t="n">
        <x:v>10</x:v>
      </x:c>
      <x:c r="F159" s="86" t="n">
        <x:v>10</x:v>
      </x:c>
      <x:c r="G159" s="95" t="n">
        <x:v>45346</x:v>
      </x:c>
      <x:c r="H159" s="95"/>
      <x:c r="I159" s="86" t="str">
        <x:v>CLT</x:v>
      </x:c>
      <x:c r="J159" s="86" t="str">
        <x:v>Presencial</x:v>
      </x:c>
      <x:c r="K159" s="91" t="n">
        <x:v>6352.57</x:v>
      </x:c>
      <x:c r="L159" s="86" t="str">
        <x:v>Ativo</x:v>
      </x:c>
      <x:c r="M159" s="87" t="n">
        <x:v>24</x:v>
      </x:c>
    </x:row>
    <x:row r="160">
      <x:c r="A160" s="85" t="n">
        <x:v>159</x:v>
      </x:c>
      <x:c r="B160" s="86" t="str">
        <x:v>F00159</x:v>
      </x:c>
      <x:c r="C160" s="86" t="str">
        <x:v>Mariana Cardoso Ferreira</x:v>
      </x:c>
      <x:c r="D160" s="86" t="n">
        <x:v>1</x:v>
      </x:c>
      <x:c r="E160" s="86" t="n">
        <x:v>10</x:v>
      </x:c>
      <x:c r="F160" s="86" t="n">
        <x:v>10</x:v>
      </x:c>
      <x:c r="G160" s="95" t="n">
        <x:v>45015</x:v>
      </x:c>
      <x:c r="H160" s="95"/>
      <x:c r="I160" s="86" t="str">
        <x:v>CLT</x:v>
      </x:c>
      <x:c r="J160" s="86" t="str">
        <x:v>Presencial</x:v>
      </x:c>
      <x:c r="K160" s="91" t="n">
        <x:v>7055.85</x:v>
      </x:c>
      <x:c r="L160" s="86" t="str">
        <x:v>Ativo</x:v>
      </x:c>
      <x:c r="M160" s="87" t="n">
        <x:v>24</x:v>
      </x:c>
    </x:row>
    <x:row r="161">
      <x:c r="A161" s="85" t="n">
        <x:v>160</x:v>
      </x:c>
      <x:c r="B161" s="86" t="str">
        <x:v>F00160</x:v>
      </x:c>
      <x:c r="C161" s="86" t="str">
        <x:v>Eduarda Nascimento Silva</x:v>
      </x:c>
      <x:c r="D161" s="86" t="n">
        <x:v>4</x:v>
      </x:c>
      <x:c r="E161" s="86" t="n">
        <x:v>8</x:v>
      </x:c>
      <x:c r="F161" s="86" t="n">
        <x:v>20</x:v>
      </x:c>
      <x:c r="G161" s="95" t="n">
        <x:v>45120</x:v>
      </x:c>
      <x:c r="H161" s="95"/>
      <x:c r="I161" s="86" t="str">
        <x:v>CLT</x:v>
      </x:c>
      <x:c r="J161" s="86" t="str">
        <x:v>Presencial</x:v>
      </x:c>
      <x:c r="K161" s="91" t="n">
        <x:v>2838.48</x:v>
      </x:c>
      <x:c r="L161" s="86" t="str">
        <x:v>Ativo</x:v>
      </x:c>
      <x:c r="M161" s="87" t="n">
        <x:v>86</x:v>
      </x:c>
    </x:row>
    <x:row r="162">
      <x:c r="A162" s="85" t="n">
        <x:v>161</x:v>
      </x:c>
      <x:c r="B162" s="86" t="str">
        <x:v>F00161</x:v>
      </x:c>
      <x:c r="C162" s="86" t="str">
        <x:v>Isabela Almeida Cardoso</x:v>
      </x:c>
      <x:c r="D162" s="86" t="n">
        <x:v>2</x:v>
      </x:c>
      <x:c r="E162" s="86" t="n">
        <x:v>1</x:v>
      </x:c>
      <x:c r="F162" s="86" t="n">
        <x:v>1</x:v>
      </x:c>
      <x:c r="G162" s="95" t="n">
        <x:v>45070</x:v>
      </x:c>
      <x:c r="H162" s="95"/>
      <x:c r="I162" s="86" t="str">
        <x:v>CLT</x:v>
      </x:c>
      <x:c r="J162" s="86" t="str">
        <x:v>Presencial</x:v>
      </x:c>
      <x:c r="K162" s="91" t="n">
        <x:v>3204.43</x:v>
      </x:c>
      <x:c r="L162" s="86" t="str">
        <x:v>Ativo</x:v>
      </x:c>
      <x:c r="M162" s="87" t="n">
        <x:v>202</x:v>
      </x:c>
    </x:row>
    <x:row r="163">
      <x:c r="A163" s="85" t="n">
        <x:v>162</x:v>
      </x:c>
      <x:c r="B163" s="86" t="str">
        <x:v>F00162</x:v>
      </x:c>
      <x:c r="C163" s="86" t="str">
        <x:v>Gabriela Teixeira Pereira</x:v>
      </x:c>
      <x:c r="D163" s="86" t="n">
        <x:v>1</x:v>
      </x:c>
      <x:c r="E163" s="86" t="n">
        <x:v>10</x:v>
      </x:c>
      <x:c r="F163" s="86" t="n">
        <x:v>10</x:v>
      </x:c>
      <x:c r="G163" s="95" t="n">
        <x:v>45401</x:v>
      </x:c>
      <x:c r="H163" s="95" t="n">
        <x:v>45919</x:v>
      </x:c>
      <x:c r="I163" s="86" t="str">
        <x:v>Temporário</x:v>
      </x:c>
      <x:c r="J163" s="86" t="str">
        <x:v>Presencial</x:v>
      </x:c>
      <x:c r="K163" s="91" t="n">
        <x:v>7716.51</x:v>
      </x:c>
      <x:c r="L163" s="86" t="str">
        <x:v>Desligado</x:v>
      </x:c>
      <x:c r="M163" s="87" t="n">
        <x:v>24</x:v>
      </x:c>
    </x:row>
    <x:row r="164">
      <x:c r="A164" s="85" t="n">
        <x:v>163</x:v>
      </x:c>
      <x:c r="B164" s="86" t="str">
        <x:v>F00163</x:v>
      </x:c>
      <x:c r="C164" s="86" t="str">
        <x:v>Eduarda Lima Ferreira</x:v>
      </x:c>
      <x:c r="D164" s="86" t="n">
        <x:v>2</x:v>
      </x:c>
      <x:c r="E164" s="86" t="n">
        <x:v>3</x:v>
      </x:c>
      <x:c r="F164" s="86" t="n">
        <x:v>3</x:v>
      </x:c>
      <x:c r="G164" s="95" t="n">
        <x:v>45398</x:v>
      </x:c>
      <x:c r="H164" s="95"/>
      <x:c r="I164" s="86" t="str">
        <x:v>CLT</x:v>
      </x:c>
      <x:c r="J164" s="86" t="str">
        <x:v>Remoto</x:v>
      </x:c>
      <x:c r="K164" s="91" t="n">
        <x:v>3975.76</x:v>
      </x:c>
      <x:c r="L164" s="86" t="str">
        <x:v>Ativo</x:v>
      </x:c>
      <x:c r="M164" s="87" t="n">
        <x:v>177</x:v>
      </x:c>
    </x:row>
    <x:row r="165">
      <x:c r="A165" s="85" t="n">
        <x:v>164</x:v>
      </x:c>
      <x:c r="B165" s="86" t="str">
        <x:v>F00164</x:v>
      </x:c>
      <x:c r="C165" s="86" t="str">
        <x:v>Daniela Gomes Almeida</x:v>
      </x:c>
      <x:c r="D165" s="86" t="n">
        <x:v>2</x:v>
      </x:c>
      <x:c r="E165" s="86" t="n">
        <x:v>10</x:v>
      </x:c>
      <x:c r="F165" s="86" t="n">
        <x:v>10</x:v>
      </x:c>
      <x:c r="G165" s="95" t="n">
        <x:v>45936</x:v>
      </x:c>
      <x:c r="H165" s="95"/>
      <x:c r="I165" s="86" t="str">
        <x:v>CLT</x:v>
      </x:c>
      <x:c r="J165" s="86" t="str">
        <x:v>Híbrido</x:v>
      </x:c>
      <x:c r="K165" s="91" t="n">
        <x:v>7345.37</x:v>
      </x:c>
      <x:c r="L165" s="86" t="str">
        <x:v>Ativo</x:v>
      </x:c>
      <x:c r="M165" s="87" t="n">
        <x:v>24</x:v>
      </x:c>
    </x:row>
    <x:row r="166">
      <x:c r="A166" s="85" t="n">
        <x:v>165</x:v>
      </x:c>
      <x:c r="B166" s="86" t="str">
        <x:v>F00165</x:v>
      </x:c>
      <x:c r="C166" s="86" t="str">
        <x:v>Vitória Silva Moreira</x:v>
      </x:c>
      <x:c r="D166" s="86" t="n">
        <x:v>3</x:v>
      </x:c>
      <x:c r="E166" s="86" t="n">
        <x:v>4</x:v>
      </x:c>
      <x:c r="F166" s="86" t="n">
        <x:v>4</x:v>
      </x:c>
      <x:c r="G166" s="95" t="n">
        <x:v>45932</x:v>
      </x:c>
      <x:c r="H166" s="95"/>
      <x:c r="I166" s="86" t="str">
        <x:v>CLT</x:v>
      </x:c>
      <x:c r="J166" s="86" t="str">
        <x:v>Híbrido</x:v>
      </x:c>
      <x:c r="K166" s="91" t="n">
        <x:v>4815.97</x:v>
      </x:c>
      <x:c r="L166" s="86" t="str">
        <x:v>Ativo</x:v>
      </x:c>
      <x:c r="M166" s="87" t="n">
        <x:v>237</x:v>
      </x:c>
    </x:row>
    <x:row r="167">
      <x:c r="A167" s="85" t="n">
        <x:v>166</x:v>
      </x:c>
      <x:c r="B167" s="86" t="str">
        <x:v>F00166</x:v>
      </x:c>
      <x:c r="C167" s="86" t="str">
        <x:v>Henrique Gomes Rocha</x:v>
      </x:c>
      <x:c r="D167" s="86" t="n">
        <x:v>3</x:v>
      </x:c>
      <x:c r="E167" s="86" t="n">
        <x:v>1</x:v>
      </x:c>
      <x:c r="F167" s="86" t="n">
        <x:v>1</x:v>
      </x:c>
      <x:c r="G167" s="95" t="n">
        <x:v>45887</x:v>
      </x:c>
      <x:c r="H167" s="95"/>
      <x:c r="I167" s="86" t="str">
        <x:v>CLT</x:v>
      </x:c>
      <x:c r="J167" s="86" t="str">
        <x:v>Presencial</x:v>
      </x:c>
      <x:c r="K167" s="91" t="n">
        <x:v>2266.23</x:v>
      </x:c>
      <x:c r="L167" s="86" t="str">
        <x:v>Ativo</x:v>
      </x:c>
      <x:c r="M167" s="87" t="n">
        <x:v>77</x:v>
      </x:c>
    </x:row>
    <x:row r="168">
      <x:c r="A168" s="85" t="n">
        <x:v>167</x:v>
      </x:c>
      <x:c r="B168" s="86" t="str">
        <x:v>F00167</x:v>
      </x:c>
      <x:c r="C168" s="86" t="str">
        <x:v>Carlos Costa Costa</x:v>
      </x:c>
      <x:c r="D168" s="86" t="n">
        <x:v>3</x:v>
      </x:c>
      <x:c r="E168" s="86" t="n">
        <x:v>10</x:v>
      </x:c>
      <x:c r="F168" s="86" t="n">
        <x:v>20</x:v>
      </x:c>
      <x:c r="G168" s="95" t="n">
        <x:v>45891</x:v>
      </x:c>
      <x:c r="H168" s="95" t="n">
        <x:v>45993</x:v>
      </x:c>
      <x:c r="I168" s="86" t="str">
        <x:v>CLT</x:v>
      </x:c>
      <x:c r="J168" s="86" t="str">
        <x:v>Remoto</x:v>
      </x:c>
      <x:c r="K168" s="91" t="n">
        <x:v>3766.19</x:v>
      </x:c>
      <x:c r="L168" s="86" t="str">
        <x:v>Desligado</x:v>
      </x:c>
      <x:c r="M168" s="87" t="n">
        <x:v>24</x:v>
      </x:c>
    </x:row>
    <x:row r="169">
      <x:c r="A169" s="85" t="n">
        <x:v>168</x:v>
      </x:c>
      <x:c r="B169" s="86" t="str">
        <x:v>F00168</x:v>
      </x:c>
      <x:c r="C169" s="86" t="str">
        <x:v>Carolina Souza Silva</x:v>
      </x:c>
      <x:c r="D169" s="86" t="n">
        <x:v>4</x:v>
      </x:c>
      <x:c r="E169" s="86" t="n">
        <x:v>8</x:v>
      </x:c>
      <x:c r="F169" s="86" t="n">
        <x:v>8</x:v>
      </x:c>
      <x:c r="G169" s="95" t="n">
        <x:v>45413</x:v>
      </x:c>
      <x:c r="H169" s="95"/>
      <x:c r="I169" s="86" t="str">
        <x:v>CLT</x:v>
      </x:c>
      <x:c r="J169" s="86" t="str">
        <x:v>Presencial</x:v>
      </x:c>
      <x:c r="K169" s="91" t="n">
        <x:v>6527.02</x:v>
      </x:c>
      <x:c r="L169" s="86" t="str">
        <x:v>Ativo</x:v>
      </x:c>
      <x:c r="M169" s="87" t="n">
        <x:v>86</x:v>
      </x:c>
    </x:row>
    <x:row r="170">
      <x:c r="A170" s="85" t="n">
        <x:v>169</x:v>
      </x:c>
      <x:c r="B170" s="86" t="str">
        <x:v>F00169</x:v>
      </x:c>
      <x:c r="C170" s="86" t="str">
        <x:v>Carolina Mendes Costa</x:v>
      </x:c>
      <x:c r="D170" s="86" t="n">
        <x:v>1</x:v>
      </x:c>
      <x:c r="E170" s="86" t="n">
        <x:v>10</x:v>
      </x:c>
      <x:c r="F170" s="86" t="n">
        <x:v>10</x:v>
      </x:c>
      <x:c r="G170" s="95" t="n">
        <x:v>45688</x:v>
      </x:c>
      <x:c r="H170" s="95" t="n">
        <x:v>45991</x:v>
      </x:c>
      <x:c r="I170" s="86" t="str">
        <x:v>CLT</x:v>
      </x:c>
      <x:c r="J170" s="86" t="str">
        <x:v>Presencial</x:v>
      </x:c>
      <x:c r="K170" s="91" t="n">
        <x:v>7214.27</x:v>
      </x:c>
      <x:c r="L170" s="86" t="str">
        <x:v>Desligado</x:v>
      </x:c>
      <x:c r="M170" s="87" t="n">
        <x:v>24</x:v>
      </x:c>
    </x:row>
    <x:row r="171">
      <x:c r="A171" s="85" t="n">
        <x:v>170</x:v>
      </x:c>
      <x:c r="B171" s="86" t="str">
        <x:v>F00170</x:v>
      </x:c>
      <x:c r="C171" s="86" t="str">
        <x:v>Mariana Souza Martins</x:v>
      </x:c>
      <x:c r="D171" s="86" t="n">
        <x:v>1</x:v>
      </x:c>
      <x:c r="E171" s="86" t="n">
        <x:v>4</x:v>
      </x:c>
      <x:c r="F171" s="86" t="n">
        <x:v>4</x:v>
      </x:c>
      <x:c r="G171" s="95" t="n">
        <x:v>45219</x:v>
      </x:c>
      <x:c r="H171" s="95"/>
      <x:c r="I171" s="86" t="str">
        <x:v>CLT</x:v>
      </x:c>
      <x:c r="J171" s="86" t="str">
        <x:v>Presencial</x:v>
      </x:c>
      <x:c r="K171" s="91" t="n">
        <x:v>5853.6</x:v>
      </x:c>
      <x:c r="L171" s="86" t="str">
        <x:v>Ativo</x:v>
      </x:c>
      <x:c r="M171" s="87" t="n">
        <x:v>61</x:v>
      </x:c>
    </x:row>
    <x:row r="172">
      <x:c r="A172" s="85" t="n">
        <x:v>171</x:v>
      </x:c>
      <x:c r="B172" s="86" t="str">
        <x:v>F00171</x:v>
      </x:c>
      <x:c r="C172" s="86" t="str">
        <x:v>Mariana Mendes Mendes</x:v>
      </x:c>
      <x:c r="D172" s="86" t="n">
        <x:v>3</x:v>
      </x:c>
      <x:c r="E172" s="86" t="n">
        <x:v>10</x:v>
      </x:c>
      <x:c r="F172" s="86" t="n">
        <x:v>10</x:v>
      </x:c>
      <x:c r="G172" s="95" t="n">
        <x:v>45600</x:v>
      </x:c>
      <x:c r="H172" s="95" t="n">
        <x:v>45806</x:v>
      </x:c>
      <x:c r="I172" s="86" t="str">
        <x:v>CLT</x:v>
      </x:c>
      <x:c r="J172" s="86" t="str">
        <x:v>Híbrido</x:v>
      </x:c>
      <x:c r="K172" s="91" t="n">
        <x:v>6797.52</x:v>
      </x:c>
      <x:c r="L172" s="86" t="str">
        <x:v>Desligado</x:v>
      </x:c>
      <x:c r="M172" s="87" t="n">
        <x:v>24</x:v>
      </x:c>
    </x:row>
    <x:row r="173">
      <x:c r="A173" s="85" t="n">
        <x:v>172</x:v>
      </x:c>
      <x:c r="B173" s="86" t="str">
        <x:v>F00172</x:v>
      </x:c>
      <x:c r="C173" s="86" t="str">
        <x:v>Helena Gomes Souza</x:v>
      </x:c>
      <x:c r="D173" s="86" t="n">
        <x:v>1</x:v>
      </x:c>
      <x:c r="E173" s="86" t="n">
        <x:v>1</x:v>
      </x:c>
      <x:c r="F173" s="86" t="n">
        <x:v>1</x:v>
      </x:c>
      <x:c r="G173" s="95" t="n">
        <x:v>45054</x:v>
      </x:c>
      <x:c r="H173" s="95" t="n">
        <x:v>45949</x:v>
      </x:c>
      <x:c r="I173" s="86" t="str">
        <x:v>CLT</x:v>
      </x:c>
      <x:c r="J173" s="86" t="str">
        <x:v>Presencial</x:v>
      </x:c>
      <x:c r="K173" s="91" t="n">
        <x:v>2477.89</x:v>
      </x:c>
      <x:c r="L173" s="86" t="str">
        <x:v>Desligado</x:v>
      </x:c>
      <x:c r="M173" s="87" t="n">
        <x:v>77</x:v>
      </x:c>
    </x:row>
    <x:row r="174">
      <x:c r="A174" s="85" t="n">
        <x:v>173</x:v>
      </x:c>
      <x:c r="B174" s="86" t="str">
        <x:v>F00173</x:v>
      </x:c>
      <x:c r="C174" s="86" t="str">
        <x:v>Joana Lima Oliveira</x:v>
      </x:c>
      <x:c r="D174" s="86" t="n">
        <x:v>4</x:v>
      </x:c>
      <x:c r="E174" s="86" t="n">
        <x:v>8</x:v>
      </x:c>
      <x:c r="F174" s="86" t="n">
        <x:v>8</x:v>
      </x:c>
      <x:c r="G174" s="95" t="n">
        <x:v>45270</x:v>
      </x:c>
      <x:c r="H174" s="95"/>
      <x:c r="I174" s="86" t="str">
        <x:v>CLT</x:v>
      </x:c>
      <x:c r="J174" s="86" t="str">
        <x:v>Presencial</x:v>
      </x:c>
      <x:c r="K174" s="91" t="n">
        <x:v>7387.02</x:v>
      </x:c>
      <x:c r="L174" s="86" t="str">
        <x:v>Ativo</x:v>
      </x:c>
      <x:c r="M174" s="87" t="n">
        <x:v>64</x:v>
      </x:c>
    </x:row>
    <x:row r="175">
      <x:c r="A175" s="85" t="n">
        <x:v>174</x:v>
      </x:c>
      <x:c r="B175" s="86" t="str">
        <x:v>F00174</x:v>
      </x:c>
      <x:c r="C175" s="86" t="str">
        <x:v>Gabriela Pereira Cardoso</x:v>
      </x:c>
      <x:c r="D175" s="86" t="n">
        <x:v>3</x:v>
      </x:c>
      <x:c r="E175" s="86" t="n">
        <x:v>2</x:v>
      </x:c>
      <x:c r="F175" s="86" t="n">
        <x:v>2</x:v>
      </x:c>
      <x:c r="G175" s="95" t="n">
        <x:v>45164</x:v>
      </x:c>
      <x:c r="H175" s="95"/>
      <x:c r="I175" s="86" t="str">
        <x:v>CLT</x:v>
      </x:c>
      <x:c r="J175" s="86" t="str">
        <x:v>Presencial</x:v>
      </x:c>
      <x:c r="K175" s="91" t="n">
        <x:v>5070.82</x:v>
      </x:c>
      <x:c r="L175" s="86" t="str">
        <x:v>Ativo</x:v>
      </x:c>
      <x:c r="M175" s="87" t="n">
        <x:v>8</x:v>
      </x:c>
    </x:row>
    <x:row r="176">
      <x:c r="A176" s="85" t="n">
        <x:v>175</x:v>
      </x:c>
      <x:c r="B176" s="86" t="str">
        <x:v>F00175</x:v>
      </x:c>
      <x:c r="C176" s="86" t="str">
        <x:v>Helena Barbosa Nascimento</x:v>
      </x:c>
      <x:c r="D176" s="86" t="n">
        <x:v>4</x:v>
      </x:c>
      <x:c r="E176" s="86" t="n">
        <x:v>9</x:v>
      </x:c>
      <x:c r="F176" s="86" t="n">
        <x:v>9</x:v>
      </x:c>
      <x:c r="G176" s="95" t="n">
        <x:v>45862</x:v>
      </x:c>
      <x:c r="H176" s="95"/>
      <x:c r="I176" s="86" t="str">
        <x:v>CLT</x:v>
      </x:c>
      <x:c r="J176" s="86" t="str">
        <x:v>Presencial</x:v>
      </x:c>
      <x:c r="K176" s="91" t="n">
        <x:v>7983.14</x:v>
      </x:c>
      <x:c r="L176" s="86" t="str">
        <x:v>Ativo</x:v>
      </x:c>
      <x:c r="M176" s="87" t="n">
        <x:v>354</x:v>
      </x:c>
    </x:row>
    <x:row r="177">
      <x:c r="A177" s="85" t="n">
        <x:v>176</x:v>
      </x:c>
      <x:c r="B177" s="86" t="str">
        <x:v>F00176</x:v>
      </x:c>
      <x:c r="C177" s="86" t="str">
        <x:v>Gabriela Martins Santos</x:v>
      </x:c>
      <x:c r="D177" s="86" t="n">
        <x:v>1</x:v>
      </x:c>
      <x:c r="E177" s="86" t="n">
        <x:v>10</x:v>
      </x:c>
      <x:c r="F177" s="86" t="n">
        <x:v>10</x:v>
      </x:c>
      <x:c r="G177" s="95" t="n">
        <x:v>45838</x:v>
      </x:c>
      <x:c r="H177" s="95"/>
      <x:c r="I177" s="86" t="str">
        <x:v>Temporário</x:v>
      </x:c>
      <x:c r="J177" s="86" t="str">
        <x:v>Presencial</x:v>
      </x:c>
      <x:c r="K177" s="91" t="n">
        <x:v>6961.94</x:v>
      </x:c>
      <x:c r="L177" s="86" t="str">
        <x:v>Ativo</x:v>
      </x:c>
      <x:c r="M177" s="87" t="n">
        <x:v>24</x:v>
      </x:c>
    </x:row>
    <x:row r="178">
      <x:c r="A178" s="85" t="n">
        <x:v>177</x:v>
      </x:c>
      <x:c r="B178" s="86" t="str">
        <x:v>F00177</x:v>
      </x:c>
      <x:c r="C178" s="86" t="str">
        <x:v>Isabela Costa Moreira</x:v>
      </x:c>
      <x:c r="D178" s="86" t="n">
        <x:v>1</x:v>
      </x:c>
      <x:c r="E178" s="86" t="n">
        <x:v>3</x:v>
      </x:c>
      <x:c r="F178" s="86" t="n">
        <x:v>13</x:v>
      </x:c>
      <x:c r="G178" s="95" t="n">
        <x:v>45606</x:v>
      </x:c>
      <x:c r="H178" s="95"/>
      <x:c r="I178" s="86" t="str">
        <x:v>CLT</x:v>
      </x:c>
      <x:c r="J178" s="86" t="str">
        <x:v>Presencial</x:v>
      </x:c>
      <x:c r="K178" s="91" t="n">
        <x:v>8886.77</x:v>
      </x:c>
      <x:c r="L178" s="86" t="str">
        <x:v>Ativo</x:v>
      </x:c>
      <x:c r="M178" s="87" t="n">
        <x:v>26</x:v>
      </x:c>
    </x:row>
    <x:row r="179">
      <x:c r="A179" s="85" t="n">
        <x:v>178</x:v>
      </x:c>
      <x:c r="B179" s="86" t="str">
        <x:v>F00178</x:v>
      </x:c>
      <x:c r="C179" s="86" t="str">
        <x:v>Larissa Almeida Teixeira</x:v>
      </x:c>
      <x:c r="D179" s="86" t="n">
        <x:v>1</x:v>
      </x:c>
      <x:c r="E179" s="86" t="n">
        <x:v>2</x:v>
      </x:c>
      <x:c r="F179" s="86" t="n">
        <x:v>2</x:v>
      </x:c>
      <x:c r="G179" s="95" t="n">
        <x:v>45584</x:v>
      </x:c>
      <x:c r="H179" s="95"/>
      <x:c r="I179" s="86" t="str">
        <x:v>CLT</x:v>
      </x:c>
      <x:c r="J179" s="86" t="str">
        <x:v>Presencial</x:v>
      </x:c>
      <x:c r="K179" s="91" t="n">
        <x:v>4748.55</x:v>
      </x:c>
      <x:c r="L179" s="86" t="str">
        <x:v>Ativo</x:v>
      </x:c>
      <x:c r="M179" s="87" t="n">
        <x:v>104</x:v>
      </x:c>
    </x:row>
    <x:row r="180">
      <x:c r="A180" s="85" t="n">
        <x:v>179</x:v>
      </x:c>
      <x:c r="B180" s="86" t="str">
        <x:v>F00179</x:v>
      </x:c>
      <x:c r="C180" s="86" t="str">
        <x:v>Carolina Silva Rocha</x:v>
      </x:c>
      <x:c r="D180" s="86" t="n">
        <x:v>4</x:v>
      </x:c>
      <x:c r="E180" s="86" t="n">
        <x:v>8</x:v>
      </x:c>
      <x:c r="F180" s="86" t="n">
        <x:v>8</x:v>
      </x:c>
      <x:c r="G180" s="95" t="n">
        <x:v>45735</x:v>
      </x:c>
      <x:c r="H180" s="95"/>
      <x:c r="I180" s="86" t="str">
        <x:v>CLT</x:v>
      </x:c>
      <x:c r="J180" s="86" t="str">
        <x:v>Híbrido</x:v>
      </x:c>
      <x:c r="K180" s="91" t="n">
        <x:v>7251.95</x:v>
      </x:c>
      <x:c r="L180" s="86" t="str">
        <x:v>Ativo</x:v>
      </x:c>
      <x:c r="M180" s="87" t="n">
        <x:v>109</x:v>
      </x:c>
    </x:row>
    <x:row r="181">
      <x:c r="A181" s="85" t="n">
        <x:v>180</x:v>
      </x:c>
      <x:c r="B181" s="86" t="str">
        <x:v>F00180</x:v>
      </x:c>
      <x:c r="C181" s="86" t="str">
        <x:v>Marcelo Martins Pereira</x:v>
      </x:c>
      <x:c r="D181" s="86" t="n">
        <x:v>2</x:v>
      </x:c>
      <x:c r="E181" s="86" t="n">
        <x:v>10</x:v>
      </x:c>
      <x:c r="F181" s="86" t="n">
        <x:v>10</x:v>
      </x:c>
      <x:c r="G181" s="95" t="n">
        <x:v>45323</x:v>
      </x:c>
      <x:c r="H181" s="95"/>
      <x:c r="I181" s="86" t="str">
        <x:v>CLT</x:v>
      </x:c>
      <x:c r="J181" s="86" t="str">
        <x:v>Presencial</x:v>
      </x:c>
      <x:c r="K181" s="91" t="n">
        <x:v>6462.11</x:v>
      </x:c>
      <x:c r="L181" s="86" t="str">
        <x:v>Ativo</x:v>
      </x:c>
      <x:c r="M181" s="87" t="n">
        <x:v>24</x:v>
      </x:c>
    </x:row>
    <x:row r="182">
      <x:c r="A182" s="85" t="n">
        <x:v>181</x:v>
      </x:c>
      <x:c r="B182" s="86" t="str">
        <x:v>F00181</x:v>
      </x:c>
      <x:c r="C182" s="86" t="str">
        <x:v>Patrícia Pereira Ferreira</x:v>
      </x:c>
      <x:c r="D182" s="86" t="n">
        <x:v>2</x:v>
      </x:c>
      <x:c r="E182" s="86" t="n">
        <x:v>6</x:v>
      </x:c>
      <x:c r="F182" s="86" t="n">
        <x:v>6</x:v>
      </x:c>
      <x:c r="G182" s="95" t="n">
        <x:v>45790</x:v>
      </x:c>
      <x:c r="H182" s="95"/>
      <x:c r="I182" s="86" t="str">
        <x:v>CLT</x:v>
      </x:c>
      <x:c r="J182" s="86" t="str">
        <x:v>Presencial</x:v>
      </x:c>
      <x:c r="K182" s="91" t="n">
        <x:v>8471.43</x:v>
      </x:c>
      <x:c r="L182" s="86" t="str">
        <x:v>Ativo</x:v>
      </x:c>
      <x:c r="M182" s="87" t="n">
        <x:v>116</x:v>
      </x:c>
    </x:row>
    <x:row r="183">
      <x:c r="A183" s="85" t="n">
        <x:v>182</x:v>
      </x:c>
      <x:c r="B183" s="86" t="str">
        <x:v>F00182</x:v>
      </x:c>
      <x:c r="C183" s="86" t="str">
        <x:v>Diego Cardoso Santos</x:v>
      </x:c>
      <x:c r="D183" s="86" t="n">
        <x:v>1</x:v>
      </x:c>
      <x:c r="E183" s="86" t="n">
        <x:v>1</x:v>
      </x:c>
      <x:c r="F183" s="86" t="n">
        <x:v>1</x:v>
      </x:c>
      <x:c r="G183" s="95" t="n">
        <x:v>45192</x:v>
      </x:c>
      <x:c r="H183" s="95"/>
      <x:c r="I183" s="86" t="str">
        <x:v>CLT</x:v>
      </x:c>
      <x:c r="J183" s="86" t="str">
        <x:v>Presencial</x:v>
      </x:c>
      <x:c r="K183" s="91" t="n">
        <x:v>3069.94</x:v>
      </x:c>
      <x:c r="L183" s="86" t="str">
        <x:v>Ativo</x:v>
      </x:c>
      <x:c r="M183" s="87" t="n">
        <x:v>371</x:v>
      </x:c>
    </x:row>
    <x:row r="184">
      <x:c r="A184" s="85" t="n">
        <x:v>183</x:v>
      </x:c>
      <x:c r="B184" s="86" t="str">
        <x:v>F00183</x:v>
      </x:c>
      <x:c r="C184" s="86" t="str">
        <x:v>Beatriz Nascimento Souza</x:v>
      </x:c>
      <x:c r="D184" s="86" t="n">
        <x:v>2</x:v>
      </x:c>
      <x:c r="E184" s="86" t="n">
        <x:v>1</x:v>
      </x:c>
      <x:c r="F184" s="86" t="n">
        <x:v>1</x:v>
      </x:c>
      <x:c r="G184" s="95" t="n">
        <x:v>45076</x:v>
      </x:c>
      <x:c r="H184" s="95"/>
      <x:c r="I184" s="86" t="str">
        <x:v>CLT</x:v>
      </x:c>
      <x:c r="J184" s="86" t="str">
        <x:v>Presencial</x:v>
      </x:c>
      <x:c r="K184" s="91" t="n">
        <x:v>2787.59</x:v>
      </x:c>
      <x:c r="L184" s="86" t="str">
        <x:v>Ativo</x:v>
      </x:c>
      <x:c r="M184" s="87" t="n">
        <x:v>10</x:v>
      </x:c>
    </x:row>
    <x:row r="185">
      <x:c r="A185" s="85" t="n">
        <x:v>184</x:v>
      </x:c>
      <x:c r="B185" s="86" t="str">
        <x:v>F00184</x:v>
      </x:c>
      <x:c r="C185" s="86" t="str">
        <x:v>Sofia Rocha Ferreira</x:v>
      </x:c>
      <x:c r="D185" s="86" t="n">
        <x:v>3</x:v>
      </x:c>
      <x:c r="E185" s="86" t="n">
        <x:v>1</x:v>
      </x:c>
      <x:c r="F185" s="86" t="n">
        <x:v>1</x:v>
      </x:c>
      <x:c r="G185" s="95" t="n">
        <x:v>45332</x:v>
      </x:c>
      <x:c r="H185" s="95"/>
      <x:c r="I185" s="86" t="str">
        <x:v>Estágio</x:v>
      </x:c>
      <x:c r="J185" s="86" t="str">
        <x:v>Híbrido</x:v>
      </x:c>
      <x:c r="K185" s="91" t="n">
        <x:v>2259.88</x:v>
      </x:c>
      <x:c r="L185" s="86" t="str">
        <x:v>Ativo</x:v>
      </x:c>
      <x:c r="M185" s="87" t="n">
        <x:v>78</x:v>
      </x:c>
    </x:row>
    <x:row r="186">
      <x:c r="A186" s="85" t="n">
        <x:v>185</x:v>
      </x:c>
      <x:c r="B186" s="86" t="str">
        <x:v>F00185</x:v>
      </x:c>
      <x:c r="C186" s="86" t="str">
        <x:v>Diego Martins Silva</x:v>
      </x:c>
      <x:c r="D186" s="86" t="n">
        <x:v>2</x:v>
      </x:c>
      <x:c r="E186" s="86" t="n">
        <x:v>1</x:v>
      </x:c>
      <x:c r="F186" s="86" t="n">
        <x:v>11</x:v>
      </x:c>
      <x:c r="G186" s="95" t="n">
        <x:v>45460</x:v>
      </x:c>
      <x:c r="H186" s="95"/>
      <x:c r="I186" s="86" t="str">
        <x:v>Estágio</x:v>
      </x:c>
      <x:c r="J186" s="86" t="str">
        <x:v>Presencial</x:v>
      </x:c>
      <x:c r="K186" s="91" t="n">
        <x:v>8016.43</x:v>
      </x:c>
      <x:c r="L186" s="86" t="str">
        <x:v>Ativo</x:v>
      </x:c>
      <x:c r="M186" s="87" t="n">
        <x:v>77</x:v>
      </x:c>
    </x:row>
    <x:row r="187">
      <x:c r="A187" s="85" t="n">
        <x:v>186</x:v>
      </x:c>
      <x:c r="B187" s="86" t="str">
        <x:v>F00186</x:v>
      </x:c>
      <x:c r="C187" s="86" t="str">
        <x:v>Carlos Oliveira Ferreira</x:v>
      </x:c>
      <x:c r="D187" s="86" t="n">
        <x:v>1</x:v>
      </x:c>
      <x:c r="E187" s="86" t="n">
        <x:v>2</x:v>
      </x:c>
      <x:c r="F187" s="86" t="n">
        <x:v>2</x:v>
      </x:c>
      <x:c r="G187" s="95" t="n">
        <x:v>45080</x:v>
      </x:c>
      <x:c r="H187" s="95" t="n">
        <x:v>45154</x:v>
      </x:c>
      <x:c r="I187" s="86" t="str">
        <x:v>Temporário</x:v>
      </x:c>
      <x:c r="J187" s="86" t="str">
        <x:v>Presencial</x:v>
      </x:c>
      <x:c r="K187" s="91" t="n">
        <x:v>5102.88</x:v>
      </x:c>
      <x:c r="L187" s="86" t="str">
        <x:v>Desligado</x:v>
      </x:c>
      <x:c r="M187" s="87" t="n">
        <x:v>111</x:v>
      </x:c>
    </x:row>
    <x:row r="188">
      <x:c r="A188" s="85" t="n">
        <x:v>187</x:v>
      </x:c>
      <x:c r="B188" s="86" t="str">
        <x:v>F00187</x:v>
      </x:c>
      <x:c r="C188" s="86" t="str">
        <x:v>Carolina Barbosa Lima</x:v>
      </x:c>
      <x:c r="D188" s="86" t="n">
        <x:v>4</x:v>
      </x:c>
      <x:c r="E188" s="86" t="n">
        <x:v>8</x:v>
      </x:c>
      <x:c r="F188" s="86" t="n">
        <x:v>8</x:v>
      </x:c>
      <x:c r="G188" s="95" t="n">
        <x:v>45906</x:v>
      </x:c>
      <x:c r="H188" s="95"/>
      <x:c r="I188" s="86" t="str">
        <x:v>CLT</x:v>
      </x:c>
      <x:c r="J188" s="86" t="str">
        <x:v>Presencial</x:v>
      </x:c>
      <x:c r="K188" s="91" t="n">
        <x:v>4481.52</x:v>
      </x:c>
      <x:c r="L188" s="86" t="str">
        <x:v>Ativo</x:v>
      </x:c>
      <x:c r="M188" s="87" t="n">
        <x:v>64</x:v>
      </x:c>
    </x:row>
    <x:row r="189">
      <x:c r="A189" s="85" t="n">
        <x:v>188</x:v>
      </x:c>
      <x:c r="B189" s="86" t="str">
        <x:v>F00188</x:v>
      </x:c>
      <x:c r="C189" s="86" t="str">
        <x:v>Diego Gomes Oliveira</x:v>
      </x:c>
      <x:c r="D189" s="86" t="n">
        <x:v>2</x:v>
      </x:c>
      <x:c r="E189" s="86" t="n">
        <x:v>1</x:v>
      </x:c>
      <x:c r="F189" s="86" t="n">
        <x:v>1</x:v>
      </x:c>
      <x:c r="G189" s="95" t="n">
        <x:v>45287</x:v>
      </x:c>
      <x:c r="H189" s="95"/>
      <x:c r="I189" s="86" t="str">
        <x:v>CLT</x:v>
      </x:c>
      <x:c r="J189" s="86" t="str">
        <x:v>Presencial</x:v>
      </x:c>
      <x:c r="K189" s="91" t="n">
        <x:v>3080.42</x:v>
      </x:c>
      <x:c r="L189" s="86" t="str">
        <x:v>Ativo</x:v>
      </x:c>
      <x:c r="M189" s="87" t="n">
        <x:v>202</x:v>
      </x:c>
    </x:row>
    <x:row r="190">
      <x:c r="A190" s="85" t="n">
        <x:v>189</x:v>
      </x:c>
      <x:c r="B190" s="86" t="str">
        <x:v>F00189</x:v>
      </x:c>
      <x:c r="C190" s="86" t="str">
        <x:v>Camila Ferreira Almeida</x:v>
      </x:c>
      <x:c r="D190" s="86" t="n">
        <x:v>3</x:v>
      </x:c>
      <x:c r="E190" s="86" t="n">
        <x:v>9</x:v>
      </x:c>
      <x:c r="F190" s="86" t="n">
        <x:v>19</x:v>
      </x:c>
      <x:c r="G190" s="95" t="n">
        <x:v>45870</x:v>
      </x:c>
      <x:c r="H190" s="95"/>
      <x:c r="I190" s="86" t="str">
        <x:v>CLT</x:v>
      </x:c>
      <x:c r="J190" s="86" t="str">
        <x:v>Presencial</x:v>
      </x:c>
      <x:c r="K190" s="91" t="n">
        <x:v>18443.82</x:v>
      </x:c>
      <x:c r="L190" s="86" t="str">
        <x:v>Ativo</x:v>
      </x:c>
      <x:c r="M190" s="87" t="n">
        <x:v>342</x:v>
      </x:c>
    </x:row>
    <x:row r="191">
      <x:c r="A191" s="85" t="n">
        <x:v>190</x:v>
      </x:c>
      <x:c r="B191" s="86" t="str">
        <x:v>F00190</x:v>
      </x:c>
      <x:c r="C191" s="86" t="str">
        <x:v>Ana Mendes Barbosa</x:v>
      </x:c>
      <x:c r="D191" s="86" t="n">
        <x:v>4</x:v>
      </x:c>
      <x:c r="E191" s="86" t="n">
        <x:v>9</x:v>
      </x:c>
      <x:c r="F191" s="86" t="n">
        <x:v>9</x:v>
      </x:c>
      <x:c r="G191" s="95" t="n">
        <x:v>45910</x:v>
      </x:c>
      <x:c r="H191" s="95"/>
      <x:c r="I191" s="86" t="str">
        <x:v>CLT</x:v>
      </x:c>
      <x:c r="J191" s="86" t="str">
        <x:v>Presencial</x:v>
      </x:c>
      <x:c r="K191" s="91" t="n">
        <x:v>6725.9</x:v>
      </x:c>
      <x:c r="L191" s="86" t="str">
        <x:v>Ativo</x:v>
      </x:c>
      <x:c r="M191" s="87" t="n">
        <x:v>189</x:v>
      </x:c>
    </x:row>
    <x:row r="192">
      <x:c r="A192" s="85" t="n">
        <x:v>191</x:v>
      </x:c>
      <x:c r="B192" s="86" t="str">
        <x:v>F00191</x:v>
      </x:c>
      <x:c r="C192" s="86" t="str">
        <x:v>João Moreira Martins</x:v>
      </x:c>
      <x:c r="D192" s="86" t="n">
        <x:v>3</x:v>
      </x:c>
      <x:c r="E192" s="86" t="n">
        <x:v>10</x:v>
      </x:c>
      <x:c r="F192" s="86" t="n">
        <x:v>10</x:v>
      </x:c>
      <x:c r="G192" s="95" t="n">
        <x:v>45033</x:v>
      </x:c>
      <x:c r="H192" s="95"/>
      <x:c r="I192" s="86" t="str">
        <x:v>CLT</x:v>
      </x:c>
      <x:c r="J192" s="86" t="str">
        <x:v>Presencial</x:v>
      </x:c>
      <x:c r="K192" s="91" t="n">
        <x:v>5020.07</x:v>
      </x:c>
      <x:c r="L192" s="86" t="str">
        <x:v>Ativo</x:v>
      </x:c>
      <x:c r="M192" s="87" t="n">
        <x:v>24</x:v>
      </x:c>
    </x:row>
    <x:row r="193">
      <x:c r="A193" s="85" t="n">
        <x:v>192</x:v>
      </x:c>
      <x:c r="B193" s="86" t="str">
        <x:v>F00192</x:v>
      </x:c>
      <x:c r="C193" s="86" t="str">
        <x:v>Camila Santos Souza</x:v>
      </x:c>
      <x:c r="D193" s="86" t="n">
        <x:v>3</x:v>
      </x:c>
      <x:c r="E193" s="86" t="n">
        <x:v>9</x:v>
      </x:c>
      <x:c r="F193" s="86" t="n">
        <x:v>9</x:v>
      </x:c>
      <x:c r="G193" s="95" t="n">
        <x:v>45065</x:v>
      </x:c>
      <x:c r="H193" s="95"/>
      <x:c r="I193" s="86" t="str">
        <x:v>CLT</x:v>
      </x:c>
      <x:c r="J193" s="86" t="str">
        <x:v>Presencial</x:v>
      </x:c>
      <x:c r="K193" s="91" t="n">
        <x:v>8057.03</x:v>
      </x:c>
      <x:c r="L193" s="86" t="str">
        <x:v>Ativo</x:v>
      </x:c>
      <x:c r="M193" s="87" t="n">
        <x:v>354</x:v>
      </x:c>
    </x:row>
    <x:row r="194">
      <x:c r="A194" s="85" t="n">
        <x:v>193</x:v>
      </x:c>
      <x:c r="B194" s="86" t="str">
        <x:v>F00193</x:v>
      </x:c>
      <x:c r="C194" s="86" t="str">
        <x:v>Camila Nascimento Rocha</x:v>
      </x:c>
      <x:c r="D194" s="86" t="n">
        <x:v>2</x:v>
      </x:c>
      <x:c r="E194" s="86" t="n">
        <x:v>6</x:v>
      </x:c>
      <x:c r="F194" s="86" t="n">
        <x:v>6</x:v>
      </x:c>
      <x:c r="G194" s="95" t="n">
        <x:v>45787</x:v>
      </x:c>
      <x:c r="H194" s="95"/>
      <x:c r="I194" s="86" t="str">
        <x:v>CLT</x:v>
      </x:c>
      <x:c r="J194" s="86" t="str">
        <x:v>Presencial</x:v>
      </x:c>
      <x:c r="K194" s="91" t="n">
        <x:v>6121.94</x:v>
      </x:c>
      <x:c r="L194" s="86" t="str">
        <x:v>Ativo</x:v>
      </x:c>
      <x:c r="M194" s="87" t="n">
        <x:v>116</x:v>
      </x:c>
    </x:row>
    <x:row r="195">
      <x:c r="A195" s="85" t="n">
        <x:v>194</x:v>
      </x:c>
      <x:c r="B195" s="86" t="str">
        <x:v>F00194</x:v>
      </x:c>
      <x:c r="C195" s="86" t="str">
        <x:v>Igor Souza Nascimento</x:v>
      </x:c>
      <x:c r="D195" s="86" t="n">
        <x:v>1</x:v>
      </x:c>
      <x:c r="E195" s="86" t="n">
        <x:v>1</x:v>
      </x:c>
      <x:c r="F195" s="86" t="n">
        <x:v>1</x:v>
      </x:c>
      <x:c r="G195" s="95" t="n">
        <x:v>45332</x:v>
      </x:c>
      <x:c r="H195" s="95"/>
      <x:c r="I195" s="86" t="str">
        <x:v>CLT</x:v>
      </x:c>
      <x:c r="J195" s="86" t="str">
        <x:v>Híbrido</x:v>
      </x:c>
      <x:c r="K195" s="91" t="n">
        <x:v>3185.67</x:v>
      </x:c>
      <x:c r="L195" s="86" t="str">
        <x:v>Ativo</x:v>
      </x:c>
      <x:c r="M195" s="87" t="n">
        <x:v>85</x:v>
      </x:c>
    </x:row>
    <x:row r="196">
      <x:c r="A196" s="85" t="n">
        <x:v>195</x:v>
      </x:c>
      <x:c r="B196" s="86" t="str">
        <x:v>F00195</x:v>
      </x:c>
      <x:c r="C196" s="86" t="str">
        <x:v>Ana Martins Silva</x:v>
      </x:c>
      <x:c r="D196" s="86" t="n">
        <x:v>1</x:v>
      </x:c>
      <x:c r="E196" s="86" t="n">
        <x:v>4</x:v>
      </x:c>
      <x:c r="F196" s="86" t="n">
        <x:v>4</x:v>
      </x:c>
      <x:c r="G196" s="95" t="n">
        <x:v>45712</x:v>
      </x:c>
      <x:c r="H196" s="95"/>
      <x:c r="I196" s="86" t="str">
        <x:v>CLT</x:v>
      </x:c>
      <x:c r="J196" s="86" t="str">
        <x:v>Remoto</x:v>
      </x:c>
      <x:c r="K196" s="91" t="n">
        <x:v>5370.63</x:v>
      </x:c>
      <x:c r="L196" s="86" t="str">
        <x:v>Ativo</x:v>
      </x:c>
      <x:c r="M196" s="87" t="n">
        <x:v>82</x:v>
      </x:c>
    </x:row>
    <x:row r="197">
      <x:c r="A197" s="85" t="n">
        <x:v>196</x:v>
      </x:c>
      <x:c r="B197" s="86" t="str">
        <x:v>F00196</x:v>
      </x:c>
      <x:c r="C197" s="86" t="str">
        <x:v>Joana Ferreira Santos</x:v>
      </x:c>
      <x:c r="D197" s="86" t="n">
        <x:v>1</x:v>
      </x:c>
      <x:c r="E197" s="86" t="n">
        <x:v>2</x:v>
      </x:c>
      <x:c r="F197" s="86" t="n">
        <x:v>2</x:v>
      </x:c>
      <x:c r="G197" s="95" t="n">
        <x:v>45247</x:v>
      </x:c>
      <x:c r="H197" s="95"/>
      <x:c r="I197" s="86" t="str">
        <x:v>Estágio</x:v>
      </x:c>
      <x:c r="J197" s="86" t="str">
        <x:v>Híbrido</x:v>
      </x:c>
      <x:c r="K197" s="91" t="n">
        <x:v>4500.72</x:v>
      </x:c>
      <x:c r="L197" s="86" t="str">
        <x:v>Ativo</x:v>
      </x:c>
      <x:c r="M197" s="87" t="n">
        <x:v>104</x:v>
      </x:c>
    </x:row>
    <x:row r="198">
      <x:c r="A198" s="85" t="n">
        <x:v>197</x:v>
      </x:c>
      <x:c r="B198" s="86" t="str">
        <x:v>F00197</x:v>
      </x:c>
      <x:c r="C198" s="86" t="str">
        <x:v>Vitória Costa Silva</x:v>
      </x:c>
      <x:c r="D198" s="86" t="n">
        <x:v>3</x:v>
      </x:c>
      <x:c r="E198" s="86" t="n">
        <x:v>1</x:v>
      </x:c>
      <x:c r="F198" s="86" t="n">
        <x:v>1</x:v>
      </x:c>
      <x:c r="G198" s="95" t="n">
        <x:v>45536</x:v>
      </x:c>
      <x:c r="H198" s="95"/>
      <x:c r="I198" s="86" t="str">
        <x:v>CLT</x:v>
      </x:c>
      <x:c r="J198" s="86" t="str">
        <x:v>Presencial</x:v>
      </x:c>
      <x:c r="K198" s="91" t="n">
        <x:v>3531.46</x:v>
      </x:c>
      <x:c r="L198" s="86" t="str">
        <x:v>Ativo</x:v>
      </x:c>
      <x:c r="M198" s="87" t="n">
        <x:v>77</x:v>
      </x:c>
    </x:row>
    <x:row r="199">
      <x:c r="A199" s="85" t="n">
        <x:v>198</x:v>
      </x:c>
      <x:c r="B199" s="86" t="str">
        <x:v>F00198</x:v>
      </x:c>
      <x:c r="C199" s="86" t="str">
        <x:v>Gustavo Ribeiro Pereira</x:v>
      </x:c>
      <x:c r="D199" s="86" t="n">
        <x:v>2</x:v>
      </x:c>
      <x:c r="E199" s="86" t="n">
        <x:v>5</x:v>
      </x:c>
      <x:c r="F199" s="86" t="n">
        <x:v>5</x:v>
      </x:c>
      <x:c r="G199" s="95" t="n">
        <x:v>45002</x:v>
      </x:c>
      <x:c r="H199" s="95"/>
      <x:c r="I199" s="86" t="str">
        <x:v>Estágio</x:v>
      </x:c>
      <x:c r="J199" s="86" t="str">
        <x:v>Presencial</x:v>
      </x:c>
      <x:c r="K199" s="91" t="n">
        <x:v>9167.55</x:v>
      </x:c>
      <x:c r="L199" s="86" t="str">
        <x:v>Ativo</x:v>
      </x:c>
      <x:c r="M199" s="87" t="n">
        <x:v>39</x:v>
      </x:c>
    </x:row>
    <x:row r="200">
      <x:c r="A200" s="85" t="n">
        <x:v>199</x:v>
      </x:c>
      <x:c r="B200" s="86" t="str">
        <x:v>F00199</x:v>
      </x:c>
      <x:c r="C200" s="86" t="str">
        <x:v>Larissa Almeida Costa</x:v>
      </x:c>
      <x:c r="D200" s="86" t="n">
        <x:v>4</x:v>
      </x:c>
      <x:c r="E200" s="86" t="n">
        <x:v>9</x:v>
      </x:c>
      <x:c r="F200" s="86" t="n">
        <x:v>9</x:v>
      </x:c>
      <x:c r="G200" s="95" t="n">
        <x:v>45191</x:v>
      </x:c>
      <x:c r="H200" s="95"/>
      <x:c r="I200" s="86" t="str">
        <x:v>CLT</x:v>
      </x:c>
      <x:c r="J200" s="86" t="str">
        <x:v>Presencial</x:v>
      </x:c>
      <x:c r="K200" s="91" t="n">
        <x:v>5862.9</x:v>
      </x:c>
      <x:c r="L200" s="86" t="str">
        <x:v>Ativo</x:v>
      </x:c>
      <x:c r="M200" s="87" t="n">
        <x:v>342</x:v>
      </x:c>
    </x:row>
    <x:row r="201">
      <x:c r="A201" s="85" t="n">
        <x:v>200</x:v>
      </x:c>
      <x:c r="B201" s="86" t="str">
        <x:v>F00200</x:v>
      </x:c>
      <x:c r="C201" s="86" t="str">
        <x:v>Eduardo Moreira Teixeira</x:v>
      </x:c>
      <x:c r="D201" s="86" t="n">
        <x:v>2</x:v>
      </x:c>
      <x:c r="E201" s="86" t="n">
        <x:v>8</x:v>
      </x:c>
      <x:c r="F201" s="86" t="n">
        <x:v>8</x:v>
      </x:c>
      <x:c r="G201" s="95" t="n">
        <x:v>44931</x:v>
      </x:c>
      <x:c r="H201" s="95"/>
      <x:c r="I201" s="86" t="str">
        <x:v>Estágio</x:v>
      </x:c>
      <x:c r="J201" s="86" t="str">
        <x:v>Presencial</x:v>
      </x:c>
      <x:c r="K201" s="91" t="n">
        <x:v>6402.64</x:v>
      </x:c>
      <x:c r="L201" s="86" t="str">
        <x:v>Ativo</x:v>
      </x:c>
      <x:c r="M201" s="87" t="n">
        <x:v>64</x:v>
      </x:c>
    </x:row>
    <x:row r="202">
      <x:c r="A202" s="85" t="n">
        <x:v>201</x:v>
      </x:c>
      <x:c r="B202" s="86" t="str">
        <x:v>F00201</x:v>
      </x:c>
      <x:c r="C202" s="86" t="str">
        <x:v>Daniela Santos Almeida</x:v>
      </x:c>
      <x:c r="D202" s="86" t="n">
        <x:v>2</x:v>
      </x:c>
      <x:c r="E202" s="86" t="n">
        <x:v>1</x:v>
      </x:c>
      <x:c r="F202" s="86" t="n">
        <x:v>1</x:v>
      </x:c>
      <x:c r="G202" s="95" t="n">
        <x:v>45503</x:v>
      </x:c>
      <x:c r="H202" s="95"/>
      <x:c r="I202" s="86" t="str">
        <x:v>CLT</x:v>
      </x:c>
      <x:c r="J202" s="86" t="str">
        <x:v>Presencial</x:v>
      </x:c>
      <x:c r="K202" s="91" t="n">
        <x:v>2269.82</x:v>
      </x:c>
      <x:c r="L202" s="86" t="str">
        <x:v>Ativo</x:v>
      </x:c>
      <x:c r="M202" s="87" t="n">
        <x:v>371</x:v>
      </x:c>
    </x:row>
    <x:row r="203">
      <x:c r="A203" s="85" t="n">
        <x:v>202</x:v>
      </x:c>
      <x:c r="B203" s="86" t="str">
        <x:v>F00202</x:v>
      </x:c>
      <x:c r="C203" s="86" t="str">
        <x:v>Vitória Santos Martins</x:v>
      </x:c>
      <x:c r="D203" s="86" t="n">
        <x:v>3</x:v>
      </x:c>
      <x:c r="E203" s="86" t="n">
        <x:v>1</x:v>
      </x:c>
      <x:c r="F203" s="86" t="n">
        <x:v>11</x:v>
      </x:c>
      <x:c r="G203" s="95" t="n">
        <x:v>45454</x:v>
      </x:c>
      <x:c r="H203" s="95"/>
      <x:c r="I203" s="86" t="str">
        <x:v>CLT</x:v>
      </x:c>
      <x:c r="J203" s="86" t="str">
        <x:v>Presencial</x:v>
      </x:c>
      <x:c r="K203" s="91" t="n">
        <x:v>7744.08</x:v>
      </x:c>
      <x:c r="L203" s="86" t="str">
        <x:v>Ativo</x:v>
      </x:c>
      <x:c r="M203" s="87" t="n">
        <x:v>78</x:v>
      </x:c>
    </x:row>
    <x:row r="204">
      <x:c r="A204" s="85" t="n">
        <x:v>203</x:v>
      </x:c>
      <x:c r="B204" s="86" t="str">
        <x:v>F00203</x:v>
      </x:c>
      <x:c r="C204" s="86" t="str">
        <x:v>Bruno Nascimento Pereira</x:v>
      </x:c>
      <x:c r="D204" s="86" t="n">
        <x:v>4</x:v>
      </x:c>
      <x:c r="E204" s="86" t="n">
        <x:v>8</x:v>
      </x:c>
      <x:c r="F204" s="86" t="n">
        <x:v>8</x:v>
      </x:c>
      <x:c r="G204" s="95" t="n">
        <x:v>45130</x:v>
      </x:c>
      <x:c r="H204" s="95" t="n">
        <x:v>45640</x:v>
      </x:c>
      <x:c r="I204" s="86" t="str">
        <x:v>CLT</x:v>
      </x:c>
      <x:c r="J204" s="86" t="str">
        <x:v>Presencial</x:v>
      </x:c>
      <x:c r="K204" s="91" t="n">
        <x:v>4809.05</x:v>
      </x:c>
      <x:c r="L204" s="86" t="str">
        <x:v>Desligado</x:v>
      </x:c>
      <x:c r="M204" s="87" t="n">
        <x:v>64</x:v>
      </x:c>
    </x:row>
    <x:row r="205">
      <x:c r="A205" s="85" t="n">
        <x:v>204</x:v>
      </x:c>
      <x:c r="B205" s="86" t="str">
        <x:v>F00204</x:v>
      </x:c>
      <x:c r="C205" s="86" t="str">
        <x:v>Henrique Rocha Barbosa</x:v>
      </x:c>
      <x:c r="D205" s="86" t="n">
        <x:v>4</x:v>
      </x:c>
      <x:c r="E205" s="86" t="n">
        <x:v>6</x:v>
      </x:c>
      <x:c r="F205" s="86" t="n">
        <x:v>6</x:v>
      </x:c>
      <x:c r="G205" s="95" t="n">
        <x:v>45592</x:v>
      </x:c>
      <x:c r="H205" s="95"/>
      <x:c r="I205" s="86" t="str">
        <x:v>CLT</x:v>
      </x:c>
      <x:c r="J205" s="86" t="str">
        <x:v>Híbrido</x:v>
      </x:c>
      <x:c r="K205" s="91" t="n">
        <x:v>5061.99</x:v>
      </x:c>
      <x:c r="L205" s="86" t="str">
        <x:v>Ativo</x:v>
      </x:c>
      <x:c r="M205" s="87" t="n">
        <x:v>65</x:v>
      </x:c>
    </x:row>
    <x:row r="206">
      <x:c r="A206" s="85" t="n">
        <x:v>205</x:v>
      </x:c>
      <x:c r="B206" s="86" t="str">
        <x:v>F00205</x:v>
      </x:c>
      <x:c r="C206" s="86" t="str">
        <x:v>Carolina Moreira Ribeiro</x:v>
      </x:c>
      <x:c r="D206" s="86" t="n">
        <x:v>1</x:v>
      </x:c>
      <x:c r="E206" s="86" t="n">
        <x:v>4</x:v>
      </x:c>
      <x:c r="F206" s="86" t="n">
        <x:v>4</x:v>
      </x:c>
      <x:c r="G206" s="95" t="n">
        <x:v>45952</x:v>
      </x:c>
      <x:c r="H206" s="95"/>
      <x:c r="I206" s="86" t="str">
        <x:v>CLT</x:v>
      </x:c>
      <x:c r="J206" s="86" t="str">
        <x:v>Híbrido</x:v>
      </x:c>
      <x:c r="K206" s="91" t="n">
        <x:v>4284.46</x:v>
      </x:c>
      <x:c r="L206" s="86" t="str">
        <x:v>Ativo</x:v>
      </x:c>
      <x:c r="M206" s="87" t="n">
        <x:v>237</x:v>
      </x:c>
    </x:row>
    <x:row r="207">
      <x:c r="A207" s="85" t="n">
        <x:v>206</x:v>
      </x:c>
      <x:c r="B207" s="86" t="str">
        <x:v>F00206</x:v>
      </x:c>
      <x:c r="C207" s="86" t="str">
        <x:v>Igor Ferreira Souza</x:v>
      </x:c>
      <x:c r="D207" s="86" t="n">
        <x:v>4</x:v>
      </x:c>
      <x:c r="E207" s="86" t="n">
        <x:v>6</x:v>
      </x:c>
      <x:c r="F207" s="86" t="n">
        <x:v>6</x:v>
      </x:c>
      <x:c r="G207" s="95" t="n">
        <x:v>45344</x:v>
      </x:c>
      <x:c r="H207" s="95"/>
      <x:c r="I207" s="86" t="str">
        <x:v>CLT</x:v>
      </x:c>
      <x:c r="J207" s="86" t="str">
        <x:v>Presencial</x:v>
      </x:c>
      <x:c r="K207" s="91" t="n">
        <x:v>5498.13</x:v>
      </x:c>
      <x:c r="L207" s="86" t="str">
        <x:v>Ativo</x:v>
      </x:c>
      <x:c r="M207" s="87" t="n">
        <x:v>65</x:v>
      </x:c>
    </x:row>
    <x:row r="208">
      <x:c r="A208" s="85" t="n">
        <x:v>207</x:v>
      </x:c>
      <x:c r="B208" s="86" t="str">
        <x:v>F00207</x:v>
      </x:c>
      <x:c r="C208" s="86" t="str">
        <x:v>Carlos Pereira Oliveira</x:v>
      </x:c>
      <x:c r="D208" s="86" t="n">
        <x:v>1</x:v>
      </x:c>
      <x:c r="E208" s="86" t="n">
        <x:v>1</x:v>
      </x:c>
      <x:c r="F208" s="86" t="n">
        <x:v>1</x:v>
      </x:c>
      <x:c r="G208" s="95" t="n">
        <x:v>45423</x:v>
      </x:c>
      <x:c r="H208" s="95"/>
      <x:c r="I208" s="86" t="str">
        <x:v>CLT</x:v>
      </x:c>
      <x:c r="J208" s="86" t="str">
        <x:v>Presencial</x:v>
      </x:c>
      <x:c r="K208" s="91" t="n">
        <x:v>3023.65</x:v>
      </x:c>
      <x:c r="L208" s="86" t="str">
        <x:v>Ativo</x:v>
      </x:c>
      <x:c r="M208" s="87" t="n">
        <x:v>85</x:v>
      </x:c>
    </x:row>
    <x:row r="209">
      <x:c r="A209" s="85" t="n">
        <x:v>208</x:v>
      </x:c>
      <x:c r="B209" s="86" t="str">
        <x:v>F00208</x:v>
      </x:c>
      <x:c r="C209" s="86" t="str">
        <x:v>Marcelo Silva Ferreira</x:v>
      </x:c>
      <x:c r="D209" s="86" t="n">
        <x:v>4</x:v>
      </x:c>
      <x:c r="E209" s="86" t="n">
        <x:v>9</x:v>
      </x:c>
      <x:c r="F209" s="86" t="n">
        <x:v>9</x:v>
      </x:c>
      <x:c r="G209" s="95" t="n">
        <x:v>45571</x:v>
      </x:c>
      <x:c r="H209" s="95"/>
      <x:c r="I209" s="86" t="str">
        <x:v>CLT</x:v>
      </x:c>
      <x:c r="J209" s="86" t="str">
        <x:v>Presencial</x:v>
      </x:c>
      <x:c r="K209" s="91" t="n">
        <x:v>8999.4</x:v>
      </x:c>
      <x:c r="L209" s="86" t="str">
        <x:v>Ativo</x:v>
      </x:c>
      <x:c r="M209" s="87" t="n">
        <x:v>13</x:v>
      </x:c>
    </x:row>
    <x:row r="210">
      <x:c r="A210" s="85" t="n">
        <x:v>209</x:v>
      </x:c>
      <x:c r="B210" s="86" t="str">
        <x:v>F00209</x:v>
      </x:c>
      <x:c r="C210" s="86" t="str">
        <x:v>Mariana Pereira Oliveira</x:v>
      </x:c>
      <x:c r="D210" s="86" t="n">
        <x:v>1</x:v>
      </x:c>
      <x:c r="E210" s="86" t="n">
        <x:v>7</x:v>
      </x:c>
      <x:c r="F210" s="86" t="n">
        <x:v>7</x:v>
      </x:c>
      <x:c r="G210" s="95" t="n">
        <x:v>45045</x:v>
      </x:c>
      <x:c r="H210" s="95"/>
      <x:c r="I210" s="86" t="str">
        <x:v>Estágio</x:v>
      </x:c>
      <x:c r="J210" s="86" t="str">
        <x:v>Presencial</x:v>
      </x:c>
      <x:c r="K210" s="91" t="n">
        <x:v>6989.69</x:v>
      </x:c>
      <x:c r="L210" s="86" t="str">
        <x:v>Ativo</x:v>
      </x:c>
      <x:c r="M210" s="87" t="n">
        <x:v>156</x:v>
      </x:c>
    </x:row>
    <x:row r="211">
      <x:c r="A211" s="85" t="n">
        <x:v>210</x:v>
      </x:c>
      <x:c r="B211" s="86" t="str">
        <x:v>F00210</x:v>
      </x:c>
      <x:c r="C211" s="86" t="str">
        <x:v>Rafael Teixeira Pereira</x:v>
      </x:c>
      <x:c r="D211" s="86" t="n">
        <x:v>1</x:v>
      </x:c>
      <x:c r="E211" s="86" t="n">
        <x:v>1</x:v>
      </x:c>
      <x:c r="F211" s="86" t="n">
        <x:v>1</x:v>
      </x:c>
      <x:c r="G211" s="95" t="n">
        <x:v>45826</x:v>
      </x:c>
      <x:c r="H211" s="95"/>
      <x:c r="I211" s="86" t="str">
        <x:v>CLT</x:v>
      </x:c>
      <x:c r="J211" s="86" t="str">
        <x:v>Presencial</x:v>
      </x:c>
      <x:c r="K211" s="91" t="n">
        <x:v>3288.77</x:v>
      </x:c>
      <x:c r="L211" s="86" t="str">
        <x:v>Ativo</x:v>
      </x:c>
      <x:c r="M211" s="87" t="n">
        <x:v>371</x:v>
      </x:c>
    </x:row>
    <x:row r="212">
      <x:c r="A212" s="85" t="n">
        <x:v>211</x:v>
      </x:c>
      <x:c r="B212" s="86" t="str">
        <x:v>F00211</x:v>
      </x:c>
      <x:c r="C212" s="86" t="str">
        <x:v>Eduarda Santos Oliveira</x:v>
      </x:c>
      <x:c r="D212" s="86" t="n">
        <x:v>2</x:v>
      </x:c>
      <x:c r="E212" s="86" t="n">
        <x:v>1</x:v>
      </x:c>
      <x:c r="F212" s="86" t="n">
        <x:v>1</x:v>
      </x:c>
      <x:c r="G212" s="95" t="n">
        <x:v>45712</x:v>
      </x:c>
      <x:c r="H212" s="95" t="n">
        <x:v>45996</x:v>
      </x:c>
      <x:c r="I212" s="86" t="str">
        <x:v>CLT</x:v>
      </x:c>
      <x:c r="J212" s="86" t="str">
        <x:v>Híbrido</x:v>
      </x:c>
      <x:c r="K212" s="91" t="n">
        <x:v>2272.23</x:v>
      </x:c>
      <x:c r="L212" s="86" t="str">
        <x:v>Desligado</x:v>
      </x:c>
      <x:c r="M212" s="87" t="n">
        <x:v>77</x:v>
      </x:c>
    </x:row>
    <x:row r="213">
      <x:c r="A213" s="85" t="n">
        <x:v>212</x:v>
      </x:c>
      <x:c r="B213" s="86" t="str">
        <x:v>F00212</x:v>
      </x:c>
      <x:c r="C213" s="86" t="str">
        <x:v>Felipe Rodrigues Santos</x:v>
      </x:c>
      <x:c r="D213" s="86" t="n">
        <x:v>3</x:v>
      </x:c>
      <x:c r="E213" s="86" t="n">
        <x:v>3</x:v>
      </x:c>
      <x:c r="F213" s="86" t="n">
        <x:v>3</x:v>
      </x:c>
      <x:c r="G213" s="95" t="n">
        <x:v>45291</x:v>
      </x:c>
      <x:c r="H213" s="95"/>
      <x:c r="I213" s="86" t="str">
        <x:v>CLT</x:v>
      </x:c>
      <x:c r="J213" s="86" t="str">
        <x:v>Presencial</x:v>
      </x:c>
      <x:c r="K213" s="91" t="n">
        <x:v>4011.49</x:v>
      </x:c>
      <x:c r="L213" s="86" t="str">
        <x:v>Ativo</x:v>
      </x:c>
      <x:c r="M213" s="87" t="n">
        <x:v>26</x:v>
      </x:c>
    </x:row>
    <x:row r="214">
      <x:c r="A214" s="85" t="n">
        <x:v>213</x:v>
      </x:c>
      <x:c r="B214" s="86" t="str">
        <x:v>F00213</x:v>
      </x:c>
      <x:c r="C214" s="86" t="str">
        <x:v>Renata Pereira Costa</x:v>
      </x:c>
      <x:c r="D214" s="86" t="n">
        <x:v>2</x:v>
      </x:c>
      <x:c r="E214" s="86" t="n">
        <x:v>2</x:v>
      </x:c>
      <x:c r="F214" s="86" t="n">
        <x:v>2</x:v>
      </x:c>
      <x:c r="G214" s="95" t="n">
        <x:v>45589</x:v>
      </x:c>
      <x:c r="H214" s="95"/>
      <x:c r="I214" s="86" t="str">
        <x:v>CLT</x:v>
      </x:c>
      <x:c r="J214" s="86" t="str">
        <x:v>Presencial</x:v>
      </x:c>
      <x:c r="K214" s="91" t="n">
        <x:v>3561.16</x:v>
      </x:c>
      <x:c r="L214" s="86" t="str">
        <x:v>Ativo</x:v>
      </x:c>
      <x:c r="M214" s="87" t="n">
        <x:v>104</x:v>
      </x:c>
    </x:row>
    <x:row r="215">
      <x:c r="A215" s="85" t="n">
        <x:v>214</x:v>
      </x:c>
      <x:c r="B215" s="86" t="str">
        <x:v>F00214</x:v>
      </x:c>
      <x:c r="C215" s="86" t="str">
        <x:v>Daniela Mendes Pereira</x:v>
      </x:c>
      <x:c r="D215" s="86" t="n">
        <x:v>4</x:v>
      </x:c>
      <x:c r="E215" s="86" t="n">
        <x:v>8</x:v>
      </x:c>
      <x:c r="F215" s="86" t="n">
        <x:v>8</x:v>
      </x:c>
      <x:c r="G215" s="95" t="n">
        <x:v>45878</x:v>
      </x:c>
      <x:c r="H215" s="95"/>
      <x:c r="I215" s="86" t="str">
        <x:v>CLT</x:v>
      </x:c>
      <x:c r="J215" s="86" t="str">
        <x:v>Presencial</x:v>
      </x:c>
      <x:c r="K215" s="91" t="n">
        <x:v>5978.19</x:v>
      </x:c>
      <x:c r="L215" s="86" t="str">
        <x:v>Ativo</x:v>
      </x:c>
      <x:c r="M215" s="87" t="n">
        <x:v>86</x:v>
      </x:c>
    </x:row>
    <x:row r="216">
      <x:c r="A216" s="85" t="n">
        <x:v>215</x:v>
      </x:c>
      <x:c r="B216" s="86" t="str">
        <x:v>F00215</x:v>
      </x:c>
      <x:c r="C216" s="86" t="str">
        <x:v>Igor Silva Ferreira</x:v>
      </x:c>
      <x:c r="D216" s="86" t="n">
        <x:v>3</x:v>
      </x:c>
      <x:c r="E216" s="86" t="n">
        <x:v>6</x:v>
      </x:c>
      <x:c r="F216" s="86" t="n">
        <x:v>6</x:v>
      </x:c>
      <x:c r="G216" s="95" t="n">
        <x:v>45197</x:v>
      </x:c>
      <x:c r="H216" s="95"/>
      <x:c r="I216" s="86" t="str">
        <x:v>CLT</x:v>
      </x:c>
      <x:c r="J216" s="86" t="str">
        <x:v>Presencial</x:v>
      </x:c>
      <x:c r="K216" s="91" t="n">
        <x:v>5842.62</x:v>
      </x:c>
      <x:c r="L216" s="86" t="str">
        <x:v>Ativo</x:v>
      </x:c>
      <x:c r="M216" s="87" t="n">
        <x:v>65</x:v>
      </x:c>
    </x:row>
    <x:row r="217">
      <x:c r="A217" s="85" t="n">
        <x:v>216</x:v>
      </x:c>
      <x:c r="B217" s="86" t="str">
        <x:v>F00216</x:v>
      </x:c>
      <x:c r="C217" s="86" t="str">
        <x:v>Larissa Lima Souza</x:v>
      </x:c>
      <x:c r="D217" s="86" t="n">
        <x:v>4</x:v>
      </x:c>
      <x:c r="E217" s="86" t="n">
        <x:v>8</x:v>
      </x:c>
      <x:c r="F217" s="86" t="n">
        <x:v>8</x:v>
      </x:c>
      <x:c r="G217" s="95" t="n">
        <x:v>45618</x:v>
      </x:c>
      <x:c r="H217" s="95"/>
      <x:c r="I217" s="86" t="str">
        <x:v>Temporário</x:v>
      </x:c>
      <x:c r="J217" s="86" t="str">
        <x:v>Híbrido</x:v>
      </x:c>
      <x:c r="K217" s="91" t="n">
        <x:v>6457.7</x:v>
      </x:c>
      <x:c r="L217" s="86" t="str">
        <x:v>Ativo</x:v>
      </x:c>
      <x:c r="M217" s="87" t="n">
        <x:v>109</x:v>
      </x:c>
    </x:row>
    <x:row r="218">
      <x:c r="A218" s="85" t="n">
        <x:v>217</x:v>
      </x:c>
      <x:c r="B218" s="86" t="str">
        <x:v>F00217</x:v>
      </x:c>
      <x:c r="C218" s="86" t="str">
        <x:v>Lucas Rodrigues Almeida</x:v>
      </x:c>
      <x:c r="D218" s="86" t="n">
        <x:v>4</x:v>
      </x:c>
      <x:c r="E218" s="86" t="n">
        <x:v>9</x:v>
      </x:c>
      <x:c r="F218" s="86" t="n">
        <x:v>9</x:v>
      </x:c>
      <x:c r="G218" s="95" t="n">
        <x:v>45445</x:v>
      </x:c>
      <x:c r="H218" s="95"/>
      <x:c r="I218" s="86" t="str">
        <x:v>CLT</x:v>
      </x:c>
      <x:c r="J218" s="86" t="str">
        <x:v>Híbrido</x:v>
      </x:c>
      <x:c r="K218" s="91" t="n">
        <x:v>6288.51</x:v>
      </x:c>
      <x:c r="L218" s="86" t="str">
        <x:v>Ativo</x:v>
      </x:c>
      <x:c r="M218" s="87" t="n">
        <x:v>189</x:v>
      </x:c>
    </x:row>
    <x:row r="219">
      <x:c r="A219" s="85" t="n">
        <x:v>218</x:v>
      </x:c>
      <x:c r="B219" s="86" t="str">
        <x:v>F00218</x:v>
      </x:c>
      <x:c r="C219" s="86" t="str">
        <x:v>Carolina Almeida Costa</x:v>
      </x:c>
      <x:c r="D219" s="86" t="n">
        <x:v>1</x:v>
      </x:c>
      <x:c r="E219" s="86" t="n">
        <x:v>5</x:v>
      </x:c>
      <x:c r="F219" s="86" t="n">
        <x:v>5</x:v>
      </x:c>
      <x:c r="G219" s="95" t="n">
        <x:v>45241</x:v>
      </x:c>
      <x:c r="H219" s="95"/>
      <x:c r="I219" s="86" t="str">
        <x:v>CLT</x:v>
      </x:c>
      <x:c r="J219" s="86" t="str">
        <x:v>Presencial</x:v>
      </x:c>
      <x:c r="K219" s="91" t="n">
        <x:v>9934.8</x:v>
      </x:c>
      <x:c r="L219" s="86" t="str">
        <x:v>Ativo</x:v>
      </x:c>
      <x:c r="M219" s="87" t="n">
        <x:v>38</x:v>
      </x:c>
    </x:row>
    <x:row r="220">
      <x:c r="A220" s="85" t="n">
        <x:v>219</x:v>
      </x:c>
      <x:c r="B220" s="86" t="str">
        <x:v>F00219</x:v>
      </x:c>
      <x:c r="C220" s="86" t="str">
        <x:v>Isabela Lima Barbosa</x:v>
      </x:c>
      <x:c r="D220" s="86" t="n">
        <x:v>2</x:v>
      </x:c>
      <x:c r="E220" s="86" t="n">
        <x:v>5</x:v>
      </x:c>
      <x:c r="F220" s="86" t="n">
        <x:v>5</x:v>
      </x:c>
      <x:c r="G220" s="95" t="n">
        <x:v>45105</x:v>
      </x:c>
      <x:c r="H220" s="95"/>
      <x:c r="I220" s="86" t="str">
        <x:v>CLT</x:v>
      </x:c>
      <x:c r="J220" s="86" t="str">
        <x:v>Presencial</x:v>
      </x:c>
      <x:c r="K220" s="91" t="n">
        <x:v>9434.62</x:v>
      </x:c>
      <x:c r="L220" s="86" t="str">
        <x:v>Ativo</x:v>
      </x:c>
      <x:c r="M220" s="87" t="n">
        <x:v>326</x:v>
      </x:c>
    </x:row>
    <x:row r="221">
      <x:c r="A221" s="85" t="n">
        <x:v>220</x:v>
      </x:c>
      <x:c r="B221" s="86" t="str">
        <x:v>F00220</x:v>
      </x:c>
      <x:c r="C221" s="86" t="str">
        <x:v>Larissa Nascimento Ribeiro</x:v>
      </x:c>
      <x:c r="D221" s="86" t="n">
        <x:v>2</x:v>
      </x:c>
      <x:c r="E221" s="86" t="n">
        <x:v>7</x:v>
      </x:c>
      <x:c r="F221" s="86" t="n">
        <x:v>7</x:v>
      </x:c>
      <x:c r="G221" s="95" t="n">
        <x:v>45731</x:v>
      </x:c>
      <x:c r="H221" s="95" t="n">
        <x:v>45794</x:v>
      </x:c>
      <x:c r="I221" s="86" t="str">
        <x:v>CLT</x:v>
      </x:c>
      <x:c r="J221" s="86" t="str">
        <x:v>Presencial</x:v>
      </x:c>
      <x:c r="K221" s="91" t="n">
        <x:v>4636.33</x:v>
      </x:c>
      <x:c r="L221" s="86" t="str">
        <x:v>Desligado</x:v>
      </x:c>
      <x:c r="M221" s="87" t="n">
        <x:v>5</x:v>
      </x:c>
    </x:row>
    <x:row r="222">
      <x:c r="A222" s="85" t="n">
        <x:v>221</x:v>
      </x:c>
      <x:c r="B222" s="86" t="str">
        <x:v>F00221</x:v>
      </x:c>
      <x:c r="C222" s="86" t="str">
        <x:v>Thiago Lima Lima</x:v>
      </x:c>
      <x:c r="D222" s="86" t="n">
        <x:v>1</x:v>
      </x:c>
      <x:c r="E222" s="86" t="n">
        <x:v>1</x:v>
      </x:c>
      <x:c r="F222" s="86" t="n">
        <x:v>1</x:v>
      </x:c>
      <x:c r="G222" s="95" t="n">
        <x:v>45137</x:v>
      </x:c>
      <x:c r="H222" s="95"/>
      <x:c r="I222" s="86" t="str">
        <x:v>CLT</x:v>
      </x:c>
      <x:c r="J222" s="86" t="str">
        <x:v>Remoto</x:v>
      </x:c>
      <x:c r="K222" s="91" t="n">
        <x:v>2442.47</x:v>
      </x:c>
      <x:c r="L222" s="86" t="str">
        <x:v>Ativo</x:v>
      </x:c>
      <x:c r="M222" s="87" t="n">
        <x:v>85</x:v>
      </x:c>
    </x:row>
    <x:row r="223">
      <x:c r="A223" s="85" t="n">
        <x:v>222</x:v>
      </x:c>
      <x:c r="B223" s="86" t="str">
        <x:v>F00222</x:v>
      </x:c>
      <x:c r="C223" s="86" t="str">
        <x:v>Bruno Moreira Moreira</x:v>
      </x:c>
      <x:c r="D223" s="86" t="n">
        <x:v>4</x:v>
      </x:c>
      <x:c r="E223" s="86" t="n">
        <x:v>6</x:v>
      </x:c>
      <x:c r="F223" s="86" t="n">
        <x:v>6</x:v>
      </x:c>
      <x:c r="G223" s="95" t="n">
        <x:v>45430</x:v>
      </x:c>
      <x:c r="H223" s="95"/>
      <x:c r="I223" s="86" t="str">
        <x:v>CLT</x:v>
      </x:c>
      <x:c r="J223" s="86" t="str">
        <x:v>Híbrido</x:v>
      </x:c>
      <x:c r="K223" s="91" t="n">
        <x:v>7026.18</x:v>
      </x:c>
      <x:c r="L223" s="86" t="str">
        <x:v>Ativo</x:v>
      </x:c>
      <x:c r="M223" s="87" t="n">
        <x:v>116</x:v>
      </x:c>
    </x:row>
    <x:row r="224">
      <x:c r="A224" s="85" t="n">
        <x:v>223</x:v>
      </x:c>
      <x:c r="B224" s="86" t="str">
        <x:v>F00223</x:v>
      </x:c>
      <x:c r="C224" s="86" t="str">
        <x:v>Natália Ribeiro Gomes</x:v>
      </x:c>
      <x:c r="D224" s="86" t="n">
        <x:v>3</x:v>
      </x:c>
      <x:c r="E224" s="86" t="n">
        <x:v>2</x:v>
      </x:c>
      <x:c r="F224" s="86" t="n">
        <x:v>2</x:v>
      </x:c>
      <x:c r="G224" s="95" t="n">
        <x:v>45874</x:v>
      </x:c>
      <x:c r="H224" s="95"/>
      <x:c r="I224" s="86" t="str">
        <x:v>CLT</x:v>
      </x:c>
      <x:c r="J224" s="86" t="str">
        <x:v>Presencial</x:v>
      </x:c>
      <x:c r="K224" s="91" t="n">
        <x:v>3326.04</x:v>
      </x:c>
      <x:c r="L224" s="86" t="str">
        <x:v>Ativo</x:v>
      </x:c>
      <x:c r="M224" s="87" t="n">
        <x:v>148</x:v>
      </x:c>
    </x:row>
    <x:row r="225">
      <x:c r="A225" s="85" t="n">
        <x:v>224</x:v>
      </x:c>
      <x:c r="B225" s="86" t="str">
        <x:v>F00224</x:v>
      </x:c>
      <x:c r="C225" s="86" t="str">
        <x:v>Fernanda Rodrigues Ribeiro</x:v>
      </x:c>
      <x:c r="D225" s="86" t="n">
        <x:v>1</x:v>
      </x:c>
      <x:c r="E225" s="86" t="n">
        <x:v>1</x:v>
      </x:c>
      <x:c r="F225" s="86" t="n">
        <x:v>1</x:v>
      </x:c>
      <x:c r="G225" s="95" t="n">
        <x:v>45835</x:v>
      </x:c>
      <x:c r="H225" s="95" t="n">
        <x:v>45993</x:v>
      </x:c>
      <x:c r="I225" s="86" t="str">
        <x:v>CLT</x:v>
      </x:c>
      <x:c r="J225" s="86" t="str">
        <x:v>Híbrido</x:v>
      </x:c>
      <x:c r="K225" s="91" t="n">
        <x:v>2333.46</x:v>
      </x:c>
      <x:c r="L225" s="86" t="str">
        <x:v>Desligado</x:v>
      </x:c>
      <x:c r="M225" s="87" t="n">
        <x:v>185</x:v>
      </x:c>
    </x:row>
    <x:row r="226">
      <x:c r="A226" s="85" t="n">
        <x:v>225</x:v>
      </x:c>
      <x:c r="B226" s="86" t="str">
        <x:v>F00225</x:v>
      </x:c>
      <x:c r="C226" s="86" t="str">
        <x:v>Igor Ribeiro Barbosa</x:v>
      </x:c>
      <x:c r="D226" s="86" t="n">
        <x:v>3</x:v>
      </x:c>
      <x:c r="E226" s="86" t="n">
        <x:v>1</x:v>
      </x:c>
      <x:c r="F226" s="86" t="n">
        <x:v>1</x:v>
      </x:c>
      <x:c r="G226" s="95" t="n">
        <x:v>45539</x:v>
      </x:c>
      <x:c r="H226" s="95"/>
      <x:c r="I226" s="86" t="str">
        <x:v>CLT</x:v>
      </x:c>
      <x:c r="J226" s="86" t="str">
        <x:v>Presencial</x:v>
      </x:c>
      <x:c r="K226" s="91" t="n">
        <x:v>3248.02</x:v>
      </x:c>
      <x:c r="L226" s="86" t="str">
        <x:v>Ativo</x:v>
      </x:c>
      <x:c r="M226" s="87" t="n">
        <x:v>371</x:v>
      </x:c>
    </x:row>
    <x:row r="227">
      <x:c r="A227" s="85" t="n">
        <x:v>226</x:v>
      </x:c>
      <x:c r="B227" s="86" t="str">
        <x:v>F00226</x:v>
      </x:c>
      <x:c r="C227" s="86" t="str">
        <x:v>Henrique Moreira Nascimento</x:v>
      </x:c>
      <x:c r="D227" s="86" t="n">
        <x:v>4</x:v>
      </x:c>
      <x:c r="E227" s="86" t="n">
        <x:v>7</x:v>
      </x:c>
      <x:c r="F227" s="86" t="n">
        <x:v>7</x:v>
      </x:c>
      <x:c r="G227" s="95" t="n">
        <x:v>45622</x:v>
      </x:c>
      <x:c r="H227" s="95"/>
      <x:c r="I227" s="86" t="str">
        <x:v>CLT</x:v>
      </x:c>
      <x:c r="J227" s="86" t="str">
        <x:v>Presencial</x:v>
      </x:c>
      <x:c r="K227" s="91" t="n">
        <x:v>5717.12</x:v>
      </x:c>
      <x:c r="L227" s="86" t="str">
        <x:v>Ativo</x:v>
      </x:c>
      <x:c r="M227" s="87" t="n">
        <x:v>5</x:v>
      </x:c>
    </x:row>
    <x:row r="228">
      <x:c r="A228" s="85" t="n">
        <x:v>227</x:v>
      </x:c>
      <x:c r="B228" s="86" t="str">
        <x:v>F00227</x:v>
      </x:c>
      <x:c r="C228" s="86" t="str">
        <x:v>Henrique Ribeiro Ribeiro</x:v>
      </x:c>
      <x:c r="D228" s="86" t="n">
        <x:v>2</x:v>
      </x:c>
      <x:c r="E228" s="86" t="n">
        <x:v>10</x:v>
      </x:c>
      <x:c r="F228" s="86" t="n">
        <x:v>10</x:v>
      </x:c>
      <x:c r="G228" s="95" t="n">
        <x:v>45036</x:v>
      </x:c>
      <x:c r="H228" s="95"/>
      <x:c r="I228" s="86" t="str">
        <x:v>CLT</x:v>
      </x:c>
      <x:c r="J228" s="86" t="str">
        <x:v>Presencial</x:v>
      </x:c>
      <x:c r="K228" s="91" t="n">
        <x:v>6255.45</x:v>
      </x:c>
      <x:c r="L228" s="86" t="str">
        <x:v>Ativo</x:v>
      </x:c>
      <x:c r="M228" s="87" t="n">
        <x:v>24</x:v>
      </x:c>
    </x:row>
    <x:row r="229">
      <x:c r="A229" s="85" t="n">
        <x:v>228</x:v>
      </x:c>
      <x:c r="B229" s="86" t="str">
        <x:v>F00228</x:v>
      </x:c>
      <x:c r="C229" s="86" t="str">
        <x:v>Igor Cardoso Teixeira</x:v>
      </x:c>
      <x:c r="D229" s="86" t="n">
        <x:v>1</x:v>
      </x:c>
      <x:c r="E229" s="86" t="n">
        <x:v>3</x:v>
      </x:c>
      <x:c r="F229" s="86" t="n">
        <x:v>3</x:v>
      </x:c>
      <x:c r="G229" s="95" t="n">
        <x:v>45278</x:v>
      </x:c>
      <x:c r="H229" s="95"/>
      <x:c r="I229" s="86" t="str">
        <x:v>CLT</x:v>
      </x:c>
      <x:c r="J229" s="86" t="str">
        <x:v>Presencial</x:v>
      </x:c>
      <x:c r="K229" s="91" t="n">
        <x:v>4345.52</x:v>
      </x:c>
      <x:c r="L229" s="86" t="str">
        <x:v>Ativo</x:v>
      </x:c>
      <x:c r="M229" s="87" t="n">
        <x:v>26</x:v>
      </x:c>
    </x:row>
    <x:row r="230">
      <x:c r="A230" s="85" t="n">
        <x:v>229</x:v>
      </x:c>
      <x:c r="B230" s="86" t="str">
        <x:v>F00229</x:v>
      </x:c>
      <x:c r="C230" s="86" t="str">
        <x:v>André Moreira Martins</x:v>
      </x:c>
      <x:c r="D230" s="86" t="n">
        <x:v>2</x:v>
      </x:c>
      <x:c r="E230" s="86" t="n">
        <x:v>10</x:v>
      </x:c>
      <x:c r="F230" s="86" t="n">
        <x:v>10</x:v>
      </x:c>
      <x:c r="G230" s="95" t="n">
        <x:v>45131</x:v>
      </x:c>
      <x:c r="H230" s="95" t="n">
        <x:v>45465</x:v>
      </x:c>
      <x:c r="I230" s="86" t="str">
        <x:v>CLT</x:v>
      </x:c>
      <x:c r="J230" s="86" t="str">
        <x:v>Híbrido</x:v>
      </x:c>
      <x:c r="K230" s="91" t="n">
        <x:v>4937.85</x:v>
      </x:c>
      <x:c r="L230" s="86" t="str">
        <x:v>Desligado</x:v>
      </x:c>
      <x:c r="M230" s="87" t="n">
        <x:v>24</x:v>
      </x:c>
    </x:row>
    <x:row r="231">
      <x:c r="A231" s="85" t="n">
        <x:v>230</x:v>
      </x:c>
      <x:c r="B231" s="86" t="str">
        <x:v>F00230</x:v>
      </x:c>
      <x:c r="C231" s="86" t="str">
        <x:v>Helena Oliveira Martins</x:v>
      </x:c>
      <x:c r="D231" s="86" t="n">
        <x:v>2</x:v>
      </x:c>
      <x:c r="E231" s="86" t="n">
        <x:v>1</x:v>
      </x:c>
      <x:c r="F231" s="86" t="n">
        <x:v>1</x:v>
      </x:c>
      <x:c r="G231" s="95" t="n">
        <x:v>45556</x:v>
      </x:c>
      <x:c r="H231" s="95"/>
      <x:c r="I231" s="86" t="str">
        <x:v>CLT</x:v>
      </x:c>
      <x:c r="J231" s="86" t="str">
        <x:v>Presencial</x:v>
      </x:c>
      <x:c r="K231" s="91" t="n">
        <x:v>3467.36</x:v>
      </x:c>
      <x:c r="L231" s="86" t="str">
        <x:v>Ativo</x:v>
      </x:c>
      <x:c r="M231" s="87" t="n">
        <x:v>185</x:v>
      </x:c>
    </x:row>
    <x:row r="232">
      <x:c r="A232" s="85" t="n">
        <x:v>231</x:v>
      </x:c>
      <x:c r="B232" s="86" t="str">
        <x:v>F00231</x:v>
      </x:c>
      <x:c r="C232" s="86" t="str">
        <x:v>André Martins Rodrigues</x:v>
      </x:c>
      <x:c r="D232" s="86" t="n">
        <x:v>4</x:v>
      </x:c>
      <x:c r="E232" s="86" t="n">
        <x:v>7</x:v>
      </x:c>
      <x:c r="F232" s="86" t="n">
        <x:v>7</x:v>
      </x:c>
      <x:c r="G232" s="95" t="n">
        <x:v>44952</x:v>
      </x:c>
      <x:c r="H232" s="95"/>
      <x:c r="I232" s="86" t="str">
        <x:v>Temporário</x:v>
      </x:c>
      <x:c r="J232" s="86" t="str">
        <x:v>Híbrido</x:v>
      </x:c>
      <x:c r="K232" s="91" t="n">
        <x:v>5976.78</x:v>
      </x:c>
      <x:c r="L232" s="86" t="str">
        <x:v>Ativo</x:v>
      </x:c>
      <x:c r="M232" s="87" t="n">
        <x:v>5</x:v>
      </x:c>
    </x:row>
    <x:row r="233">
      <x:c r="A233" s="85" t="n">
        <x:v>232</x:v>
      </x:c>
      <x:c r="B233" s="86" t="str">
        <x:v>F00232</x:v>
      </x:c>
      <x:c r="C233" s="86" t="str">
        <x:v>Felipe Lima Lima</x:v>
      </x:c>
      <x:c r="D233" s="86" t="n">
        <x:v>3</x:v>
      </x:c>
      <x:c r="E233" s="86" t="n">
        <x:v>1</x:v>
      </x:c>
      <x:c r="F233" s="86" t="n">
        <x:v>1</x:v>
      </x:c>
      <x:c r="G233" s="95" t="n">
        <x:v>44941</x:v>
      </x:c>
      <x:c r="H233" s="95" t="n">
        <x:v>45328</x:v>
      </x:c>
      <x:c r="I233" s="86" t="str">
        <x:v>CLT</x:v>
      </x:c>
      <x:c r="J233" s="86" t="str">
        <x:v>Presencial</x:v>
      </x:c>
      <x:c r="K233" s="91" t="n">
        <x:v>3358.66</x:v>
      </x:c>
      <x:c r="L233" s="86" t="str">
        <x:v>Desligado</x:v>
      </x:c>
      <x:c r="M233" s="87" t="n">
        <x:v>85</x:v>
      </x:c>
    </x:row>
    <x:row r="234">
      <x:c r="A234" s="85" t="n">
        <x:v>233</x:v>
      </x:c>
      <x:c r="B234" s="86" t="str">
        <x:v>F00233</x:v>
      </x:c>
      <x:c r="C234" s="86" t="str">
        <x:v>Patrícia Souza Gomes</x:v>
      </x:c>
      <x:c r="D234" s="86" t="n">
        <x:v>3</x:v>
      </x:c>
      <x:c r="E234" s="86" t="n">
        <x:v>2</x:v>
      </x:c>
      <x:c r="F234" s="86" t="n">
        <x:v>2</x:v>
      </x:c>
      <x:c r="G234" s="95" t="n">
        <x:v>45756</x:v>
      </x:c>
      <x:c r="H234" s="95"/>
      <x:c r="I234" s="86" t="str">
        <x:v>Estágio</x:v>
      </x:c>
      <x:c r="J234" s="86" t="str">
        <x:v>Presencial</x:v>
      </x:c>
      <x:c r="K234" s="91" t="n">
        <x:v>4783.41</x:v>
      </x:c>
      <x:c r="L234" s="86" t="str">
        <x:v>Ativo</x:v>
      </x:c>
      <x:c r="M234" s="87" t="n">
        <x:v>111</x:v>
      </x:c>
    </x:row>
    <x:row r="235">
      <x:c r="A235" s="85" t="n">
        <x:v>234</x:v>
      </x:c>
      <x:c r="B235" s="86" t="str">
        <x:v>F00234</x:v>
      </x:c>
      <x:c r="C235" s="86" t="str">
        <x:v>Marcelo Lima Mendes</x:v>
      </x:c>
      <x:c r="D235" s="86" t="n">
        <x:v>1</x:v>
      </x:c>
      <x:c r="E235" s="86" t="n">
        <x:v>1</x:v>
      </x:c>
      <x:c r="F235" s="86" t="n">
        <x:v>1</x:v>
      </x:c>
      <x:c r="G235" s="95" t="n">
        <x:v>45238</x:v>
      </x:c>
      <x:c r="H235" s="95"/>
      <x:c r="I235" s="86" t="str">
        <x:v>Temporário</x:v>
      </x:c>
      <x:c r="J235" s="86" t="str">
        <x:v>Presencial</x:v>
      </x:c>
      <x:c r="K235" s="91" t="n">
        <x:v>2435.75</x:v>
      </x:c>
      <x:c r="L235" s="86" t="str">
        <x:v>Ativo</x:v>
      </x:c>
      <x:c r="M235" s="87" t="n">
        <x:v>185</x:v>
      </x:c>
    </x:row>
    <x:row r="236">
      <x:c r="A236" s="85" t="n">
        <x:v>235</x:v>
      </x:c>
      <x:c r="B236" s="86" t="str">
        <x:v>F00235</x:v>
      </x:c>
      <x:c r="C236" s="86" t="str">
        <x:v>Eduarda Lima Lima</x:v>
      </x:c>
      <x:c r="D236" s="86" t="n">
        <x:v>3</x:v>
      </x:c>
      <x:c r="E236" s="86" t="n">
        <x:v>1</x:v>
      </x:c>
      <x:c r="F236" s="86" t="n">
        <x:v>1</x:v>
      </x:c>
      <x:c r="G236" s="95" t="n">
        <x:v>45690</x:v>
      </x:c>
      <x:c r="H236" s="95"/>
      <x:c r="I236" s="86" t="str">
        <x:v>CLT</x:v>
      </x:c>
      <x:c r="J236" s="86" t="str">
        <x:v>Híbrido</x:v>
      </x:c>
      <x:c r="K236" s="91" t="n">
        <x:v>3058.54</x:v>
      </x:c>
      <x:c r="L236" s="86" t="str">
        <x:v>Ativo</x:v>
      </x:c>
      <x:c r="M236" s="87" t="n">
        <x:v>10</x:v>
      </x:c>
    </x:row>
    <x:row r="237">
      <x:c r="A237" s="85" t="n">
        <x:v>236</x:v>
      </x:c>
      <x:c r="B237" s="86" t="str">
        <x:v>F00236</x:v>
      </x:c>
      <x:c r="C237" s="86" t="str">
        <x:v>Joana Barbosa Teixeira</x:v>
      </x:c>
      <x:c r="D237" s="86" t="n">
        <x:v>3</x:v>
      </x:c>
      <x:c r="E237" s="86" t="n">
        <x:v>5</x:v>
      </x:c>
      <x:c r="F237" s="86" t="n">
        <x:v>5</x:v>
      </x:c>
      <x:c r="G237" s="95" t="n">
        <x:v>45387</x:v>
      </x:c>
      <x:c r="H237" s="95"/>
      <x:c r="I237" s="86" t="str">
        <x:v>CLT</x:v>
      </x:c>
      <x:c r="J237" s="86" t="str">
        <x:v>Presencial</x:v>
      </x:c>
      <x:c r="K237" s="91" t="n">
        <x:v>8174.1</x:v>
      </x:c>
      <x:c r="L237" s="86" t="str">
        <x:v>Ativo</x:v>
      </x:c>
      <x:c r="M237" s="87" t="n">
        <x:v>38</x:v>
      </x:c>
    </x:row>
    <x:row r="238">
      <x:c r="A238" s="85" t="n">
        <x:v>237</x:v>
      </x:c>
      <x:c r="B238" s="86" t="str">
        <x:v>F00237</x:v>
      </x:c>
      <x:c r="C238" s="86" t="str">
        <x:v>Renata Martins Ferreira</x:v>
      </x:c>
      <x:c r="D238" s="86" t="n">
        <x:v>2</x:v>
      </x:c>
      <x:c r="E238" s="86" t="n">
        <x:v>4</x:v>
      </x:c>
      <x:c r="F238" s="86" t="n">
        <x:v>14</x:v>
      </x:c>
      <x:c r="G238" s="95" t="n">
        <x:v>45448</x:v>
      </x:c>
      <x:c r="H238" s="95"/>
      <x:c r="I238" s="86" t="str">
        <x:v>Estágio</x:v>
      </x:c>
      <x:c r="J238" s="86" t="str">
        <x:v>Presencial</x:v>
      </x:c>
      <x:c r="K238" s="91" t="n">
        <x:v>9299.89</x:v>
      </x:c>
      <x:c r="L238" s="86" t="str">
        <x:v>Ativo</x:v>
      </x:c>
      <x:c r="M238" s="87" t="n">
        <x:v>20</x:v>
      </x:c>
    </x:row>
    <x:row r="239">
      <x:c r="A239" s="85" t="n">
        <x:v>238</x:v>
      </x:c>
      <x:c r="B239" s="86" t="str">
        <x:v>F00238</x:v>
      </x:c>
      <x:c r="C239" s="86" t="str">
        <x:v>Ana Souza Ribeiro</x:v>
      </x:c>
      <x:c r="D239" s="86" t="n">
        <x:v>2</x:v>
      </x:c>
      <x:c r="E239" s="86" t="n">
        <x:v>1</x:v>
      </x:c>
      <x:c r="F239" s="86" t="n">
        <x:v>1</x:v>
      </x:c>
      <x:c r="G239" s="95" t="n">
        <x:v>45484</x:v>
      </x:c>
      <x:c r="H239" s="95"/>
      <x:c r="I239" s="86" t="str">
        <x:v>CLT</x:v>
      </x:c>
      <x:c r="J239" s="86" t="str">
        <x:v>Híbrido</x:v>
      </x:c>
      <x:c r="K239" s="91" t="n">
        <x:v>3166.69</x:v>
      </x:c>
      <x:c r="L239" s="86" t="str">
        <x:v>Ativo</x:v>
      </x:c>
      <x:c r="M239" s="87" t="n">
        <x:v>371</x:v>
      </x:c>
    </x:row>
    <x:row r="240">
      <x:c r="A240" s="85" t="n">
        <x:v>239</x:v>
      </x:c>
      <x:c r="B240" s="86" t="str">
        <x:v>F00239</x:v>
      </x:c>
      <x:c r="C240" s="86" t="str">
        <x:v>Igor Ferreira Teixeira</x:v>
      </x:c>
      <x:c r="D240" s="86" t="n">
        <x:v>1</x:v>
      </x:c>
      <x:c r="E240" s="86" t="n">
        <x:v>4</x:v>
      </x:c>
      <x:c r="F240" s="86" t="n">
        <x:v>14</x:v>
      </x:c>
      <x:c r="G240" s="95" t="n">
        <x:v>45085</x:v>
      </x:c>
      <x:c r="H240" s="95" t="n">
        <x:v>45618</x:v>
      </x:c>
      <x:c r="I240" s="86" t="str">
        <x:v>CLT</x:v>
      </x:c>
      <x:c r="J240" s="86" t="str">
        <x:v>Presencial</x:v>
      </x:c>
      <x:c r="K240" s="91" t="n">
        <x:v>10983.42</x:v>
      </x:c>
      <x:c r="L240" s="86" t="str">
        <x:v>Desligado</x:v>
      </x:c>
      <x:c r="M240" s="87" t="n">
        <x:v>20</x:v>
      </x:c>
    </x:row>
    <x:row r="241">
      <x:c r="A241" s="85" t="n">
        <x:v>240</x:v>
      </x:c>
      <x:c r="B241" s="86" t="str">
        <x:v>F00240</x:v>
      </x:c>
      <x:c r="C241" s="86" t="str">
        <x:v>Joana Pereira Ferreira</x:v>
      </x:c>
      <x:c r="D241" s="86" t="n">
        <x:v>2</x:v>
      </x:c>
      <x:c r="E241" s="86" t="n">
        <x:v>9</x:v>
      </x:c>
      <x:c r="F241" s="86" t="n">
        <x:v>9</x:v>
      </x:c>
      <x:c r="G241" s="95" t="n">
        <x:v>45222</x:v>
      </x:c>
      <x:c r="H241" s="95"/>
      <x:c r="I241" s="86" t="str">
        <x:v>Estágio</x:v>
      </x:c>
      <x:c r="J241" s="86" t="str">
        <x:v>Presencial</x:v>
      </x:c>
      <x:c r="K241" s="91" t="n">
        <x:v>9275.63</x:v>
      </x:c>
      <x:c r="L241" s="86" t="str">
        <x:v>Ativo</x:v>
      </x:c>
      <x:c r="M241" s="87" t="n">
        <x:v>13</x:v>
      </x:c>
    </x:row>
    <x:row r="242">
      <x:c r="A242" s="85" t="n">
        <x:v>241</x:v>
      </x:c>
      <x:c r="B242" s="86" t="str">
        <x:v>F00241</x:v>
      </x:c>
      <x:c r="C242" s="86" t="str">
        <x:v>Carlos Barbosa Gomes</x:v>
      </x:c>
      <x:c r="D242" s="86" t="n">
        <x:v>3</x:v>
      </x:c>
      <x:c r="E242" s="86" t="n">
        <x:v>1</x:v>
      </x:c>
      <x:c r="F242" s="86" t="n">
        <x:v>1</x:v>
      </x:c>
      <x:c r="G242" s="95" t="n">
        <x:v>45703</x:v>
      </x:c>
      <x:c r="H242" s="95"/>
      <x:c r="I242" s="86" t="str">
        <x:v>CLT</x:v>
      </x:c>
      <x:c r="J242" s="86" t="str">
        <x:v>Presencial</x:v>
      </x:c>
      <x:c r="K242" s="91" t="n">
        <x:v>2464.62</x:v>
      </x:c>
      <x:c r="L242" s="86" t="str">
        <x:v>Ativo</x:v>
      </x:c>
      <x:c r="M242" s="87" t="n">
        <x:v>371</x:v>
      </x:c>
    </x:row>
    <x:row r="243">
      <x:c r="A243" s="85" t="n">
        <x:v>242</x:v>
      </x:c>
      <x:c r="B243" s="86" t="str">
        <x:v>F00242</x:v>
      </x:c>
      <x:c r="C243" s="86" t="str">
        <x:v>Daniela Ferreira Costa</x:v>
      </x:c>
      <x:c r="D243" s="86" t="n">
        <x:v>2</x:v>
      </x:c>
      <x:c r="E243" s="86" t="n">
        <x:v>3</x:v>
      </x:c>
      <x:c r="F243" s="86" t="n">
        <x:v>3</x:v>
      </x:c>
      <x:c r="G243" s="95" t="n">
        <x:v>45100</x:v>
      </x:c>
      <x:c r="H243" s="95"/>
      <x:c r="I243" s="86" t="str">
        <x:v>CLT</x:v>
      </x:c>
      <x:c r="J243" s="86" t="str">
        <x:v>Híbrido</x:v>
      </x:c>
      <x:c r="K243" s="91" t="n">
        <x:v>4372.68</x:v>
      </x:c>
      <x:c r="L243" s="86" t="str">
        <x:v>Ativo</x:v>
      </x:c>
      <x:c r="M243" s="87" t="n">
        <x:v>26</x:v>
      </x:c>
    </x:row>
    <x:row r="244">
      <x:c r="A244" s="85" t="n">
        <x:v>243</x:v>
      </x:c>
      <x:c r="B244" s="86" t="str">
        <x:v>F00243</x:v>
      </x:c>
      <x:c r="C244" s="86" t="str">
        <x:v>Sofia Rocha Moreira</x:v>
      </x:c>
      <x:c r="D244" s="86" t="n">
        <x:v>1</x:v>
      </x:c>
      <x:c r="E244" s="86" t="n">
        <x:v>6</x:v>
      </x:c>
      <x:c r="F244" s="86" t="n">
        <x:v>6</x:v>
      </x:c>
      <x:c r="G244" s="95" t="n">
        <x:v>45493</x:v>
      </x:c>
      <x:c r="H244" s="95"/>
      <x:c r="I244" s="86" t="str">
        <x:v>CLT</x:v>
      </x:c>
      <x:c r="J244" s="86" t="str">
        <x:v>Presencial</x:v>
      </x:c>
      <x:c r="K244" s="91" t="n">
        <x:v>5337.8</x:v>
      </x:c>
      <x:c r="L244" s="86" t="str">
        <x:v>Ativo</x:v>
      </x:c>
      <x:c r="M244" s="87" t="n">
        <x:v>65</x:v>
      </x:c>
    </x:row>
    <x:row r="245">
      <x:c r="A245" s="85" t="n">
        <x:v>244</x:v>
      </x:c>
      <x:c r="B245" s="86" t="str">
        <x:v>F00244</x:v>
      </x:c>
      <x:c r="C245" s="86" t="str">
        <x:v>Joana Silva Gomes</x:v>
      </x:c>
      <x:c r="D245" s="86" t="n">
        <x:v>1</x:v>
      </x:c>
      <x:c r="E245" s="86" t="n">
        <x:v>1</x:v>
      </x:c>
      <x:c r="F245" s="86" t="n">
        <x:v>1</x:v>
      </x:c>
      <x:c r="G245" s="95" t="n">
        <x:v>45672</x:v>
      </x:c>
      <x:c r="H245" s="95"/>
      <x:c r="I245" s="86" t="str">
        <x:v>CLT</x:v>
      </x:c>
      <x:c r="J245" s="86" t="str">
        <x:v>Presencial</x:v>
      </x:c>
      <x:c r="K245" s="91" t="n">
        <x:v>3381.99</x:v>
      </x:c>
      <x:c r="L245" s="86" t="str">
        <x:v>Ativo</x:v>
      </x:c>
      <x:c r="M245" s="87" t="n">
        <x:v>10</x:v>
      </x:c>
    </x:row>
    <x:row r="246">
      <x:c r="A246" s="85" t="n">
        <x:v>245</x:v>
      </x:c>
      <x:c r="B246" s="86" t="str">
        <x:v>F00245</x:v>
      </x:c>
      <x:c r="C246" s="86" t="str">
        <x:v>Fernanda Ribeiro Oliveira</x:v>
      </x:c>
      <x:c r="D246" s="86" t="n">
        <x:v>3</x:v>
      </x:c>
      <x:c r="E246" s="86" t="n">
        <x:v>3</x:v>
      </x:c>
      <x:c r="F246" s="86" t="n">
        <x:v>3</x:v>
      </x:c>
      <x:c r="G246" s="95" t="n">
        <x:v>45635</x:v>
      </x:c>
      <x:c r="H246" s="95"/>
      <x:c r="I246" s="86" t="str">
        <x:v>Temporário</x:v>
      </x:c>
      <x:c r="J246" s="86" t="str">
        <x:v>Presencial</x:v>
      </x:c>
      <x:c r="K246" s="91" t="n">
        <x:v>4025.29</x:v>
      </x:c>
      <x:c r="L246" s="86" t="str">
        <x:v>Ativo</x:v>
      </x:c>
      <x:c r="M246" s="87" t="n">
        <x:v>177</x:v>
      </x:c>
    </x:row>
    <x:row r="247">
      <x:c r="A247" s="85" t="n">
        <x:v>246</x:v>
      </x:c>
      <x:c r="B247" s="86" t="str">
        <x:v>F00246</x:v>
      </x:c>
      <x:c r="C247" s="86" t="str">
        <x:v>André Gomes Cardoso</x:v>
      </x:c>
      <x:c r="D247" s="86" t="n">
        <x:v>4</x:v>
      </x:c>
      <x:c r="E247" s="86" t="n">
        <x:v>8</x:v>
      </x:c>
      <x:c r="F247" s="86" t="n">
        <x:v>8</x:v>
      </x:c>
      <x:c r="G247" s="95" t="n">
        <x:v>45892</x:v>
      </x:c>
      <x:c r="H247" s="95"/>
      <x:c r="I247" s="86" t="str">
        <x:v>Temporário</x:v>
      </x:c>
      <x:c r="J247" s="86" t="str">
        <x:v>Híbrido</x:v>
      </x:c>
      <x:c r="K247" s="91" t="n">
        <x:v>7427.12</x:v>
      </x:c>
      <x:c r="L247" s="86" t="str">
        <x:v>Ativo</x:v>
      </x:c>
      <x:c r="M247" s="87" t="n">
        <x:v>109</x:v>
      </x:c>
    </x:row>
    <x:row r="248">
      <x:c r="A248" s="85" t="n">
        <x:v>247</x:v>
      </x:c>
      <x:c r="B248" s="86" t="str">
        <x:v>F00247</x:v>
      </x:c>
      <x:c r="C248" s="86" t="str">
        <x:v>Marcelo Moreira Mendes</x:v>
      </x:c>
      <x:c r="D248" s="86" t="n">
        <x:v>3</x:v>
      </x:c>
      <x:c r="E248" s="86" t="n">
        <x:v>3</x:v>
      </x:c>
      <x:c r="F248" s="86" t="n">
        <x:v>3</x:v>
      </x:c>
      <x:c r="G248" s="95" t="n">
        <x:v>45818</x:v>
      </x:c>
      <x:c r="H248" s="95"/>
      <x:c r="I248" s="86" t="str">
        <x:v>CLT</x:v>
      </x:c>
      <x:c r="J248" s="86" t="str">
        <x:v>Híbrido</x:v>
      </x:c>
      <x:c r="K248" s="91" t="n">
        <x:v>3370.53</x:v>
      </x:c>
      <x:c r="L248" s="86" t="str">
        <x:v>Ativo</x:v>
      </x:c>
      <x:c r="M248" s="87" t="n">
        <x:v>26</x:v>
      </x:c>
    </x:row>
    <x:row r="249">
      <x:c r="A249" s="85" t="n">
        <x:v>248</x:v>
      </x:c>
      <x:c r="B249" s="86" t="str">
        <x:v>F00248</x:v>
      </x:c>
      <x:c r="C249" s="86" t="str">
        <x:v>Lucas Moreira Barbosa</x:v>
      </x:c>
      <x:c r="D249" s="86" t="n">
        <x:v>2</x:v>
      </x:c>
      <x:c r="E249" s="86" t="n">
        <x:v>1</x:v>
      </x:c>
      <x:c r="F249" s="86" t="n">
        <x:v>1</x:v>
      </x:c>
      <x:c r="G249" s="95" t="n">
        <x:v>45098</x:v>
      </x:c>
      <x:c r="H249" s="95"/>
      <x:c r="I249" s="86" t="str">
        <x:v>Temporário</x:v>
      </x:c>
      <x:c r="J249" s="86" t="str">
        <x:v>Presencial</x:v>
      </x:c>
      <x:c r="K249" s="91" t="n">
        <x:v>2272.72</x:v>
      </x:c>
      <x:c r="L249" s="86" t="str">
        <x:v>Ativo</x:v>
      </x:c>
      <x:c r="M249" s="87" t="n">
        <x:v>78</x:v>
      </x:c>
    </x:row>
    <x:row r="250">
      <x:c r="A250" s="85" t="n">
        <x:v>249</x:v>
      </x:c>
      <x:c r="B250" s="86" t="str">
        <x:v>F00249</x:v>
      </x:c>
      <x:c r="C250" s="86" t="str">
        <x:v>Vitória Rocha Oliveira</x:v>
      </x:c>
      <x:c r="D250" s="86" t="n">
        <x:v>1</x:v>
      </x:c>
      <x:c r="E250" s="86" t="n">
        <x:v>5</x:v>
      </x:c>
      <x:c r="F250" s="86" t="n">
        <x:v>5</x:v>
      </x:c>
      <x:c r="G250" s="95" t="n">
        <x:v>45051</x:v>
      </x:c>
      <x:c r="H250" s="95"/>
      <x:c r="I250" s="86" t="str">
        <x:v>CLT</x:v>
      </x:c>
      <x:c r="J250" s="86" t="str">
        <x:v>Presencial</x:v>
      </x:c>
      <x:c r="K250" s="91" t="n">
        <x:v>7433.22</x:v>
      </x:c>
      <x:c r="L250" s="86" t="str">
        <x:v>Ativo</x:v>
      </x:c>
      <x:c r="M250" s="87" t="n">
        <x:v>326</x:v>
      </x:c>
    </x:row>
    <x:row r="251">
      <x:c r="A251" s="85" t="n">
        <x:v>250</x:v>
      </x:c>
      <x:c r="B251" s="86" t="str">
        <x:v>F00250</x:v>
      </x:c>
      <x:c r="C251" s="86" t="str">
        <x:v>Beatriz Teixeira Pereira</x:v>
      </x:c>
      <x:c r="D251" s="86" t="n">
        <x:v>3</x:v>
      </x:c>
      <x:c r="E251" s="86" t="n">
        <x:v>10</x:v>
      </x:c>
      <x:c r="F251" s="86" t="n">
        <x:v>10</x:v>
      </x:c>
      <x:c r="G251" s="95" t="n">
        <x:v>45858</x:v>
      </x:c>
      <x:c r="H251" s="95"/>
      <x:c r="I251" s="86" t="str">
        <x:v>CLT</x:v>
      </x:c>
      <x:c r="J251" s="86" t="str">
        <x:v>Presencial</x:v>
      </x:c>
      <x:c r="K251" s="91" t="n">
        <x:v>4957.25</x:v>
      </x:c>
      <x:c r="L251" s="86" t="str">
        <x:v>Ativo</x:v>
      </x:c>
      <x:c r="M251" s="87" t="n">
        <x:v>24</x:v>
      </x:c>
    </x:row>
    <x:row r="252">
      <x:c r="A252" s="85" t="n">
        <x:v>251</x:v>
      </x:c>
      <x:c r="B252" s="86" t="str">
        <x:v>F00251</x:v>
      </x:c>
      <x:c r="C252" s="86" t="str">
        <x:v>Daniela Rodrigues Costa</x:v>
      </x:c>
      <x:c r="D252" s="86" t="n">
        <x:v>2</x:v>
      </x:c>
      <x:c r="E252" s="86" t="n">
        <x:v>4</x:v>
      </x:c>
      <x:c r="F252" s="86" t="n">
        <x:v>4</x:v>
      </x:c>
      <x:c r="G252" s="95" t="n">
        <x:v>45823</x:v>
      </x:c>
      <x:c r="H252" s="95"/>
      <x:c r="I252" s="86" t="str">
        <x:v>CLT</x:v>
      </x:c>
      <x:c r="J252" s="86" t="str">
        <x:v>Presencial</x:v>
      </x:c>
      <x:c r="K252" s="91" t="n">
        <x:v>4046.53</x:v>
      </x:c>
      <x:c r="L252" s="86" t="str">
        <x:v>Ativo</x:v>
      </x:c>
      <x:c r="M252" s="87" t="n">
        <x:v>237</x:v>
      </x:c>
    </x:row>
    <x:row r="253">
      <x:c r="A253" s="85" t="n">
        <x:v>252</x:v>
      </x:c>
      <x:c r="B253" s="86" t="str">
        <x:v>F00252</x:v>
      </x:c>
      <x:c r="C253" s="86" t="str">
        <x:v>Gabriela Pereira Pereira</x:v>
      </x:c>
      <x:c r="D253" s="86" t="n">
        <x:v>2</x:v>
      </x:c>
      <x:c r="E253" s="86" t="n">
        <x:v>5</x:v>
      </x:c>
      <x:c r="F253" s="86" t="n">
        <x:v>5</x:v>
      </x:c>
      <x:c r="G253" s="95" t="n">
        <x:v>45802</x:v>
      </x:c>
      <x:c r="H253" s="95"/>
      <x:c r="I253" s="86" t="str">
        <x:v>CLT</x:v>
      </x:c>
      <x:c r="J253" s="86" t="str">
        <x:v>Presencial</x:v>
      </x:c>
      <x:c r="K253" s="91" t="n">
        <x:v>10336.38</x:v>
      </x:c>
      <x:c r="L253" s="86" t="str">
        <x:v>Ativo</x:v>
      </x:c>
      <x:c r="M253" s="87" t="n">
        <x:v>326</x:v>
      </x:c>
    </x:row>
    <x:row r="254">
      <x:c r="A254" s="85" t="n">
        <x:v>253</x:v>
      </x:c>
      <x:c r="B254" s="86" t="str">
        <x:v>F00253</x:v>
      </x:c>
      <x:c r="C254" s="86" t="str">
        <x:v>Camila Lima Costa</x:v>
      </x:c>
      <x:c r="D254" s="86" t="n">
        <x:v>3</x:v>
      </x:c>
      <x:c r="E254" s="86" t="n">
        <x:v>2</x:v>
      </x:c>
      <x:c r="F254" s="86" t="n">
        <x:v>2</x:v>
      </x:c>
      <x:c r="G254" s="95" t="n">
        <x:v>45000</x:v>
      </x:c>
      <x:c r="H254" s="95"/>
      <x:c r="I254" s="86" t="str">
        <x:v>CLT</x:v>
      </x:c>
      <x:c r="J254" s="86" t="str">
        <x:v>Remoto</x:v>
      </x:c>
      <x:c r="K254" s="91" t="n">
        <x:v>3287.24</x:v>
      </x:c>
      <x:c r="L254" s="86" t="str">
        <x:v>Ativo</x:v>
      </x:c>
      <x:c r="M254" s="87" t="n">
        <x:v>8</x:v>
      </x:c>
    </x:row>
    <x:row r="255">
      <x:c r="A255" s="85" t="n">
        <x:v>254</x:v>
      </x:c>
      <x:c r="B255" s="86" t="str">
        <x:v>F00254</x:v>
      </x:c>
      <x:c r="C255" s="86" t="str">
        <x:v>Daniela Rodrigues Rocha</x:v>
      </x:c>
      <x:c r="D255" s="86" t="n">
        <x:v>2</x:v>
      </x:c>
      <x:c r="E255" s="86" t="n">
        <x:v>1</x:v>
      </x:c>
      <x:c r="F255" s="86" t="n">
        <x:v>1</x:v>
      </x:c>
      <x:c r="G255" s="95" t="n">
        <x:v>45614</x:v>
      </x:c>
      <x:c r="H255" s="95"/>
      <x:c r="I255" s="86" t="str">
        <x:v>CLT</x:v>
      </x:c>
      <x:c r="J255" s="86" t="str">
        <x:v>Presencial</x:v>
      </x:c>
      <x:c r="K255" s="91" t="n">
        <x:v>2802.2</x:v>
      </x:c>
      <x:c r="L255" s="86" t="str">
        <x:v>Ativo</x:v>
      </x:c>
      <x:c r="M255" s="87" t="n">
        <x:v>10</x:v>
      </x:c>
    </x:row>
    <x:row r="256">
      <x:c r="A256" s="85" t="n">
        <x:v>255</x:v>
      </x:c>
      <x:c r="B256" s="86" t="str">
        <x:v>F00255</x:v>
      </x:c>
      <x:c r="C256" s="86" t="str">
        <x:v>Isabela Santos Martins</x:v>
      </x:c>
      <x:c r="D256" s="86" t="n">
        <x:v>2</x:v>
      </x:c>
      <x:c r="E256" s="86" t="n">
        <x:v>1</x:v>
      </x:c>
      <x:c r="F256" s="86" t="n">
        <x:v>1</x:v>
      </x:c>
      <x:c r="G256" s="95" t="n">
        <x:v>44938</x:v>
      </x:c>
      <x:c r="H256" s="95"/>
      <x:c r="I256" s="86" t="str">
        <x:v>CLT</x:v>
      </x:c>
      <x:c r="J256" s="86" t="str">
        <x:v>Presencial</x:v>
      </x:c>
      <x:c r="K256" s="91" t="n">
        <x:v>3259.76</x:v>
      </x:c>
      <x:c r="L256" s="86" t="str">
        <x:v>Ativo</x:v>
      </x:c>
      <x:c r="M256" s="87" t="n">
        <x:v>98</x:v>
      </x:c>
    </x:row>
    <x:row r="257">
      <x:c r="A257" s="85" t="n">
        <x:v>256</x:v>
      </x:c>
      <x:c r="B257" s="86" t="str">
        <x:v>F00256</x:v>
      </x:c>
      <x:c r="C257" s="86" t="str">
        <x:v>Carlos Gomes Moreira</x:v>
      </x:c>
      <x:c r="D257" s="86" t="n">
        <x:v>1</x:v>
      </x:c>
      <x:c r="E257" s="86" t="n">
        <x:v>1</x:v>
      </x:c>
      <x:c r="F257" s="86" t="n">
        <x:v>1</x:v>
      </x:c>
      <x:c r="G257" s="95" t="n">
        <x:v>45927</x:v>
      </x:c>
      <x:c r="H257" s="95"/>
      <x:c r="I257" s="86" t="str">
        <x:v>CLT</x:v>
      </x:c>
      <x:c r="J257" s="86" t="str">
        <x:v>Presencial</x:v>
      </x:c>
      <x:c r="K257" s="91" t="n">
        <x:v>2681.49</x:v>
      </x:c>
      <x:c r="L257" s="86" t="str">
        <x:v>Ativo</x:v>
      </x:c>
      <x:c r="M257" s="87" t="n">
        <x:v>10</x:v>
      </x:c>
    </x:row>
    <x:row r="258">
      <x:c r="A258" s="85" t="n">
        <x:v>257</x:v>
      </x:c>
      <x:c r="B258" s="86" t="str">
        <x:v>F00257</x:v>
      </x:c>
      <x:c r="C258" s="86" t="str">
        <x:v>Bruno Oliveira Teixeira</x:v>
      </x:c>
      <x:c r="D258" s="86" t="n">
        <x:v>4</x:v>
      </x:c>
      <x:c r="E258" s="86" t="n">
        <x:v>6</x:v>
      </x:c>
      <x:c r="F258" s="86" t="n">
        <x:v>6</x:v>
      </x:c>
      <x:c r="G258" s="95" t="n">
        <x:v>45889</x:v>
      </x:c>
      <x:c r="H258" s="95"/>
      <x:c r="I258" s="86" t="str">
        <x:v>CLT</x:v>
      </x:c>
      <x:c r="J258" s="86" t="str">
        <x:v>Presencial</x:v>
      </x:c>
      <x:c r="K258" s="91" t="n">
        <x:v>7631.5</x:v>
      </x:c>
      <x:c r="L258" s="86" t="str">
        <x:v>Ativo</x:v>
      </x:c>
      <x:c r="M258" s="87" t="n">
        <x:v>116</x:v>
      </x:c>
    </x:row>
    <x:row r="259">
      <x:c r="A259" s="85" t="n">
        <x:v>258</x:v>
      </x:c>
      <x:c r="B259" s="86" t="str">
        <x:v>F00258</x:v>
      </x:c>
      <x:c r="C259" s="86" t="str">
        <x:v>Lucas Ferreira Barbosa</x:v>
      </x:c>
      <x:c r="D259" s="86" t="n">
        <x:v>2</x:v>
      </x:c>
      <x:c r="E259" s="86" t="n">
        <x:v>1</x:v>
      </x:c>
      <x:c r="F259" s="86" t="n">
        <x:v>1</x:v>
      </x:c>
      <x:c r="G259" s="95" t="n">
        <x:v>45169</x:v>
      </x:c>
      <x:c r="H259" s="95"/>
      <x:c r="I259" s="86" t="str">
        <x:v>CLT</x:v>
      </x:c>
      <x:c r="J259" s="86" t="str">
        <x:v>Presencial</x:v>
      </x:c>
      <x:c r="K259" s="91" t="n">
        <x:v>3465.28</x:v>
      </x:c>
      <x:c r="L259" s="86" t="str">
        <x:v>Ativo</x:v>
      </x:c>
      <x:c r="M259" s="87" t="n">
        <x:v>202</x:v>
      </x:c>
    </x:row>
    <x:row r="260">
      <x:c r="A260" s="85" t="n">
        <x:v>259</x:v>
      </x:c>
      <x:c r="B260" s="86" t="str">
        <x:v>F00259</x:v>
      </x:c>
      <x:c r="C260" s="86" t="str">
        <x:v>Rafael Cardoso Ferreira</x:v>
      </x:c>
      <x:c r="D260" s="86" t="n">
        <x:v>1</x:v>
      </x:c>
      <x:c r="E260" s="86" t="n">
        <x:v>4</x:v>
      </x:c>
      <x:c r="F260" s="86" t="n">
        <x:v>4</x:v>
      </x:c>
      <x:c r="G260" s="95" t="n">
        <x:v>45454</x:v>
      </x:c>
      <x:c r="H260" s="95" t="n">
        <x:v>45679</x:v>
      </x:c>
      <x:c r="I260" s="86" t="str">
        <x:v>CLT</x:v>
      </x:c>
      <x:c r="J260" s="86" t="str">
        <x:v>Híbrido</x:v>
      </x:c>
      <x:c r="K260" s="91" t="n">
        <x:v>5166.23</x:v>
      </x:c>
      <x:c r="L260" s="86" t="str">
        <x:v>Desligado</x:v>
      </x:c>
      <x:c r="M260" s="87" t="n">
        <x:v>237</x:v>
      </x:c>
    </x:row>
    <x:row r="261">
      <x:c r="A261" s="85" t="n">
        <x:v>260</x:v>
      </x:c>
      <x:c r="B261" s="86" t="str">
        <x:v>F00260</x:v>
      </x:c>
      <x:c r="C261" s="86" t="str">
        <x:v>Gabriela Ribeiro Rocha</x:v>
      </x:c>
      <x:c r="D261" s="86" t="n">
        <x:v>2</x:v>
      </x:c>
      <x:c r="E261" s="86" t="n">
        <x:v>1</x:v>
      </x:c>
      <x:c r="F261" s="86" t="n">
        <x:v>1</x:v>
      </x:c>
      <x:c r="G261" s="95" t="n">
        <x:v>45140</x:v>
      </x:c>
      <x:c r="H261" s="95"/>
      <x:c r="I261" s="86" t="str">
        <x:v>CLT</x:v>
      </x:c>
      <x:c r="J261" s="86" t="str">
        <x:v>Presencial</x:v>
      </x:c>
      <x:c r="K261" s="91" t="n">
        <x:v>2606.22</x:v>
      </x:c>
      <x:c r="L261" s="86" t="str">
        <x:v>Ativo</x:v>
      </x:c>
      <x:c r="M261" s="87" t="n">
        <x:v>78</x:v>
      </x:c>
    </x:row>
    <x:row r="262">
      <x:c r="A262" s="85" t="n">
        <x:v>261</x:v>
      </x:c>
      <x:c r="B262" s="86" t="str">
        <x:v>F00261</x:v>
      </x:c>
      <x:c r="C262" s="86" t="str">
        <x:v>João Almeida Gomes</x:v>
      </x:c>
      <x:c r="D262" s="86" t="n">
        <x:v>3</x:v>
      </x:c>
      <x:c r="E262" s="86" t="n">
        <x:v>3</x:v>
      </x:c>
      <x:c r="F262" s="86" t="n">
        <x:v>3</x:v>
      </x:c>
      <x:c r="G262" s="95" t="n">
        <x:v>44971</x:v>
      </x:c>
      <x:c r="H262" s="95"/>
      <x:c r="I262" s="86" t="str">
        <x:v>Temporário</x:v>
      </x:c>
      <x:c r="J262" s="86" t="str">
        <x:v>Presencial</x:v>
      </x:c>
      <x:c r="K262" s="91" t="n">
        <x:v>3511.95</x:v>
      </x:c>
      <x:c r="L262" s="86" t="str">
        <x:v>Ativo</x:v>
      </x:c>
      <x:c r="M262" s="87" t="n">
        <x:v>26</x:v>
      </x:c>
    </x:row>
    <x:row r="263">
      <x:c r="A263" s="85" t="n">
        <x:v>262</x:v>
      </x:c>
      <x:c r="B263" s="86" t="str">
        <x:v>F00262</x:v>
      </x:c>
      <x:c r="C263" s="86" t="str">
        <x:v>Mariana Cardoso Santos</x:v>
      </x:c>
      <x:c r="D263" s="86" t="n">
        <x:v>2</x:v>
      </x:c>
      <x:c r="E263" s="86" t="n">
        <x:v>1</x:v>
      </x:c>
      <x:c r="F263" s="86" t="n">
        <x:v>1</x:v>
      </x:c>
      <x:c r="G263" s="95" t="n">
        <x:v>45786</x:v>
      </x:c>
      <x:c r="H263" s="95"/>
      <x:c r="I263" s="86" t="str">
        <x:v>CLT</x:v>
      </x:c>
      <x:c r="J263" s="86" t="str">
        <x:v>Híbrido</x:v>
      </x:c>
      <x:c r="K263" s="91" t="n">
        <x:v>3143.45</x:v>
      </x:c>
      <x:c r="L263" s="86" t="str">
        <x:v>Ativo</x:v>
      </x:c>
      <x:c r="M263" s="87" t="n">
        <x:v>78</x:v>
      </x:c>
    </x:row>
    <x:row r="264">
      <x:c r="A264" s="85" t="n">
        <x:v>263</x:v>
      </x:c>
      <x:c r="B264" s="86" t="str">
        <x:v>F00263</x:v>
      </x:c>
      <x:c r="C264" s="86" t="str">
        <x:v>Isabela Nascimento Teixeira</x:v>
      </x:c>
      <x:c r="D264" s="86" t="n">
        <x:v>2</x:v>
      </x:c>
      <x:c r="E264" s="86" t="n">
        <x:v>10</x:v>
      </x:c>
      <x:c r="F264" s="86" t="n">
        <x:v>10</x:v>
      </x:c>
      <x:c r="G264" s="95" t="n">
        <x:v>45126</x:v>
      </x:c>
      <x:c r="H264" s="95" t="n">
        <x:v>45704</x:v>
      </x:c>
      <x:c r="I264" s="86" t="str">
        <x:v>CLT</x:v>
      </x:c>
      <x:c r="J264" s="86" t="str">
        <x:v>Híbrido</x:v>
      </x:c>
      <x:c r="K264" s="91" t="n">
        <x:v>5629.55</x:v>
      </x:c>
      <x:c r="L264" s="86" t="str">
        <x:v>Desligado</x:v>
      </x:c>
      <x:c r="M264" s="87" t="n">
        <x:v>24</x:v>
      </x:c>
    </x:row>
    <x:row r="265">
      <x:c r="A265" s="85" t="n">
        <x:v>264</x:v>
      </x:c>
      <x:c r="B265" s="86" t="str">
        <x:v>F00264</x:v>
      </x:c>
      <x:c r="C265" s="86" t="str">
        <x:v>André Lima Santos</x:v>
      </x:c>
      <x:c r="D265" s="86" t="n">
        <x:v>2</x:v>
      </x:c>
      <x:c r="E265" s="86" t="n">
        <x:v>4</x:v>
      </x:c>
      <x:c r="F265" s="86" t="n">
        <x:v>4</x:v>
      </x:c>
      <x:c r="G265" s="95" t="n">
        <x:v>45306</x:v>
      </x:c>
      <x:c r="H265" s="95"/>
      <x:c r="I265" s="86" t="str">
        <x:v>Estágio</x:v>
      </x:c>
      <x:c r="J265" s="86" t="str">
        <x:v>Híbrido</x:v>
      </x:c>
      <x:c r="K265" s="91" t="n">
        <x:v>4933.83</x:v>
      </x:c>
      <x:c r="L265" s="86" t="str">
        <x:v>Ativo</x:v>
      </x:c>
      <x:c r="M265" s="87" t="n">
        <x:v>82</x:v>
      </x:c>
    </x:row>
    <x:row r="266">
      <x:c r="A266" s="85" t="n">
        <x:v>265</x:v>
      </x:c>
      <x:c r="B266" s="86" t="str">
        <x:v>F00265</x:v>
      </x:c>
      <x:c r="C266" s="86" t="str">
        <x:v>Joana Oliveira Moreira</x:v>
      </x:c>
      <x:c r="D266" s="86" t="n">
        <x:v>3</x:v>
      </x:c>
      <x:c r="E266" s="86" t="n">
        <x:v>1</x:v>
      </x:c>
      <x:c r="F266" s="86" t="n">
        <x:v>1</x:v>
      </x:c>
      <x:c r="G266" s="95" t="n">
        <x:v>45197</x:v>
      </x:c>
      <x:c r="H266" s="95"/>
      <x:c r="I266" s="86" t="str">
        <x:v>CLT</x:v>
      </x:c>
      <x:c r="J266" s="86" t="str">
        <x:v>Presencial</x:v>
      </x:c>
      <x:c r="K266" s="91" t="n">
        <x:v>3008.06</x:v>
      </x:c>
      <x:c r="L266" s="86" t="str">
        <x:v>Ativo</x:v>
      </x:c>
      <x:c r="M266" s="87" t="n">
        <x:v>10</x:v>
      </x:c>
    </x:row>
    <x:row r="267">
      <x:c r="A267" s="85" t="n">
        <x:v>266</x:v>
      </x:c>
      <x:c r="B267" s="86" t="str">
        <x:v>F00266</x:v>
      </x:c>
      <x:c r="C267" s="86" t="str">
        <x:v>Felipe Moreira Barbosa</x:v>
      </x:c>
      <x:c r="D267" s="86" t="n">
        <x:v>2</x:v>
      </x:c>
      <x:c r="E267" s="86" t="n">
        <x:v>1</x:v>
      </x:c>
      <x:c r="F267" s="86" t="n">
        <x:v>1</x:v>
      </x:c>
      <x:c r="G267" s="95" t="n">
        <x:v>45819</x:v>
      </x:c>
      <x:c r="H267" s="95"/>
      <x:c r="I267" s="86" t="str">
        <x:v>CLT</x:v>
      </x:c>
      <x:c r="J267" s="86" t="str">
        <x:v>Presencial</x:v>
      </x:c>
      <x:c r="K267" s="91" t="n">
        <x:v>2770.64</x:v>
      </x:c>
      <x:c r="L267" s="86" t="str">
        <x:v>Ativo</x:v>
      </x:c>
      <x:c r="M267" s="87" t="n">
        <x:v>202</x:v>
      </x:c>
    </x:row>
    <x:row r="268">
      <x:c r="A268" s="85" t="n">
        <x:v>267</x:v>
      </x:c>
      <x:c r="B268" s="86" t="str">
        <x:v>F00267</x:v>
      </x:c>
      <x:c r="C268" s="86" t="str">
        <x:v>Eduarda Souza Ferreira</x:v>
      </x:c>
      <x:c r="D268" s="86" t="n">
        <x:v>3</x:v>
      </x:c>
      <x:c r="E268" s="86" t="n">
        <x:v>4</x:v>
      </x:c>
      <x:c r="F268" s="86" t="n">
        <x:v>4</x:v>
      </x:c>
      <x:c r="G268" s="95" t="n">
        <x:v>45748</x:v>
      </x:c>
      <x:c r="H268" s="95"/>
      <x:c r="I268" s="86" t="str">
        <x:v>CLT</x:v>
      </x:c>
      <x:c r="J268" s="86" t="str">
        <x:v>Presencial</x:v>
      </x:c>
      <x:c r="K268" s="91" t="n">
        <x:v>5062.12</x:v>
      </x:c>
      <x:c r="L268" s="86" t="str">
        <x:v>Ativo</x:v>
      </x:c>
      <x:c r="M268" s="87" t="n">
        <x:v>237</x:v>
      </x:c>
    </x:row>
    <x:row r="269">
      <x:c r="A269" s="85" t="n">
        <x:v>268</x:v>
      </x:c>
      <x:c r="B269" s="86" t="str">
        <x:v>F00268</x:v>
      </x:c>
      <x:c r="C269" s="86" t="str">
        <x:v>Daniela Lima Gomes</x:v>
      </x:c>
      <x:c r="D269" s="86" t="n">
        <x:v>2</x:v>
      </x:c>
      <x:c r="E269" s="86" t="n">
        <x:v>4</x:v>
      </x:c>
      <x:c r="F269" s="86" t="n">
        <x:v>4</x:v>
      </x:c>
      <x:c r="G269" s="95" t="n">
        <x:v>45715</x:v>
      </x:c>
      <x:c r="H269" s="95"/>
      <x:c r="I269" s="86" t="str">
        <x:v>CLT</x:v>
      </x:c>
      <x:c r="J269" s="86" t="str">
        <x:v>Presencial</x:v>
      </x:c>
      <x:c r="K269" s="91" t="n">
        <x:v>4286.56</x:v>
      </x:c>
      <x:c r="L269" s="86" t="str">
        <x:v>Ativo</x:v>
      </x:c>
      <x:c r="M269" s="87" t="n">
        <x:v>237</x:v>
      </x:c>
    </x:row>
    <x:row r="270">
      <x:c r="A270" s="85" t="n">
        <x:v>269</x:v>
      </x:c>
      <x:c r="B270" s="86" t="str">
        <x:v>F00269</x:v>
      </x:c>
      <x:c r="C270" s="86" t="str">
        <x:v>André Teixeira Souza</x:v>
      </x:c>
      <x:c r="D270" s="86" t="n">
        <x:v>1</x:v>
      </x:c>
      <x:c r="E270" s="86" t="n">
        <x:v>4</x:v>
      </x:c>
      <x:c r="F270" s="86" t="n">
        <x:v>4</x:v>
      </x:c>
      <x:c r="G270" s="95" t="n">
        <x:v>44945</x:v>
      </x:c>
      <x:c r="H270" s="95"/>
      <x:c r="I270" s="86" t="str">
        <x:v>CLT</x:v>
      </x:c>
      <x:c r="J270" s="86" t="str">
        <x:v>Presencial</x:v>
      </x:c>
      <x:c r="K270" s="91" t="n">
        <x:v>6344.56</x:v>
      </x:c>
      <x:c r="L270" s="86" t="str">
        <x:v>Ativo</x:v>
      </x:c>
      <x:c r="M270" s="87" t="n">
        <x:v>61</x:v>
      </x:c>
    </x:row>
    <x:row r="271">
      <x:c r="A271" s="85" t="n">
        <x:v>270</x:v>
      </x:c>
      <x:c r="B271" s="86" t="str">
        <x:v>F00270</x:v>
      </x:c>
      <x:c r="C271" s="86" t="str">
        <x:v>Carlos Cardoso Almeida</x:v>
      </x:c>
      <x:c r="D271" s="86" t="n">
        <x:v>2</x:v>
      </x:c>
      <x:c r="E271" s="86" t="n">
        <x:v>1</x:v>
      </x:c>
      <x:c r="F271" s="86" t="n">
        <x:v>1</x:v>
      </x:c>
      <x:c r="G271" s="95" t="n">
        <x:v>45071</x:v>
      </x:c>
      <x:c r="H271" s="95"/>
      <x:c r="I271" s="86" t="str">
        <x:v>Temporário</x:v>
      </x:c>
      <x:c r="J271" s="86" t="str">
        <x:v>Híbrido</x:v>
      </x:c>
      <x:c r="K271" s="91" t="n">
        <x:v>3074.74</x:v>
      </x:c>
      <x:c r="L271" s="86" t="str">
        <x:v>Ativo</x:v>
      </x:c>
      <x:c r="M271" s="87" t="n">
        <x:v>77</x:v>
      </x:c>
    </x:row>
    <x:row r="272">
      <x:c r="A272" s="85" t="n">
        <x:v>271</x:v>
      </x:c>
      <x:c r="B272" s="86" t="str">
        <x:v>F00271</x:v>
      </x:c>
      <x:c r="C272" s="86" t="str">
        <x:v>João Barbosa Ferreira</x:v>
      </x:c>
      <x:c r="D272" s="86" t="n">
        <x:v>4</x:v>
      </x:c>
      <x:c r="E272" s="86" t="n">
        <x:v>9</x:v>
      </x:c>
      <x:c r="F272" s="86" t="n">
        <x:v>9</x:v>
      </x:c>
      <x:c r="G272" s="95" t="n">
        <x:v>45561</x:v>
      </x:c>
      <x:c r="H272" s="95"/>
      <x:c r="I272" s="86" t="str">
        <x:v>Estágio</x:v>
      </x:c>
      <x:c r="J272" s="86" t="str">
        <x:v>Híbrido</x:v>
      </x:c>
      <x:c r="K272" s="91" t="n">
        <x:v>9201.94</x:v>
      </x:c>
      <x:c r="L272" s="86" t="str">
        <x:v>Ativo</x:v>
      </x:c>
      <x:c r="M272" s="87" t="n">
        <x:v>342</x:v>
      </x:c>
    </x:row>
    <x:row r="273">
      <x:c r="A273" s="85" t="n">
        <x:v>272</x:v>
      </x:c>
      <x:c r="B273" s="86" t="str">
        <x:v>F00272</x:v>
      </x:c>
      <x:c r="C273" s="86" t="str">
        <x:v>Helena Moreira Pereira</x:v>
      </x:c>
      <x:c r="D273" s="86" t="n">
        <x:v>2</x:v>
      </x:c>
      <x:c r="E273" s="86" t="n">
        <x:v>10</x:v>
      </x:c>
      <x:c r="F273" s="86" t="n">
        <x:v>10</x:v>
      </x:c>
      <x:c r="G273" s="95" t="n">
        <x:v>45512</x:v>
      </x:c>
      <x:c r="H273" s="95" t="n">
        <x:v>45971</x:v>
      </x:c>
      <x:c r="I273" s="86" t="str">
        <x:v>CLT</x:v>
      </x:c>
      <x:c r="J273" s="86" t="str">
        <x:v>Híbrido</x:v>
      </x:c>
      <x:c r="K273" s="91" t="n">
        <x:v>6423.76</x:v>
      </x:c>
      <x:c r="L273" s="86" t="str">
        <x:v>Desligado</x:v>
      </x:c>
      <x:c r="M273" s="87" t="n">
        <x:v>24</x:v>
      </x:c>
    </x:row>
    <x:row r="274">
      <x:c r="A274" s="85" t="n">
        <x:v>273</x:v>
      </x:c>
      <x:c r="B274" s="86" t="str">
        <x:v>F00273</x:v>
      </x:c>
      <x:c r="C274" s="86" t="str">
        <x:v>Fernanda Santos Rocha</x:v>
      </x:c>
      <x:c r="D274" s="86" t="n">
        <x:v>2</x:v>
      </x:c>
      <x:c r="E274" s="86" t="n">
        <x:v>4</x:v>
      </x:c>
      <x:c r="F274" s="86" t="n">
        <x:v>4</x:v>
      </x:c>
      <x:c r="G274" s="95" t="n">
        <x:v>45531</x:v>
      </x:c>
      <x:c r="H274" s="95"/>
      <x:c r="I274" s="86" t="str">
        <x:v>CLT</x:v>
      </x:c>
      <x:c r="J274" s="86" t="str">
        <x:v>Presencial</x:v>
      </x:c>
      <x:c r="K274" s="91" t="n">
        <x:v>6495.21</x:v>
      </x:c>
      <x:c r="L274" s="86" t="str">
        <x:v>Ativo</x:v>
      </x:c>
      <x:c r="M274" s="87" t="n">
        <x:v>82</x:v>
      </x:c>
    </x:row>
    <x:row r="275">
      <x:c r="A275" s="85" t="n">
        <x:v>274</x:v>
      </x:c>
      <x:c r="B275" s="86" t="str">
        <x:v>F00274</x:v>
      </x:c>
      <x:c r="C275" s="86" t="str">
        <x:v>Beatriz Costa Oliveira</x:v>
      </x:c>
      <x:c r="D275" s="86" t="n">
        <x:v>2</x:v>
      </x:c>
      <x:c r="E275" s="86" t="n">
        <x:v>8</x:v>
      </x:c>
      <x:c r="F275" s="86" t="n">
        <x:v>8</x:v>
      </x:c>
      <x:c r="G275" s="95" t="n">
        <x:v>45429</x:v>
      </x:c>
      <x:c r="H275" s="95"/>
      <x:c r="I275" s="86" t="str">
        <x:v>CLT</x:v>
      </x:c>
      <x:c r="J275" s="86" t="str">
        <x:v>Presencial</x:v>
      </x:c>
      <x:c r="K275" s="91" t="n">
        <x:v>5673.03</x:v>
      </x:c>
      <x:c r="L275" s="86" t="str">
        <x:v>Ativo</x:v>
      </x:c>
      <x:c r="M275" s="87" t="n">
        <x:v>86</x:v>
      </x:c>
    </x:row>
    <x:row r="276">
      <x:c r="A276" s="85" t="n">
        <x:v>275</x:v>
      </x:c>
      <x:c r="B276" s="86" t="str">
        <x:v>F00275</x:v>
      </x:c>
      <x:c r="C276" s="86" t="str">
        <x:v>Marcelo Ribeiro Souza</x:v>
      </x:c>
      <x:c r="D276" s="86" t="n">
        <x:v>2</x:v>
      </x:c>
      <x:c r="E276" s="86" t="n">
        <x:v>1</x:v>
      </x:c>
      <x:c r="F276" s="86" t="n">
        <x:v>1</x:v>
      </x:c>
      <x:c r="G276" s="95" t="n">
        <x:v>45826</x:v>
      </x:c>
      <x:c r="H276" s="95"/>
      <x:c r="I276" s="86" t="str">
        <x:v>CLT</x:v>
      </x:c>
      <x:c r="J276" s="86" t="str">
        <x:v>Presencial</x:v>
      </x:c>
      <x:c r="K276" s="91" t="n">
        <x:v>2214.89</x:v>
      </x:c>
      <x:c r="L276" s="86" t="str">
        <x:v>Ativo</x:v>
      </x:c>
      <x:c r="M276" s="87" t="n">
        <x:v>371</x:v>
      </x:c>
    </x:row>
    <x:row r="277">
      <x:c r="A277" s="85" t="n">
        <x:v>276</x:v>
      </x:c>
      <x:c r="B277" s="86" t="str">
        <x:v>F00276</x:v>
      </x:c>
      <x:c r="C277" s="86" t="str">
        <x:v>Isabela Gomes Gomes</x:v>
      </x:c>
      <x:c r="D277" s="86" t="n">
        <x:v>2</x:v>
      </x:c>
      <x:c r="E277" s="86" t="n">
        <x:v>5</x:v>
      </x:c>
      <x:c r="F277" s="86" t="n">
        <x:v>5</x:v>
      </x:c>
      <x:c r="G277" s="95" t="n">
        <x:v>45138</x:v>
      </x:c>
      <x:c r="H277" s="95"/>
      <x:c r="I277" s="86" t="str">
        <x:v>CLT</x:v>
      </x:c>
      <x:c r="J277" s="86" t="str">
        <x:v>Remoto</x:v>
      </x:c>
      <x:c r="K277" s="91" t="n">
        <x:v>9837.44</x:v>
      </x:c>
      <x:c r="L277" s="86" t="str">
        <x:v>Ativo</x:v>
      </x:c>
      <x:c r="M277" s="87" t="n">
        <x:v>39</x:v>
      </x:c>
    </x:row>
    <x:row r="278">
      <x:c r="A278" s="85" t="n">
        <x:v>277</x:v>
      </x:c>
      <x:c r="B278" s="86" t="str">
        <x:v>F00277</x:v>
      </x:c>
      <x:c r="C278" s="86" t="str">
        <x:v>Rafael Costa Gomes</x:v>
      </x:c>
      <x:c r="D278" s="86" t="n">
        <x:v>4</x:v>
      </x:c>
      <x:c r="E278" s="86" t="n">
        <x:v>8</x:v>
      </x:c>
      <x:c r="F278" s="86" t="n">
        <x:v>8</x:v>
      </x:c>
      <x:c r="G278" s="95" t="n">
        <x:v>45295</x:v>
      </x:c>
      <x:c r="H278" s="95"/>
      <x:c r="I278" s="86" t="str">
        <x:v>CLT</x:v>
      </x:c>
      <x:c r="J278" s="86" t="str">
        <x:v>Híbrido</x:v>
      </x:c>
      <x:c r="K278" s="91" t="n">
        <x:v>5394.51</x:v>
      </x:c>
      <x:c r="L278" s="86" t="str">
        <x:v>Ativo</x:v>
      </x:c>
      <x:c r="M278" s="87" t="n">
        <x:v>86</x:v>
      </x:c>
    </x:row>
    <x:row r="279">
      <x:c r="A279" s="85" t="n">
        <x:v>278</x:v>
      </x:c>
      <x:c r="B279" s="86" t="str">
        <x:v>F00278</x:v>
      </x:c>
      <x:c r="C279" s="86" t="str">
        <x:v>Joana Santos Santos</x:v>
      </x:c>
      <x:c r="D279" s="86" t="n">
        <x:v>1</x:v>
      </x:c>
      <x:c r="E279" s="86" t="n">
        <x:v>4</x:v>
      </x:c>
      <x:c r="F279" s="86" t="n">
        <x:v>4</x:v>
      </x:c>
      <x:c r="G279" s="95" t="n">
        <x:v>45416</x:v>
      </x:c>
      <x:c r="H279" s="95" t="n">
        <x:v>45845</x:v>
      </x:c>
      <x:c r="I279" s="86" t="str">
        <x:v>CLT</x:v>
      </x:c>
      <x:c r="J279" s="86" t="str">
        <x:v>Presencial</x:v>
      </x:c>
      <x:c r="K279" s="91" t="n">
        <x:v>6457.07</x:v>
      </x:c>
      <x:c r="L279" s="86" t="str">
        <x:v>Desligado</x:v>
      </x:c>
      <x:c r="M279" s="87" t="n">
        <x:v>82</x:v>
      </x:c>
    </x:row>
    <x:row r="280">
      <x:c r="A280" s="85" t="n">
        <x:v>279</x:v>
      </x:c>
      <x:c r="B280" s="86" t="str">
        <x:v>F00279</x:v>
      </x:c>
      <x:c r="C280" s="86" t="str">
        <x:v>Lucas Costa Martins</x:v>
      </x:c>
      <x:c r="D280" s="86" t="n">
        <x:v>4</x:v>
      </x:c>
      <x:c r="E280" s="86" t="n">
        <x:v>6</x:v>
      </x:c>
      <x:c r="F280" s="86" t="n">
        <x:v>6</x:v>
      </x:c>
      <x:c r="G280" s="95" t="n">
        <x:v>45588</x:v>
      </x:c>
      <x:c r="H280" s="95"/>
      <x:c r="I280" s="86" t="str">
        <x:v>CLT</x:v>
      </x:c>
      <x:c r="J280" s="86" t="str">
        <x:v>Presencial</x:v>
      </x:c>
      <x:c r="K280" s="91" t="n">
        <x:v>8265.33</x:v>
      </x:c>
      <x:c r="L280" s="86" t="str">
        <x:v>Ativo</x:v>
      </x:c>
      <x:c r="M280" s="87" t="n">
        <x:v>116</x:v>
      </x:c>
    </x:row>
    <x:row r="281">
      <x:c r="A281" s="85" t="n">
        <x:v>280</x:v>
      </x:c>
      <x:c r="B281" s="86" t="str">
        <x:v>F00280</x:v>
      </x:c>
      <x:c r="C281" s="86" t="str">
        <x:v>Thiago Almeida Moreira</x:v>
      </x:c>
      <x:c r="D281" s="86" t="n">
        <x:v>1</x:v>
      </x:c>
      <x:c r="E281" s="86" t="n">
        <x:v>1</x:v>
      </x:c>
      <x:c r="F281" s="86" t="n">
        <x:v>1</x:v>
      </x:c>
      <x:c r="G281" s="95" t="n">
        <x:v>45260</x:v>
      </x:c>
      <x:c r="H281" s="95"/>
      <x:c r="I281" s="86" t="str">
        <x:v>CLT</x:v>
      </x:c>
      <x:c r="J281" s="86" t="str">
        <x:v>Presencial</x:v>
      </x:c>
      <x:c r="K281" s="91" t="n">
        <x:v>3040.93</x:v>
      </x:c>
      <x:c r="L281" s="86" t="str">
        <x:v>Ativo</x:v>
      </x:c>
      <x:c r="M281" s="87" t="n">
        <x:v>396</x:v>
      </x:c>
    </x:row>
    <x:row r="282">
      <x:c r="A282" s="85" t="n">
        <x:v>281</x:v>
      </x:c>
      <x:c r="B282" s="86" t="str">
        <x:v>F00281</x:v>
      </x:c>
      <x:c r="C282" s="86" t="str">
        <x:v>Sofia Costa Cardoso</x:v>
      </x:c>
      <x:c r="D282" s="86" t="n">
        <x:v>1</x:v>
      </x:c>
      <x:c r="E282" s="86" t="n">
        <x:v>1</x:v>
      </x:c>
      <x:c r="F282" s="86" t="n">
        <x:v>1</x:v>
      </x:c>
      <x:c r="G282" s="95" t="n">
        <x:v>45584</x:v>
      </x:c>
      <x:c r="H282" s="95"/>
      <x:c r="I282" s="86" t="str">
        <x:v>CLT</x:v>
      </x:c>
      <x:c r="J282" s="86" t="str">
        <x:v>Remoto</x:v>
      </x:c>
      <x:c r="K282" s="91" t="n">
        <x:v>2288.49</x:v>
      </x:c>
      <x:c r="L282" s="86" t="str">
        <x:v>Ativo</x:v>
      </x:c>
      <x:c r="M282" s="87" t="n">
        <x:v>77</x:v>
      </x:c>
    </x:row>
    <x:row r="283">
      <x:c r="A283" s="85" t="n">
        <x:v>282</x:v>
      </x:c>
      <x:c r="B283" s="86" t="str">
        <x:v>F00282</x:v>
      </x:c>
      <x:c r="C283" s="86" t="str">
        <x:v>Camila Almeida Rodrigues</x:v>
      </x:c>
      <x:c r="D283" s="86" t="n">
        <x:v>1</x:v>
      </x:c>
      <x:c r="E283" s="86" t="n">
        <x:v>1</x:v>
      </x:c>
      <x:c r="F283" s="86" t="n">
        <x:v>1</x:v>
      </x:c>
      <x:c r="G283" s="95" t="n">
        <x:v>45612</x:v>
      </x:c>
      <x:c r="H283" s="95" t="n">
        <x:v>45962</x:v>
      </x:c>
      <x:c r="I283" s="86" t="str">
        <x:v>Temporário</x:v>
      </x:c>
      <x:c r="J283" s="86" t="str">
        <x:v>Presencial</x:v>
      </x:c>
      <x:c r="K283" s="91" t="n">
        <x:v>3028.37</x:v>
      </x:c>
      <x:c r="L283" s="86" t="str">
        <x:v>Desligado</x:v>
      </x:c>
      <x:c r="M283" s="87" t="n">
        <x:v>10</x:v>
      </x:c>
    </x:row>
    <x:row r="284">
      <x:c r="A284" s="85" t="n">
        <x:v>283</x:v>
      </x:c>
      <x:c r="B284" s="86" t="str">
        <x:v>F00283</x:v>
      </x:c>
      <x:c r="C284" s="86" t="str">
        <x:v>Rafael Pereira Moreira</x:v>
      </x:c>
      <x:c r="D284" s="86" t="n">
        <x:v>2</x:v>
      </x:c>
      <x:c r="E284" s="86" t="n">
        <x:v>1</x:v>
      </x:c>
      <x:c r="F284" s="86" t="n">
        <x:v>1</x:v>
      </x:c>
      <x:c r="G284" s="95" t="n">
        <x:v>45821</x:v>
      </x:c>
      <x:c r="H284" s="95"/>
      <x:c r="I284" s="86" t="str">
        <x:v>CLT</x:v>
      </x:c>
      <x:c r="J284" s="86" t="str">
        <x:v>Híbrido</x:v>
      </x:c>
      <x:c r="K284" s="91" t="n">
        <x:v>3370.93</x:v>
      </x:c>
      <x:c r="L284" s="86" t="str">
        <x:v>Ativo</x:v>
      </x:c>
      <x:c r="M284" s="87" t="n">
        <x:v>78</x:v>
      </x:c>
    </x:row>
    <x:row r="285">
      <x:c r="A285" s="85" t="n">
        <x:v>284</x:v>
      </x:c>
      <x:c r="B285" s="86" t="str">
        <x:v>F00284</x:v>
      </x:c>
      <x:c r="C285" s="86" t="str">
        <x:v>Carlos Ribeiro Ferreira</x:v>
      </x:c>
      <x:c r="D285" s="86" t="n">
        <x:v>2</x:v>
      </x:c>
      <x:c r="E285" s="86" t="n">
        <x:v>1</x:v>
      </x:c>
      <x:c r="F285" s="86" t="n">
        <x:v>1</x:v>
      </x:c>
      <x:c r="G285" s="95" t="n">
        <x:v>45039</x:v>
      </x:c>
      <x:c r="H285" s="95"/>
      <x:c r="I285" s="86" t="str">
        <x:v>CLT</x:v>
      </x:c>
      <x:c r="J285" s="86" t="str">
        <x:v>Presencial</x:v>
      </x:c>
      <x:c r="K285" s="91" t="n">
        <x:v>2279.06</x:v>
      </x:c>
      <x:c r="L285" s="86" t="str">
        <x:v>Ativo</x:v>
      </x:c>
      <x:c r="M285" s="87" t="n">
        <x:v>185</x:v>
      </x:c>
    </x:row>
    <x:row r="286">
      <x:c r="A286" s="85" t="n">
        <x:v>285</x:v>
      </x:c>
      <x:c r="B286" s="86" t="str">
        <x:v>F00285</x:v>
      </x:c>
      <x:c r="C286" s="86" t="str">
        <x:v>Lucas Silva Rodrigues</x:v>
      </x:c>
      <x:c r="D286" s="86" t="n">
        <x:v>2</x:v>
      </x:c>
      <x:c r="E286" s="86" t="n">
        <x:v>1</x:v>
      </x:c>
      <x:c r="F286" s="86" t="n">
        <x:v>1</x:v>
      </x:c>
      <x:c r="G286" s="95" t="n">
        <x:v>45659</x:v>
      </x:c>
      <x:c r="H286" s="95"/>
      <x:c r="I286" s="86" t="str">
        <x:v>CLT</x:v>
      </x:c>
      <x:c r="J286" s="86" t="str">
        <x:v>Híbrido</x:v>
      </x:c>
      <x:c r="K286" s="91" t="n">
        <x:v>3125.88</x:v>
      </x:c>
      <x:c r="L286" s="86" t="str">
        <x:v>Ativo</x:v>
      </x:c>
      <x:c r="M286" s="87" t="n">
        <x:v>396</x:v>
      </x:c>
    </x:row>
    <x:row r="287">
      <x:c r="A287" s="85" t="n">
        <x:v>286</x:v>
      </x:c>
      <x:c r="B287" s="86" t="str">
        <x:v>F00286</x:v>
      </x:c>
      <x:c r="C287" s="86" t="str">
        <x:v>Isabela Mendes Ferreira</x:v>
      </x:c>
      <x:c r="D287" s="86" t="n">
        <x:v>2</x:v>
      </x:c>
      <x:c r="E287" s="86" t="n">
        <x:v>1</x:v>
      </x:c>
      <x:c r="F287" s="86" t="n">
        <x:v>1</x:v>
      </x:c>
      <x:c r="G287" s="95" t="n">
        <x:v>45419</x:v>
      </x:c>
      <x:c r="H287" s="95"/>
      <x:c r="I287" s="86" t="str">
        <x:v>CLT</x:v>
      </x:c>
      <x:c r="J287" s="86" t="str">
        <x:v>Presencial</x:v>
      </x:c>
      <x:c r="K287" s="91" t="n">
        <x:v>2942.21</x:v>
      </x:c>
      <x:c r="L287" s="86" t="str">
        <x:v>Ativo</x:v>
      </x:c>
      <x:c r="M287" s="87" t="n">
        <x:v>202</x:v>
      </x:c>
    </x:row>
    <x:row r="288">
      <x:c r="A288" s="85" t="n">
        <x:v>287</x:v>
      </x:c>
      <x:c r="B288" s="86" t="str">
        <x:v>F00287</x:v>
      </x:c>
      <x:c r="C288" s="86" t="str">
        <x:v>Helena Ferreira Silva</x:v>
      </x:c>
      <x:c r="D288" s="86" t="n">
        <x:v>2</x:v>
      </x:c>
      <x:c r="E288" s="86" t="n">
        <x:v>5</x:v>
      </x:c>
      <x:c r="F288" s="86" t="n">
        <x:v>5</x:v>
      </x:c>
      <x:c r="G288" s="95" t="n">
        <x:v>45123</x:v>
      </x:c>
      <x:c r="H288" s="95"/>
      <x:c r="I288" s="86" t="str">
        <x:v>Temporário</x:v>
      </x:c>
      <x:c r="J288" s="86" t="str">
        <x:v>Presencial</x:v>
      </x:c>
      <x:c r="K288" s="91" t="n">
        <x:v>9710.05</x:v>
      </x:c>
      <x:c r="L288" s="86" t="str">
        <x:v>Ativo</x:v>
      </x:c>
      <x:c r="M288" s="87" t="n">
        <x:v>39</x:v>
      </x:c>
    </x:row>
    <x:row r="289">
      <x:c r="A289" s="85" t="n">
        <x:v>288</x:v>
      </x:c>
      <x:c r="B289" s="86" t="str">
        <x:v>F00288</x:v>
      </x:c>
      <x:c r="C289" s="86" t="str">
        <x:v>Renata Cardoso Teixeira</x:v>
      </x:c>
      <x:c r="D289" s="86" t="n">
        <x:v>3</x:v>
      </x:c>
      <x:c r="E289" s="86" t="n">
        <x:v>5</x:v>
      </x:c>
      <x:c r="F289" s="86" t="n">
        <x:v>5</x:v>
      </x:c>
      <x:c r="G289" s="95" t="n">
        <x:v>45121</x:v>
      </x:c>
      <x:c r="H289" s="95"/>
      <x:c r="I289" s="86" t="str">
        <x:v>CLT</x:v>
      </x:c>
      <x:c r="J289" s="86" t="str">
        <x:v>Híbrido</x:v>
      </x:c>
      <x:c r="K289" s="91" t="n">
        <x:v>9019.18</x:v>
      </x:c>
      <x:c r="L289" s="86" t="str">
        <x:v>Ativo</x:v>
      </x:c>
      <x:c r="M289" s="87" t="n">
        <x:v>39</x:v>
      </x:c>
    </x:row>
    <x:row r="290">
      <x:c r="A290" s="85" t="n">
        <x:v>289</x:v>
      </x:c>
      <x:c r="B290" s="86" t="str">
        <x:v>F00289</x:v>
      </x:c>
      <x:c r="C290" s="86" t="str">
        <x:v>Fernanda Oliveira Barbosa</x:v>
      </x:c>
      <x:c r="D290" s="86" t="n">
        <x:v>3</x:v>
      </x:c>
      <x:c r="E290" s="86" t="n">
        <x:v>1</x:v>
      </x:c>
      <x:c r="F290" s="86" t="n">
        <x:v>1</x:v>
      </x:c>
      <x:c r="G290" s="95" t="n">
        <x:v>45853</x:v>
      </x:c>
      <x:c r="H290" s="95"/>
      <x:c r="I290" s="86" t="str">
        <x:v>CLT</x:v>
      </x:c>
      <x:c r="J290" s="86" t="str">
        <x:v>Presencial</x:v>
      </x:c>
      <x:c r="K290" s="91" t="n">
        <x:v>2742.94</x:v>
      </x:c>
      <x:c r="L290" s="86" t="str">
        <x:v>Ativo</x:v>
      </x:c>
      <x:c r="M290" s="87" t="n">
        <x:v>85</x:v>
      </x:c>
    </x:row>
    <x:row r="291">
      <x:c r="A291" s="85" t="n">
        <x:v>290</x:v>
      </x:c>
      <x:c r="B291" s="86" t="str">
        <x:v>F00290</x:v>
      </x:c>
      <x:c r="C291" s="86" t="str">
        <x:v>Gabriela Barbosa Lima</x:v>
      </x:c>
      <x:c r="D291" s="86" t="n">
        <x:v>3</x:v>
      </x:c>
      <x:c r="E291" s="86" t="n">
        <x:v>3</x:v>
      </x:c>
      <x:c r="F291" s="86" t="n">
        <x:v>3</x:v>
      </x:c>
      <x:c r="G291" s="95" t="n">
        <x:v>45592</x:v>
      </x:c>
      <x:c r="H291" s="95"/>
      <x:c r="I291" s="86" t="str">
        <x:v>CLT</x:v>
      </x:c>
      <x:c r="J291" s="86" t="str">
        <x:v>Presencial</x:v>
      </x:c>
      <x:c r="K291" s="91" t="n">
        <x:v>4497.69</x:v>
      </x:c>
      <x:c r="L291" s="86" t="str">
        <x:v>Ativo</x:v>
      </x:c>
      <x:c r="M291" s="87" t="n">
        <x:v>26</x:v>
      </x:c>
    </x:row>
    <x:row r="292">
      <x:c r="A292" s="85" t="n">
        <x:v>291</x:v>
      </x:c>
      <x:c r="B292" s="86" t="str">
        <x:v>F00291</x:v>
      </x:c>
      <x:c r="C292" s="86" t="str">
        <x:v>Renata Costa Souza</x:v>
      </x:c>
      <x:c r="D292" s="86" t="n">
        <x:v>4</x:v>
      </x:c>
      <x:c r="E292" s="86" t="n">
        <x:v>8</x:v>
      </x:c>
      <x:c r="F292" s="86" t="n">
        <x:v>8</x:v>
      </x:c>
      <x:c r="G292" s="95" t="n">
        <x:v>45682</x:v>
      </x:c>
      <x:c r="H292" s="95" t="n">
        <x:v>45915</x:v>
      </x:c>
      <x:c r="I292" s="86" t="str">
        <x:v>Temporário</x:v>
      </x:c>
      <x:c r="J292" s="86" t="str">
        <x:v>Híbrido</x:v>
      </x:c>
      <x:c r="K292" s="91" t="n">
        <x:v>4979.13</x:v>
      </x:c>
      <x:c r="L292" s="86" t="str">
        <x:v>Desligado</x:v>
      </x:c>
      <x:c r="M292" s="87" t="n">
        <x:v>86</x:v>
      </x:c>
    </x:row>
    <x:row r="293">
      <x:c r="A293" s="85" t="n">
        <x:v>292</x:v>
      </x:c>
      <x:c r="B293" s="86" t="str">
        <x:v>F00292</x:v>
      </x:c>
      <x:c r="C293" s="86" t="str">
        <x:v>Felipe Gomes Almeida</x:v>
      </x:c>
      <x:c r="D293" s="86" t="n">
        <x:v>4</x:v>
      </x:c>
      <x:c r="E293" s="86" t="n">
        <x:v>7</x:v>
      </x:c>
      <x:c r="F293" s="86" t="n">
        <x:v>7</x:v>
      </x:c>
      <x:c r="G293" s="95" t="n">
        <x:v>45114</x:v>
      </x:c>
      <x:c r="H293" s="95"/>
      <x:c r="I293" s="86" t="str">
        <x:v>CLT</x:v>
      </x:c>
      <x:c r="J293" s="86" t="str">
        <x:v>Presencial</x:v>
      </x:c>
      <x:c r="K293" s="91" t="n">
        <x:v>6562.12</x:v>
      </x:c>
      <x:c r="L293" s="86" t="str">
        <x:v>Ativo</x:v>
      </x:c>
      <x:c r="M293" s="87" t="n">
        <x:v>156</x:v>
      </x:c>
    </x:row>
    <x:row r="294">
      <x:c r="A294" s="85" t="n">
        <x:v>293</x:v>
      </x:c>
      <x:c r="B294" s="86" t="str">
        <x:v>F00293</x:v>
      </x:c>
      <x:c r="C294" s="86" t="str">
        <x:v>Gabriela Santos Almeida</x:v>
      </x:c>
      <x:c r="D294" s="86" t="n">
        <x:v>2</x:v>
      </x:c>
      <x:c r="E294" s="86" t="n">
        <x:v>1</x:v>
      </x:c>
      <x:c r="F294" s="86" t="n">
        <x:v>1</x:v>
      </x:c>
      <x:c r="G294" s="95" t="n">
        <x:v>45011</x:v>
      </x:c>
      <x:c r="H294" s="95"/>
      <x:c r="I294" s="86" t="str">
        <x:v>CLT</x:v>
      </x:c>
      <x:c r="J294" s="86" t="str">
        <x:v>Presencial</x:v>
      </x:c>
      <x:c r="K294" s="91" t="n">
        <x:v>2910.25</x:v>
      </x:c>
      <x:c r="L294" s="86" t="str">
        <x:v>Ativo</x:v>
      </x:c>
      <x:c r="M294" s="87" t="n">
        <x:v>371</x:v>
      </x:c>
    </x:row>
    <x:row r="295">
      <x:c r="A295" s="85" t="n">
        <x:v>294</x:v>
      </x:c>
      <x:c r="B295" s="86" t="str">
        <x:v>F00294</x:v>
      </x:c>
      <x:c r="C295" s="86" t="str">
        <x:v>Fernanda Nascimento Santos</x:v>
      </x:c>
      <x:c r="D295" s="86" t="n">
        <x:v>3</x:v>
      </x:c>
      <x:c r="E295" s="86" t="n">
        <x:v>2</x:v>
      </x:c>
      <x:c r="F295" s="86" t="n">
        <x:v>2</x:v>
      </x:c>
      <x:c r="G295" s="95" t="n">
        <x:v>45800</x:v>
      </x:c>
      <x:c r="H295" s="95"/>
      <x:c r="I295" s="86" t="str">
        <x:v>CLT</x:v>
      </x:c>
      <x:c r="J295" s="86" t="str">
        <x:v>Presencial</x:v>
      </x:c>
      <x:c r="K295" s="91" t="n">
        <x:v>3866.2</x:v>
      </x:c>
      <x:c r="L295" s="86" t="str">
        <x:v>Ativo</x:v>
      </x:c>
      <x:c r="M295" s="87" t="n">
        <x:v>148</x:v>
      </x:c>
    </x:row>
    <x:row r="296">
      <x:c r="A296" s="85" t="n">
        <x:v>295</x:v>
      </x:c>
      <x:c r="B296" s="86" t="str">
        <x:v>F00295</x:v>
      </x:c>
      <x:c r="C296" s="86" t="str">
        <x:v>Beatriz Lima Costa</x:v>
      </x:c>
      <x:c r="D296" s="86" t="n">
        <x:v>3</x:v>
      </x:c>
      <x:c r="E296" s="86" t="n">
        <x:v>9</x:v>
      </x:c>
      <x:c r="F296" s="86" t="n">
        <x:v>9</x:v>
      </x:c>
      <x:c r="G296" s="95" t="n">
        <x:v>45248</x:v>
      </x:c>
      <x:c r="H296" s="95"/>
      <x:c r="I296" s="86" t="str">
        <x:v>CLT</x:v>
      </x:c>
      <x:c r="J296" s="86" t="str">
        <x:v>Presencial</x:v>
      </x:c>
      <x:c r="K296" s="91" t="n">
        <x:v>7336.99</x:v>
      </x:c>
      <x:c r="L296" s="86" t="str">
        <x:v>Ativo</x:v>
      </x:c>
      <x:c r="M296" s="87" t="n">
        <x:v>342</x:v>
      </x:c>
    </x:row>
    <x:row r="297">
      <x:c r="A297" s="85" t="n">
        <x:v>296</x:v>
      </x:c>
      <x:c r="B297" s="86" t="str">
        <x:v>F00296</x:v>
      </x:c>
      <x:c r="C297" s="86" t="str">
        <x:v>Marcelo Lima Gomes</x:v>
      </x:c>
      <x:c r="D297" s="86" t="n">
        <x:v>2</x:v>
      </x:c>
      <x:c r="E297" s="86" t="n">
        <x:v>3</x:v>
      </x:c>
      <x:c r="F297" s="86" t="n">
        <x:v>3</x:v>
      </x:c>
      <x:c r="G297" s="95" t="n">
        <x:v>45082</x:v>
      </x:c>
      <x:c r="H297" s="95"/>
      <x:c r="I297" s="86" t="str">
        <x:v>CLT</x:v>
      </x:c>
      <x:c r="J297" s="86" t="str">
        <x:v>Híbrido</x:v>
      </x:c>
      <x:c r="K297" s="91" t="n">
        <x:v>4500.28</x:v>
      </x:c>
      <x:c r="L297" s="86" t="str">
        <x:v>Ativo</x:v>
      </x:c>
      <x:c r="M297" s="87" t="n">
        <x:v>26</x:v>
      </x:c>
    </x:row>
    <x:row r="298">
      <x:c r="A298" s="85" t="n">
        <x:v>297</x:v>
      </x:c>
      <x:c r="B298" s="86" t="str">
        <x:v>F00297</x:v>
      </x:c>
      <x:c r="C298" s="86" t="str">
        <x:v>Camila Ribeiro Barbosa</x:v>
      </x:c>
      <x:c r="D298" s="86" t="n">
        <x:v>2</x:v>
      </x:c>
      <x:c r="E298" s="86" t="n">
        <x:v>3</x:v>
      </x:c>
      <x:c r="F298" s="86" t="n">
        <x:v>3</x:v>
      </x:c>
      <x:c r="G298" s="95" t="n">
        <x:v>45659</x:v>
      </x:c>
      <x:c r="H298" s="95"/>
      <x:c r="I298" s="86" t="str">
        <x:v>CLT</x:v>
      </x:c>
      <x:c r="J298" s="86" t="str">
        <x:v>Remoto</x:v>
      </x:c>
      <x:c r="K298" s="91" t="n">
        <x:v>4171.04</x:v>
      </x:c>
      <x:c r="L298" s="86" t="str">
        <x:v>Ativo</x:v>
      </x:c>
      <x:c r="M298" s="87" t="n">
        <x:v>26</x:v>
      </x:c>
    </x:row>
    <x:row r="299">
      <x:c r="A299" s="85" t="n">
        <x:v>298</x:v>
      </x:c>
      <x:c r="B299" s="86" t="str">
        <x:v>F00298</x:v>
      </x:c>
      <x:c r="C299" s="86" t="str">
        <x:v>Sofia Rodrigues Oliveira</x:v>
      </x:c>
      <x:c r="D299" s="86" t="n">
        <x:v>4</x:v>
      </x:c>
      <x:c r="E299" s="86" t="n">
        <x:v>8</x:v>
      </x:c>
      <x:c r="F299" s="86" t="n">
        <x:v>20</x:v>
      </x:c>
      <x:c r="G299" s="95" t="n">
        <x:v>45241</x:v>
      </x:c>
      <x:c r="H299" s="95" t="n">
        <x:v>45710</x:v>
      </x:c>
      <x:c r="I299" s="86" t="str">
        <x:v>CLT</x:v>
      </x:c>
      <x:c r="J299" s="86" t="str">
        <x:v>Presencial</x:v>
      </x:c>
      <x:c r="K299" s="91" t="n">
        <x:v>2975.75</x:v>
      </x:c>
      <x:c r="L299" s="86" t="str">
        <x:v>Desligado</x:v>
      </x:c>
      <x:c r="M299" s="87" t="n">
        <x:v>64</x:v>
      </x:c>
    </x:row>
    <x:row r="300">
      <x:c r="A300" s="85" t="n">
        <x:v>299</x:v>
      </x:c>
      <x:c r="B300" s="86" t="str">
        <x:v>F00299</x:v>
      </x:c>
      <x:c r="C300" s="86" t="str">
        <x:v>Patrícia Souza Mendes</x:v>
      </x:c>
      <x:c r="D300" s="86" t="n">
        <x:v>2</x:v>
      </x:c>
      <x:c r="E300" s="86" t="n">
        <x:v>1</x:v>
      </x:c>
      <x:c r="F300" s="86" t="n">
        <x:v>1</x:v>
      </x:c>
      <x:c r="G300" s="95" t="n">
        <x:v>44965</x:v>
      </x:c>
      <x:c r="H300" s="95"/>
      <x:c r="I300" s="86" t="str">
        <x:v>CLT</x:v>
      </x:c>
      <x:c r="J300" s="86" t="str">
        <x:v>Presencial</x:v>
      </x:c>
      <x:c r="K300" s="91" t="n">
        <x:v>2838.1</x:v>
      </x:c>
      <x:c r="L300" s="86" t="str">
        <x:v>Ativo</x:v>
      </x:c>
      <x:c r="M300" s="87" t="n">
        <x:v>78</x:v>
      </x:c>
    </x:row>
    <x:row r="301">
      <x:c r="A301" s="85" t="n">
        <x:v>300</x:v>
      </x:c>
      <x:c r="B301" s="86" t="str">
        <x:v>F00300</x:v>
      </x:c>
      <x:c r="C301" s="86" t="str">
        <x:v>Rafael Barbosa Costa</x:v>
      </x:c>
      <x:c r="D301" s="86" t="n">
        <x:v>4</x:v>
      </x:c>
      <x:c r="E301" s="86" t="n">
        <x:v>8</x:v>
      </x:c>
      <x:c r="F301" s="86" t="n">
        <x:v>8</x:v>
      </x:c>
      <x:c r="G301" s="95" t="n">
        <x:v>44941</x:v>
      </x:c>
      <x:c r="H301" s="95"/>
      <x:c r="I301" s="86" t="str">
        <x:v>CLT</x:v>
      </x:c>
      <x:c r="J301" s="86" t="str">
        <x:v>Presencial</x:v>
      </x:c>
      <x:c r="K301" s="91" t="n">
        <x:v>4976.18</x:v>
      </x:c>
      <x:c r="L301" s="86" t="str">
        <x:v>Ativo</x:v>
      </x:c>
      <x:c r="M301" s="87" t="n">
        <x:v>64</x:v>
      </x:c>
    </x:row>
    <x:row r="302">
      <x:c r="A302" s="85" t="n">
        <x:v>301</x:v>
      </x:c>
      <x:c r="B302" s="86" t="str">
        <x:v>F00301</x:v>
      </x:c>
      <x:c r="C302" s="86" t="str">
        <x:v>Igor Barbosa Moreira</x:v>
      </x:c>
      <x:c r="D302" s="86" t="n">
        <x:v>4</x:v>
      </x:c>
      <x:c r="E302" s="86" t="n">
        <x:v>6</x:v>
      </x:c>
      <x:c r="F302" s="86" t="n">
        <x:v>6</x:v>
      </x:c>
      <x:c r="G302" s="95" t="n">
        <x:v>45709</x:v>
      </x:c>
      <x:c r="H302" s="95"/>
      <x:c r="I302" s="86" t="str">
        <x:v>CLT</x:v>
      </x:c>
      <x:c r="J302" s="86" t="str">
        <x:v>Presencial</x:v>
      </x:c>
      <x:c r="K302" s="91" t="n">
        <x:v>6567.92</x:v>
      </x:c>
      <x:c r="L302" s="86" t="str">
        <x:v>Ativo</x:v>
      </x:c>
      <x:c r="M302" s="87" t="n">
        <x:v>116</x:v>
      </x:c>
    </x:row>
    <x:row r="303">
      <x:c r="A303" s="85" t="n">
        <x:v>302</x:v>
      </x:c>
      <x:c r="B303" s="86" t="str">
        <x:v>F00302</x:v>
      </x:c>
      <x:c r="C303" s="86" t="str">
        <x:v>Carolina Teixeira Costa</x:v>
      </x:c>
      <x:c r="D303" s="86" t="n">
        <x:v>1</x:v>
      </x:c>
      <x:c r="E303" s="86" t="n">
        <x:v>3</x:v>
      </x:c>
      <x:c r="F303" s="86" t="n">
        <x:v>3</x:v>
      </x:c>
      <x:c r="G303" s="95" t="n">
        <x:v>45235</x:v>
      </x:c>
      <x:c r="H303" s="95"/>
      <x:c r="I303" s="86" t="str">
        <x:v>CLT</x:v>
      </x:c>
      <x:c r="J303" s="86" t="str">
        <x:v>Híbrido</x:v>
      </x:c>
      <x:c r="K303" s="91" t="n">
        <x:v>4019.37</x:v>
      </x:c>
      <x:c r="L303" s="86" t="str">
        <x:v>Ativo</x:v>
      </x:c>
      <x:c r="M303" s="87" t="n">
        <x:v>26</x:v>
      </x:c>
    </x:row>
    <x:row r="304">
      <x:c r="A304" s="85" t="n">
        <x:v>303</x:v>
      </x:c>
      <x:c r="B304" s="86" t="str">
        <x:v>F00303</x:v>
      </x:c>
      <x:c r="C304" s="86" t="str">
        <x:v>Henrique Rocha Silva</x:v>
      </x:c>
      <x:c r="D304" s="86" t="n">
        <x:v>1</x:v>
      </x:c>
      <x:c r="E304" s="86" t="n">
        <x:v>1</x:v>
      </x:c>
      <x:c r="F304" s="86" t="n">
        <x:v>1</x:v>
      </x:c>
      <x:c r="G304" s="95" t="n">
        <x:v>45569</x:v>
      </x:c>
      <x:c r="H304" s="95"/>
      <x:c r="I304" s="86" t="str">
        <x:v>CLT</x:v>
      </x:c>
      <x:c r="J304" s="86" t="str">
        <x:v>Presencial</x:v>
      </x:c>
      <x:c r="K304" s="91" t="n">
        <x:v>3305.26</x:v>
      </x:c>
      <x:c r="L304" s="86" t="str">
        <x:v>Ativo</x:v>
      </x:c>
      <x:c r="M304" s="87" t="n">
        <x:v>202</x:v>
      </x:c>
    </x:row>
    <x:row r="305">
      <x:c r="A305" s="85" t="n">
        <x:v>304</x:v>
      </x:c>
      <x:c r="B305" s="86" t="str">
        <x:v>F00304</x:v>
      </x:c>
      <x:c r="C305" s="86" t="str">
        <x:v>Patrícia Oliveira Rodrigues</x:v>
      </x:c>
      <x:c r="D305" s="86" t="n">
        <x:v>1</x:v>
      </x:c>
      <x:c r="E305" s="86" t="n">
        <x:v>1</x:v>
      </x:c>
      <x:c r="F305" s="86" t="n">
        <x:v>1</x:v>
      </x:c>
      <x:c r="G305" s="95" t="n">
        <x:v>45192</x:v>
      </x:c>
      <x:c r="H305" s="95"/>
      <x:c r="I305" s="86" t="str">
        <x:v>CLT</x:v>
      </x:c>
      <x:c r="J305" s="86" t="str">
        <x:v>Híbrido</x:v>
      </x:c>
      <x:c r="K305" s="91" t="n">
        <x:v>2333.92</x:v>
      </x:c>
      <x:c r="L305" s="86" t="str">
        <x:v>Ativo</x:v>
      </x:c>
      <x:c r="M305" s="87" t="n">
        <x:v>85</x:v>
      </x:c>
    </x:row>
    <x:row r="306">
      <x:c r="A306" s="85" t="n">
        <x:v>305</x:v>
      </x:c>
      <x:c r="B306" s="86" t="str">
        <x:v>F00305</x:v>
      </x:c>
      <x:c r="C306" s="86" t="str">
        <x:v>Eduardo Gomes Gomes</x:v>
      </x:c>
      <x:c r="D306" s="86" t="n">
        <x:v>1</x:v>
      </x:c>
      <x:c r="E306" s="86" t="n">
        <x:v>1</x:v>
      </x:c>
      <x:c r="F306" s="86" t="n">
        <x:v>1</x:v>
      </x:c>
      <x:c r="G306" s="95" t="n">
        <x:v>45051</x:v>
      </x:c>
      <x:c r="H306" s="95"/>
      <x:c r="I306" s="86" t="str">
        <x:v>CLT</x:v>
      </x:c>
      <x:c r="J306" s="86" t="str">
        <x:v>Presencial</x:v>
      </x:c>
      <x:c r="K306" s="91" t="n">
        <x:v>3358.9</x:v>
      </x:c>
      <x:c r="L306" s="86" t="str">
        <x:v>Ativo</x:v>
      </x:c>
      <x:c r="M306" s="87" t="n">
        <x:v>202</x:v>
      </x:c>
    </x:row>
    <x:row r="307">
      <x:c r="A307" s="85" t="n">
        <x:v>306</x:v>
      </x:c>
      <x:c r="B307" s="86" t="str">
        <x:v>F00306</x:v>
      </x:c>
      <x:c r="C307" s="86" t="str">
        <x:v>Helena Almeida Moreira</x:v>
      </x:c>
      <x:c r="D307" s="86" t="n">
        <x:v>1</x:v>
      </x:c>
      <x:c r="E307" s="86" t="n">
        <x:v>1</x:v>
      </x:c>
      <x:c r="F307" s="86" t="n">
        <x:v>1</x:v>
      </x:c>
      <x:c r="G307" s="95" t="n">
        <x:v>45960</x:v>
      </x:c>
      <x:c r="H307" s="95"/>
      <x:c r="I307" s="86" t="str">
        <x:v>CLT</x:v>
      </x:c>
      <x:c r="J307" s="86" t="str">
        <x:v>Presencial</x:v>
      </x:c>
      <x:c r="K307" s="91" t="n">
        <x:v>2995.32</x:v>
      </x:c>
      <x:c r="L307" s="86" t="str">
        <x:v>Ativo</x:v>
      </x:c>
      <x:c r="M307" s="87" t="n">
        <x:v>396</x:v>
      </x:c>
    </x:row>
    <x:row r="308">
      <x:c r="A308" s="85" t="n">
        <x:v>307</x:v>
      </x:c>
      <x:c r="B308" s="86" t="str">
        <x:v>F00307</x:v>
      </x:c>
      <x:c r="C308" s="86" t="str">
        <x:v>Mariana Lima Rodrigues</x:v>
      </x:c>
      <x:c r="D308" s="86" t="n">
        <x:v>3</x:v>
      </x:c>
      <x:c r="E308" s="86" t="n">
        <x:v>3</x:v>
      </x:c>
      <x:c r="F308" s="86" t="n">
        <x:v>3</x:v>
      </x:c>
      <x:c r="G308" s="95" t="n">
        <x:v>45280</x:v>
      </x:c>
      <x:c r="H308" s="95"/>
      <x:c r="I308" s="86" t="str">
        <x:v>CLT</x:v>
      </x:c>
      <x:c r="J308" s="86" t="str">
        <x:v>Híbrido</x:v>
      </x:c>
      <x:c r="K308" s="91" t="n">
        <x:v>4331.78</x:v>
      </x:c>
      <x:c r="L308" s="86" t="str">
        <x:v>Ativo</x:v>
      </x:c>
      <x:c r="M308" s="87" t="n">
        <x:v>177</x:v>
      </x:c>
    </x:row>
    <x:row r="309">
      <x:c r="A309" s="85" t="n">
        <x:v>308</x:v>
      </x:c>
      <x:c r="B309" s="86" t="str">
        <x:v>F00308</x:v>
      </x:c>
      <x:c r="C309" s="86" t="str">
        <x:v>Felipe Barbosa Teixeira</x:v>
      </x:c>
      <x:c r="D309" s="86" t="n">
        <x:v>1</x:v>
      </x:c>
      <x:c r="E309" s="86" t="n">
        <x:v>3</x:v>
      </x:c>
      <x:c r="F309" s="86" t="n">
        <x:v>3</x:v>
      </x:c>
      <x:c r="G309" s="95" t="n">
        <x:v>45760</x:v>
      </x:c>
      <x:c r="H309" s="95"/>
      <x:c r="I309" s="86" t="str">
        <x:v>CLT</x:v>
      </x:c>
      <x:c r="J309" s="86" t="str">
        <x:v>Presencial</x:v>
      </x:c>
      <x:c r="K309" s="91" t="n">
        <x:v>3044.17</x:v>
      </x:c>
      <x:c r="L309" s="86" t="str">
        <x:v>Ativo</x:v>
      </x:c>
      <x:c r="M309" s="87" t="n">
        <x:v>26</x:v>
      </x:c>
    </x:row>
    <x:row r="310">
      <x:c r="A310" s="85" t="n">
        <x:v>309</x:v>
      </x:c>
      <x:c r="B310" s="86" t="str">
        <x:v>F00309</x:v>
      </x:c>
      <x:c r="C310" s="86" t="str">
        <x:v>Helena Pereira Silva</x:v>
      </x:c>
      <x:c r="D310" s="86" t="n">
        <x:v>1</x:v>
      </x:c>
      <x:c r="E310" s="86" t="n">
        <x:v>10</x:v>
      </x:c>
      <x:c r="F310" s="86" t="n">
        <x:v>20</x:v>
      </x:c>
      <x:c r="G310" s="95" t="n">
        <x:v>45828</x:v>
      </x:c>
      <x:c r="H310" s="95"/>
      <x:c r="I310" s="86" t="str">
        <x:v>Estágio</x:v>
      </x:c>
      <x:c r="J310" s="86" t="str">
        <x:v>Híbrido</x:v>
      </x:c>
      <x:c r="K310" s="91" t="n">
        <x:v>3434.66</x:v>
      </x:c>
      <x:c r="L310" s="86" t="str">
        <x:v>Ativo</x:v>
      </x:c>
      <x:c r="M310" s="87" t="n">
        <x:v>24</x:v>
      </x:c>
    </x:row>
    <x:row r="311">
      <x:c r="A311" s="85" t="n">
        <x:v>310</x:v>
      </x:c>
      <x:c r="B311" s="86" t="str">
        <x:v>F00310</x:v>
      </x:c>
      <x:c r="C311" s="86" t="str">
        <x:v>Diego Martins Ribeiro</x:v>
      </x:c>
      <x:c r="D311" s="86" t="n">
        <x:v>2</x:v>
      </x:c>
      <x:c r="E311" s="86" t="n">
        <x:v>1</x:v>
      </x:c>
      <x:c r="F311" s="86" t="n">
        <x:v>1</x:v>
      </x:c>
      <x:c r="G311" s="95" t="n">
        <x:v>45693</x:v>
      </x:c>
      <x:c r="H311" s="95"/>
      <x:c r="I311" s="86" t="str">
        <x:v>CLT</x:v>
      </x:c>
      <x:c r="J311" s="86" t="str">
        <x:v>Presencial</x:v>
      </x:c>
      <x:c r="K311" s="91" t="n">
        <x:v>2713.75</x:v>
      </x:c>
      <x:c r="L311" s="86" t="str">
        <x:v>Ativo</x:v>
      </x:c>
      <x:c r="M311" s="87" t="n">
        <x:v>371</x:v>
      </x:c>
    </x:row>
    <x:row r="312">
      <x:c r="A312" s="85" t="n">
        <x:v>311</x:v>
      </x:c>
      <x:c r="B312" s="86" t="str">
        <x:v>F00311</x:v>
      </x:c>
      <x:c r="C312" s="86" t="str">
        <x:v>Carolina Oliveira Rocha</x:v>
      </x:c>
      <x:c r="D312" s="86" t="n">
        <x:v>3</x:v>
      </x:c>
      <x:c r="E312" s="86" t="n">
        <x:v>5</x:v>
      </x:c>
      <x:c r="F312" s="86" t="n">
        <x:v>15</x:v>
      </x:c>
      <x:c r="G312" s="95" t="n">
        <x:v>45433</x:v>
      </x:c>
      <x:c r="H312" s="95" t="n">
        <x:v>45659</x:v>
      </x:c>
      <x:c r="I312" s="86" t="str">
        <x:v>CLT</x:v>
      </x:c>
      <x:c r="J312" s="86" t="str">
        <x:v>Presencial</x:v>
      </x:c>
      <x:c r="K312" s="91" t="n">
        <x:v>16263.79</x:v>
      </x:c>
      <x:c r="L312" s="86" t="str">
        <x:v>Desligado</x:v>
      </x:c>
      <x:c r="M312" s="87" t="n">
        <x:v>39</x:v>
      </x:c>
    </x:row>
    <x:row r="313">
      <x:c r="A313" s="85" t="n">
        <x:v>312</x:v>
      </x:c>
      <x:c r="B313" s="86" t="str">
        <x:v>F00312</x:v>
      </x:c>
      <x:c r="C313" s="86" t="str">
        <x:v>Rafael Teixeira Moreira</x:v>
      </x:c>
      <x:c r="D313" s="86" t="n">
        <x:v>2</x:v>
      </x:c>
      <x:c r="E313" s="86" t="n">
        <x:v>10</x:v>
      </x:c>
      <x:c r="F313" s="86" t="n">
        <x:v>20</x:v>
      </x:c>
      <x:c r="G313" s="95" t="n">
        <x:v>45179</x:v>
      </x:c>
      <x:c r="H313" s="95"/>
      <x:c r="I313" s="86" t="str">
        <x:v>Temporário</x:v>
      </x:c>
      <x:c r="J313" s="86" t="str">
        <x:v>Presencial</x:v>
      </x:c>
      <x:c r="K313" s="91" t="n">
        <x:v>3401.29</x:v>
      </x:c>
      <x:c r="L313" s="86" t="str">
        <x:v>Ativo</x:v>
      </x:c>
      <x:c r="M313" s="87" t="n">
        <x:v>24</x:v>
      </x:c>
    </x:row>
    <x:row r="314">
      <x:c r="A314" s="85" t="n">
        <x:v>313</x:v>
      </x:c>
      <x:c r="B314" s="86" t="str">
        <x:v>F00313</x:v>
      </x:c>
      <x:c r="C314" s="86" t="str">
        <x:v>Isabela Souza Ribeiro</x:v>
      </x:c>
      <x:c r="D314" s="86" t="n">
        <x:v>2</x:v>
      </x:c>
      <x:c r="E314" s="86" t="n">
        <x:v>1</x:v>
      </x:c>
      <x:c r="F314" s="86" t="n">
        <x:v>1</x:v>
      </x:c>
      <x:c r="G314" s="95" t="n">
        <x:v>45015</x:v>
      </x:c>
      <x:c r="H314" s="95"/>
      <x:c r="I314" s="86" t="str">
        <x:v>CLT</x:v>
      </x:c>
      <x:c r="J314" s="86" t="str">
        <x:v>Presencial</x:v>
      </x:c>
      <x:c r="K314" s="91" t="n">
        <x:v>2553.84</x:v>
      </x:c>
      <x:c r="L314" s="86" t="str">
        <x:v>Ativo</x:v>
      </x:c>
      <x:c r="M314" s="87" t="n">
        <x:v>85</x:v>
      </x:c>
    </x:row>
    <x:row r="315">
      <x:c r="A315" s="85" t="n">
        <x:v>314</x:v>
      </x:c>
      <x:c r="B315" s="86" t="str">
        <x:v>F00314</x:v>
      </x:c>
      <x:c r="C315" s="86" t="str">
        <x:v>Larissa Rodrigues Cardoso</x:v>
      </x:c>
      <x:c r="D315" s="86" t="n">
        <x:v>4</x:v>
      </x:c>
      <x:c r="E315" s="86" t="n">
        <x:v>8</x:v>
      </x:c>
      <x:c r="F315" s="86" t="n">
        <x:v>8</x:v>
      </x:c>
      <x:c r="G315" s="95" t="n">
        <x:v>45747</x:v>
      </x:c>
      <x:c r="H315" s="95"/>
      <x:c r="I315" s="86" t="str">
        <x:v>CLT</x:v>
      </x:c>
      <x:c r="J315" s="86" t="str">
        <x:v>Presencial</x:v>
      </x:c>
      <x:c r="K315" s="91" t="n">
        <x:v>4666.44</x:v>
      </x:c>
      <x:c r="L315" s="86" t="str">
        <x:v>Ativo</x:v>
      </x:c>
      <x:c r="M315" s="87" t="n">
        <x:v>109</x:v>
      </x:c>
    </x:row>
    <x:row r="316">
      <x:c r="A316" s="85" t="n">
        <x:v>315</x:v>
      </x:c>
      <x:c r="B316" s="86" t="str">
        <x:v>F00315</x:v>
      </x:c>
      <x:c r="C316" s="86" t="str">
        <x:v>Sofia Lima Barbosa</x:v>
      </x:c>
      <x:c r="D316" s="86" t="n">
        <x:v>4</x:v>
      </x:c>
      <x:c r="E316" s="86" t="n">
        <x:v>7</x:v>
      </x:c>
      <x:c r="F316" s="86" t="n">
        <x:v>7</x:v>
      </x:c>
      <x:c r="G316" s="95" t="n">
        <x:v>45055</x:v>
      </x:c>
      <x:c r="H316" s="95" t="n">
        <x:v>45187</x:v>
      </x:c>
      <x:c r="I316" s="86" t="str">
        <x:v>Estágio</x:v>
      </x:c>
      <x:c r="J316" s="86" t="str">
        <x:v>Híbrido</x:v>
      </x:c>
      <x:c r="K316" s="91" t="n">
        <x:v>4308.33</x:v>
      </x:c>
      <x:c r="L316" s="86" t="str">
        <x:v>Desligado</x:v>
      </x:c>
      <x:c r="M316" s="87" t="n">
        <x:v>156</x:v>
      </x:c>
    </x:row>
    <x:row r="317">
      <x:c r="A317" s="85" t="n">
        <x:v>316</x:v>
      </x:c>
      <x:c r="B317" s="86" t="str">
        <x:v>F00316</x:v>
      </x:c>
      <x:c r="C317" s="86" t="str">
        <x:v>Marcelo Souza Oliveira</x:v>
      </x:c>
      <x:c r="D317" s="86" t="n">
        <x:v>4</x:v>
      </x:c>
      <x:c r="E317" s="86" t="n">
        <x:v>6</x:v>
      </x:c>
      <x:c r="F317" s="86" t="n">
        <x:v>6</x:v>
      </x:c>
      <x:c r="G317" s="95" t="n">
        <x:v>45457</x:v>
      </x:c>
      <x:c r="H317" s="95"/>
      <x:c r="I317" s="86" t="str">
        <x:v>CLT</x:v>
      </x:c>
      <x:c r="J317" s="86" t="str">
        <x:v>Híbrido</x:v>
      </x:c>
      <x:c r="K317" s="91" t="n">
        <x:v>6840.99</x:v>
      </x:c>
      <x:c r="L317" s="86" t="str">
        <x:v>Ativo</x:v>
      </x:c>
      <x:c r="M317" s="87" t="n">
        <x:v>116</x:v>
      </x:c>
    </x:row>
    <x:row r="318">
      <x:c r="A318" s="85" t="n">
        <x:v>317</x:v>
      </x:c>
      <x:c r="B318" s="86" t="str">
        <x:v>F00317</x:v>
      </x:c>
      <x:c r="C318" s="86" t="str">
        <x:v>Beatriz Silva Pereira</x:v>
      </x:c>
      <x:c r="D318" s="86" t="n">
        <x:v>3</x:v>
      </x:c>
      <x:c r="E318" s="86" t="n">
        <x:v>5</x:v>
      </x:c>
      <x:c r="F318" s="86" t="n">
        <x:v>5</x:v>
      </x:c>
      <x:c r="G318" s="95" t="n">
        <x:v>45297</x:v>
      </x:c>
      <x:c r="H318" s="95"/>
      <x:c r="I318" s="86" t="str">
        <x:v>CLT</x:v>
      </x:c>
      <x:c r="J318" s="86" t="str">
        <x:v>Presencial</x:v>
      </x:c>
      <x:c r="K318" s="91" t="n">
        <x:v>7339.42</x:v>
      </x:c>
      <x:c r="L318" s="86" t="str">
        <x:v>Ativo</x:v>
      </x:c>
      <x:c r="M318" s="87" t="n">
        <x:v>39</x:v>
      </x:c>
    </x:row>
    <x:row r="319">
      <x:c r="A319" s="85" t="n">
        <x:v>318</x:v>
      </x:c>
      <x:c r="B319" s="86" t="str">
        <x:v>F00318</x:v>
      </x:c>
      <x:c r="C319" s="86" t="str">
        <x:v>Lucas Silva Oliveira</x:v>
      </x:c>
      <x:c r="D319" s="86" t="n">
        <x:v>1</x:v>
      </x:c>
      <x:c r="E319" s="86" t="n">
        <x:v>5</x:v>
      </x:c>
      <x:c r="F319" s="86" t="n">
        <x:v>5</x:v>
      </x:c>
      <x:c r="G319" s="95" t="n">
        <x:v>45571</x:v>
      </x:c>
      <x:c r="H319" s="95"/>
      <x:c r="I319" s="86" t="str">
        <x:v>CLT</x:v>
      </x:c>
      <x:c r="J319" s="86" t="str">
        <x:v>Presencial</x:v>
      </x:c>
      <x:c r="K319" s="91" t="n">
        <x:v>6922.99</x:v>
      </x:c>
      <x:c r="L319" s="86" t="str">
        <x:v>Ativo</x:v>
      </x:c>
      <x:c r="M319" s="87" t="n">
        <x:v>39</x:v>
      </x:c>
    </x:row>
    <x:row r="320">
      <x:c r="A320" s="85" t="n">
        <x:v>319</x:v>
      </x:c>
      <x:c r="B320" s="86" t="str">
        <x:v>F00319</x:v>
      </x:c>
      <x:c r="C320" s="86" t="str">
        <x:v>Renata Ribeiro Cardoso</x:v>
      </x:c>
      <x:c r="D320" s="86" t="n">
        <x:v>4</x:v>
      </x:c>
      <x:c r="E320" s="86" t="n">
        <x:v>8</x:v>
      </x:c>
      <x:c r="F320" s="86" t="n">
        <x:v>8</x:v>
      </x:c>
      <x:c r="G320" s="95" t="n">
        <x:v>45858</x:v>
      </x:c>
      <x:c r="H320" s="95"/>
      <x:c r="I320" s="86" t="str">
        <x:v>CLT</x:v>
      </x:c>
      <x:c r="J320" s="86" t="str">
        <x:v>Presencial</x:v>
      </x:c>
      <x:c r="K320" s="91" t="n">
        <x:v>6284.43</x:v>
      </x:c>
      <x:c r="L320" s="86" t="str">
        <x:v>Ativo</x:v>
      </x:c>
      <x:c r="M320" s="87" t="n">
        <x:v>109</x:v>
      </x:c>
    </x:row>
    <x:row r="321">
      <x:c r="A321" s="85" t="n">
        <x:v>320</x:v>
      </x:c>
      <x:c r="B321" s="86" t="str">
        <x:v>F00320</x:v>
      </x:c>
      <x:c r="C321" s="86" t="str">
        <x:v>Thiago Mendes Gomes</x:v>
      </x:c>
      <x:c r="D321" s="86" t="n">
        <x:v>3</x:v>
      </x:c>
      <x:c r="E321" s="86" t="n">
        <x:v>1</x:v>
      </x:c>
      <x:c r="F321" s="86" t="n">
        <x:v>1</x:v>
      </x:c>
      <x:c r="G321" s="95" t="n">
        <x:v>45112</x:v>
      </x:c>
      <x:c r="H321" s="95"/>
      <x:c r="I321" s="86" t="str">
        <x:v>CLT</x:v>
      </x:c>
      <x:c r="J321" s="86" t="str">
        <x:v>Presencial</x:v>
      </x:c>
      <x:c r="K321" s="91" t="n">
        <x:v>3243.28</x:v>
      </x:c>
      <x:c r="L321" s="86" t="str">
        <x:v>Ativo</x:v>
      </x:c>
      <x:c r="M321" s="87" t="n">
        <x:v>98</x:v>
      </x:c>
    </x:row>
    <x:row r="322">
      <x:c r="A322" s="85" t="n">
        <x:v>321</x:v>
      </x:c>
      <x:c r="B322" s="86" t="str">
        <x:v>F00321</x:v>
      </x:c>
      <x:c r="C322" s="86" t="str">
        <x:v>Camila Teixeira Almeida</x:v>
      </x:c>
      <x:c r="D322" s="86" t="n">
        <x:v>4</x:v>
      </x:c>
      <x:c r="E322" s="86" t="n">
        <x:v>7</x:v>
      </x:c>
      <x:c r="F322" s="86" t="n">
        <x:v>20</x:v>
      </x:c>
      <x:c r="G322" s="95" t="n">
        <x:v>45048</x:v>
      </x:c>
      <x:c r="H322" s="95"/>
      <x:c r="I322" s="86" t="str">
        <x:v>CLT</x:v>
      </x:c>
      <x:c r="J322" s="86" t="str">
        <x:v>Presencial</x:v>
      </x:c>
      <x:c r="K322" s="91" t="n">
        <x:v>3150.91</x:v>
      </x:c>
      <x:c r="L322" s="86" t="str">
        <x:v>Ativo</x:v>
      </x:c>
      <x:c r="M322" s="87" t="n">
        <x:v>147</x:v>
      </x:c>
    </x:row>
    <x:row r="323">
      <x:c r="A323" s="85" t="n">
        <x:v>322</x:v>
      </x:c>
      <x:c r="B323" s="86" t="str">
        <x:v>F00322</x:v>
      </x:c>
      <x:c r="C323" s="86" t="str">
        <x:v>Vitória Rodrigues Ferreira</x:v>
      </x:c>
      <x:c r="D323" s="86" t="n">
        <x:v>4</x:v>
      </x:c>
      <x:c r="E323" s="86" t="n">
        <x:v>7</x:v>
      </x:c>
      <x:c r="F323" s="86" t="n">
        <x:v>7</x:v>
      </x:c>
      <x:c r="G323" s="95" t="n">
        <x:v>45333</x:v>
      </x:c>
      <x:c r="H323" s="95"/>
      <x:c r="I323" s="86" t="str">
        <x:v>CLT</x:v>
      </x:c>
      <x:c r="J323" s="86" t="str">
        <x:v>Híbrido</x:v>
      </x:c>
      <x:c r="K323" s="91" t="n">
        <x:v>4583.69</x:v>
      </x:c>
      <x:c r="L323" s="86" t="str">
        <x:v>Ativo</x:v>
      </x:c>
      <x:c r="M323" s="87" t="n">
        <x:v>156</x:v>
      </x:c>
    </x:row>
    <x:row r="324">
      <x:c r="A324" s="85" t="n">
        <x:v>323</x:v>
      </x:c>
      <x:c r="B324" s="86" t="str">
        <x:v>F00323</x:v>
      </x:c>
      <x:c r="C324" s="86" t="str">
        <x:v>Eduardo Pereira Lima</x:v>
      </x:c>
      <x:c r="D324" s="86" t="n">
        <x:v>1</x:v>
      </x:c>
      <x:c r="E324" s="86" t="n">
        <x:v>5</x:v>
      </x:c>
      <x:c r="F324" s="86" t="n">
        <x:v>5</x:v>
      </x:c>
      <x:c r="G324" s="95" t="n">
        <x:v>45935</x:v>
      </x:c>
      <x:c r="H324" s="95"/>
      <x:c r="I324" s="86" t="str">
        <x:v>CLT</x:v>
      </x:c>
      <x:c r="J324" s="86" t="str">
        <x:v>Híbrido</x:v>
      </x:c>
      <x:c r="K324" s="91" t="n">
        <x:v>7501.59</x:v>
      </x:c>
      <x:c r="L324" s="86" t="str">
        <x:v>Ativo</x:v>
      </x:c>
      <x:c r="M324" s="87" t="n">
        <x:v>326</x:v>
      </x:c>
    </x:row>
    <x:row r="325">
      <x:c r="A325" s="85" t="n">
        <x:v>324</x:v>
      </x:c>
      <x:c r="B325" s="86" t="str">
        <x:v>F00324</x:v>
      </x:c>
      <x:c r="C325" s="86" t="str">
        <x:v>Larissa Cardoso Gomes</x:v>
      </x:c>
      <x:c r="D325" s="86" t="n">
        <x:v>4</x:v>
      </x:c>
      <x:c r="E325" s="86" t="n">
        <x:v>7</x:v>
      </x:c>
      <x:c r="F325" s="86" t="n">
        <x:v>7</x:v>
      </x:c>
      <x:c r="G325" s="95" t="n">
        <x:v>45919</x:v>
      </x:c>
      <x:c r="H325" s="95"/>
      <x:c r="I325" s="86" t="str">
        <x:v>CLT</x:v>
      </x:c>
      <x:c r="J325" s="86" t="str">
        <x:v>Presencial</x:v>
      </x:c>
      <x:c r="K325" s="91" t="n">
        <x:v>4727.93</x:v>
      </x:c>
      <x:c r="L325" s="86" t="str">
        <x:v>Ativo</x:v>
      </x:c>
      <x:c r="M325" s="87" t="n">
        <x:v>147</x:v>
      </x:c>
    </x:row>
    <x:row r="326">
      <x:c r="A326" s="85" t="n">
        <x:v>325</x:v>
      </x:c>
      <x:c r="B326" s="86" t="str">
        <x:v>F00325</x:v>
      </x:c>
      <x:c r="C326" s="86" t="str">
        <x:v>Helena Ribeiro Rodrigues</x:v>
      </x:c>
      <x:c r="D326" s="86" t="n">
        <x:v>3</x:v>
      </x:c>
      <x:c r="E326" s="86" t="n">
        <x:v>1</x:v>
      </x:c>
      <x:c r="F326" s="86" t="n">
        <x:v>1</x:v>
      </x:c>
      <x:c r="G326" s="95" t="n">
        <x:v>45473</x:v>
      </x:c>
      <x:c r="H326" s="95" t="n">
        <x:v>45989</x:v>
      </x:c>
      <x:c r="I326" s="86" t="str">
        <x:v>CLT</x:v>
      </x:c>
      <x:c r="J326" s="86" t="str">
        <x:v>Presencial</x:v>
      </x:c>
      <x:c r="K326" s="91" t="n">
        <x:v>2382.32</x:v>
      </x:c>
      <x:c r="L326" s="86" t="str">
        <x:v>Desligado</x:v>
      </x:c>
      <x:c r="M326" s="87" t="n">
        <x:v>371</x:v>
      </x:c>
    </x:row>
    <x:row r="327">
      <x:c r="A327" s="85" t="n">
        <x:v>326</x:v>
      </x:c>
      <x:c r="B327" s="86" t="str">
        <x:v>F00326</x:v>
      </x:c>
      <x:c r="C327" s="86" t="str">
        <x:v>Vitória Pereira Oliveira</x:v>
      </x:c>
      <x:c r="D327" s="86" t="n">
        <x:v>1</x:v>
      </x:c>
      <x:c r="E327" s="86" t="n">
        <x:v>5</x:v>
      </x:c>
      <x:c r="F327" s="86" t="n">
        <x:v>15</x:v>
      </x:c>
      <x:c r="G327" s="95" t="n">
        <x:v>45659</x:v>
      </x:c>
      <x:c r="H327" s="95"/>
      <x:c r="I327" s="86" t="str">
        <x:v>CLT</x:v>
      </x:c>
      <x:c r="J327" s="86" t="str">
        <x:v>Presencial</x:v>
      </x:c>
      <x:c r="K327" s="91" t="n">
        <x:v>16780.58</x:v>
      </x:c>
      <x:c r="L327" s="86" t="str">
        <x:v>Ativo</x:v>
      </x:c>
      <x:c r="M327" s="87" t="n">
        <x:v>38</x:v>
      </x:c>
    </x:row>
    <x:row r="328">
      <x:c r="A328" s="85" t="n">
        <x:v>327</x:v>
      </x:c>
      <x:c r="B328" s="86" t="str">
        <x:v>F00327</x:v>
      </x:c>
      <x:c r="C328" s="86" t="str">
        <x:v>Eduarda Lima Teixeira</x:v>
      </x:c>
      <x:c r="D328" s="86" t="n">
        <x:v>4</x:v>
      </x:c>
      <x:c r="E328" s="86" t="n">
        <x:v>7</x:v>
      </x:c>
      <x:c r="F328" s="86" t="n">
        <x:v>7</x:v>
      </x:c>
      <x:c r="G328" s="95" t="n">
        <x:v>45012</x:v>
      </x:c>
      <x:c r="H328" s="95" t="n">
        <x:v>45722</x:v>
      </x:c>
      <x:c r="I328" s="86" t="str">
        <x:v>CLT</x:v>
      </x:c>
      <x:c r="J328" s="86" t="str">
        <x:v>Presencial</x:v>
      </x:c>
      <x:c r="K328" s="91" t="n">
        <x:v>5512.42</x:v>
      </x:c>
      <x:c r="L328" s="86" t="str">
        <x:v>Desligado</x:v>
      </x:c>
      <x:c r="M328" s="87" t="n">
        <x:v>147</x:v>
      </x:c>
    </x:row>
    <x:row r="329">
      <x:c r="A329" s="85" t="n">
        <x:v>328</x:v>
      </x:c>
      <x:c r="B329" s="86" t="str">
        <x:v>F00328</x:v>
      </x:c>
      <x:c r="C329" s="86" t="str">
        <x:v>Henrique Souza Pereira</x:v>
      </x:c>
      <x:c r="D329" s="86" t="n">
        <x:v>4</x:v>
      </x:c>
      <x:c r="E329" s="86" t="n">
        <x:v>6</x:v>
      </x:c>
      <x:c r="F329" s="86" t="n">
        <x:v>6</x:v>
      </x:c>
      <x:c r="G329" s="95" t="n">
        <x:v>45323</x:v>
      </x:c>
      <x:c r="H329" s="95"/>
      <x:c r="I329" s="86" t="str">
        <x:v>CLT</x:v>
      </x:c>
      <x:c r="J329" s="86" t="str">
        <x:v>Presencial</x:v>
      </x:c>
      <x:c r="K329" s="91" t="n">
        <x:v>6244.7</x:v>
      </x:c>
      <x:c r="L329" s="86" t="str">
        <x:v>Ativo</x:v>
      </x:c>
      <x:c r="M329" s="87" t="n">
        <x:v>116</x:v>
      </x:c>
    </x:row>
    <x:row r="330">
      <x:c r="A330" s="85" t="n">
        <x:v>329</x:v>
      </x:c>
      <x:c r="B330" s="86" t="str">
        <x:v>F00329</x:v>
      </x:c>
      <x:c r="C330" s="86" t="str">
        <x:v>Carolina Ribeiro Rocha</x:v>
      </x:c>
      <x:c r="D330" s="86" t="n">
        <x:v>4</x:v>
      </x:c>
      <x:c r="E330" s="86" t="n">
        <x:v>7</x:v>
      </x:c>
      <x:c r="F330" s="86" t="n">
        <x:v>7</x:v>
      </x:c>
      <x:c r="G330" s="95" t="n">
        <x:v>45430</x:v>
      </x:c>
      <x:c r="H330" s="95"/>
      <x:c r="I330" s="86" t="str">
        <x:v>Temporário</x:v>
      </x:c>
      <x:c r="J330" s="86" t="str">
        <x:v>Presencial</x:v>
      </x:c>
      <x:c r="K330" s="91" t="n">
        <x:v>7181.58</x:v>
      </x:c>
      <x:c r="L330" s="86" t="str">
        <x:v>Ativo</x:v>
      </x:c>
      <x:c r="M330" s="87" t="n">
        <x:v>147</x:v>
      </x:c>
    </x:row>
    <x:row r="331">
      <x:c r="A331" s="85" t="n">
        <x:v>330</x:v>
      </x:c>
      <x:c r="B331" s="86" t="str">
        <x:v>F00330</x:v>
      </x:c>
      <x:c r="C331" s="86" t="str">
        <x:v>Joana Ferreira Costa</x:v>
      </x:c>
      <x:c r="D331" s="86" t="n">
        <x:v>2</x:v>
      </x:c>
      <x:c r="E331" s="86" t="n">
        <x:v>1</x:v>
      </x:c>
      <x:c r="F331" s="86" t="n">
        <x:v>1</x:v>
      </x:c>
      <x:c r="G331" s="95" t="n">
        <x:v>45076</x:v>
      </x:c>
      <x:c r="H331" s="95"/>
      <x:c r="I331" s="86" t="str">
        <x:v>CLT</x:v>
      </x:c>
      <x:c r="J331" s="86" t="str">
        <x:v>Presencial</x:v>
      </x:c>
      <x:c r="K331" s="91" t="n">
        <x:v>3035.51</x:v>
      </x:c>
      <x:c r="L331" s="86" t="str">
        <x:v>Ativo</x:v>
      </x:c>
      <x:c r="M331" s="87" t="n">
        <x:v>85</x:v>
      </x:c>
    </x:row>
    <x:row r="332">
      <x:c r="A332" s="85" t="n">
        <x:v>331</x:v>
      </x:c>
      <x:c r="B332" s="86" t="str">
        <x:v>F00331</x:v>
      </x:c>
      <x:c r="C332" s="86" t="str">
        <x:v>Fernanda Moreira Cardoso</x:v>
      </x:c>
      <x:c r="D332" s="86" t="n">
        <x:v>1</x:v>
      </x:c>
      <x:c r="E332" s="86" t="n">
        <x:v>3</x:v>
      </x:c>
      <x:c r="F332" s="86" t="n">
        <x:v>3</x:v>
      </x:c>
      <x:c r="G332" s="95" t="n">
        <x:v>45612</x:v>
      </x:c>
      <x:c r="H332" s="95"/>
      <x:c r="I332" s="86" t="str">
        <x:v>CLT</x:v>
      </x:c>
      <x:c r="J332" s="86" t="str">
        <x:v>Presencial</x:v>
      </x:c>
      <x:c r="K332" s="91" t="n">
        <x:v>3927.04</x:v>
      </x:c>
      <x:c r="L332" s="86" t="str">
        <x:v>Ativo</x:v>
      </x:c>
      <x:c r="M332" s="87" t="n">
        <x:v>26</x:v>
      </x:c>
    </x:row>
    <x:row r="333">
      <x:c r="A333" s="85" t="n">
        <x:v>332</x:v>
      </x:c>
      <x:c r="B333" s="86" t="str">
        <x:v>F00332</x:v>
      </x:c>
      <x:c r="C333" s="86" t="str">
        <x:v>Fernanda Mendes Oliveira</x:v>
      </x:c>
      <x:c r="D333" s="86" t="n">
        <x:v>3</x:v>
      </x:c>
      <x:c r="E333" s="86" t="n">
        <x:v>5</x:v>
      </x:c>
      <x:c r="F333" s="86" t="n">
        <x:v>5</x:v>
      </x:c>
      <x:c r="G333" s="95" t="n">
        <x:v>45744</x:v>
      </x:c>
      <x:c r="H333" s="95"/>
      <x:c r="I333" s="86" t="str">
        <x:v>CLT</x:v>
      </x:c>
      <x:c r="J333" s="86" t="str">
        <x:v>Presencial</x:v>
      </x:c>
      <x:c r="K333" s="91" t="n">
        <x:v>8206.89</x:v>
      </x:c>
      <x:c r="L333" s="86" t="str">
        <x:v>Ativo</x:v>
      </x:c>
      <x:c r="M333" s="87" t="n">
        <x:v>39</x:v>
      </x:c>
    </x:row>
    <x:row r="334">
      <x:c r="A334" s="85" t="n">
        <x:v>333</x:v>
      </x:c>
      <x:c r="B334" s="86" t="str">
        <x:v>F00333</x:v>
      </x:c>
      <x:c r="C334" s="86" t="str">
        <x:v>Rafael Nascimento Moreira</x:v>
      </x:c>
      <x:c r="D334" s="86" t="n">
        <x:v>4</x:v>
      </x:c>
      <x:c r="E334" s="86" t="n">
        <x:v>6</x:v>
      </x:c>
      <x:c r="F334" s="86" t="n">
        <x:v>6</x:v>
      </x:c>
      <x:c r="G334" s="95" t="n">
        <x:v>44970</x:v>
      </x:c>
      <x:c r="H334" s="95" t="n">
        <x:v>45394</x:v>
      </x:c>
      <x:c r="I334" s="86" t="str">
        <x:v>Estágio</x:v>
      </x:c>
      <x:c r="J334" s="86" t="str">
        <x:v>Presencial</x:v>
      </x:c>
      <x:c r="K334" s="91" t="n">
        <x:v>8400.67</x:v>
      </x:c>
      <x:c r="L334" s="86" t="str">
        <x:v>Desligado</x:v>
      </x:c>
      <x:c r="M334" s="87" t="n">
        <x:v>116</x:v>
      </x:c>
    </x:row>
    <x:row r="335">
      <x:c r="A335" s="85" t="n">
        <x:v>334</x:v>
      </x:c>
      <x:c r="B335" s="86" t="str">
        <x:v>F00334</x:v>
      </x:c>
      <x:c r="C335" s="86" t="str">
        <x:v>Felipe Lima Teixeira</x:v>
      </x:c>
      <x:c r="D335" s="86" t="n">
        <x:v>3</x:v>
      </x:c>
      <x:c r="E335" s="86" t="n">
        <x:v>5</x:v>
      </x:c>
      <x:c r="F335" s="86" t="n">
        <x:v>5</x:v>
      </x:c>
      <x:c r="G335" s="95" t="n">
        <x:v>45174</x:v>
      </x:c>
      <x:c r="H335" s="95"/>
      <x:c r="I335" s="86" t="str">
        <x:v>CLT</x:v>
      </x:c>
      <x:c r="J335" s="86" t="str">
        <x:v>Híbrido</x:v>
      </x:c>
      <x:c r="K335" s="91" t="n">
        <x:v>7348.75</x:v>
      </x:c>
      <x:c r="L335" s="86" t="str">
        <x:v>Ativo</x:v>
      </x:c>
      <x:c r="M335" s="87" t="n">
        <x:v>38</x:v>
      </x:c>
    </x:row>
    <x:row r="336">
      <x:c r="A336" s="85" t="n">
        <x:v>335</x:v>
      </x:c>
      <x:c r="B336" s="86" t="str">
        <x:v>F00335</x:v>
      </x:c>
      <x:c r="C336" s="86" t="str">
        <x:v>João Souza Rocha</x:v>
      </x:c>
      <x:c r="D336" s="86" t="n">
        <x:v>4</x:v>
      </x:c>
      <x:c r="E336" s="86" t="n">
        <x:v>7</x:v>
      </x:c>
      <x:c r="F336" s="86" t="n">
        <x:v>7</x:v>
      </x:c>
      <x:c r="G336" s="95" t="n">
        <x:v>45859</x:v>
      </x:c>
      <x:c r="H336" s="95" t="n">
        <x:v>45988</x:v>
      </x:c>
      <x:c r="I336" s="86" t="str">
        <x:v>CLT</x:v>
      </x:c>
      <x:c r="J336" s="86" t="str">
        <x:v>Presencial</x:v>
      </x:c>
      <x:c r="K336" s="91" t="n">
        <x:v>6888.19</x:v>
      </x:c>
      <x:c r="L336" s="86" t="str">
        <x:v>Desligado</x:v>
      </x:c>
      <x:c r="M336" s="87" t="n">
        <x:v>147</x:v>
      </x:c>
    </x:row>
    <x:row r="337">
      <x:c r="A337" s="85" t="n">
        <x:v>336</x:v>
      </x:c>
      <x:c r="B337" s="86" t="str">
        <x:v>F00336</x:v>
      </x:c>
      <x:c r="C337" s="86" t="str">
        <x:v>Gabriela Cardoso Ferreira</x:v>
      </x:c>
      <x:c r="D337" s="86" t="n">
        <x:v>1</x:v>
      </x:c>
      <x:c r="E337" s="86" t="n">
        <x:v>4</x:v>
      </x:c>
      <x:c r="F337" s="86" t="n">
        <x:v>4</x:v>
      </x:c>
      <x:c r="G337" s="95" t="n">
        <x:v>45714</x:v>
      </x:c>
      <x:c r="H337" s="95"/>
      <x:c r="I337" s="86" t="str">
        <x:v>Temporário</x:v>
      </x:c>
      <x:c r="J337" s="86" t="str">
        <x:v>Presencial</x:v>
      </x:c>
      <x:c r="K337" s="91" t="n">
        <x:v>4925.87</x:v>
      </x:c>
      <x:c r="L337" s="86" t="str">
        <x:v>Ativo</x:v>
      </x:c>
      <x:c r="M337" s="87" t="n">
        <x:v>20</x:v>
      </x:c>
    </x:row>
    <x:row r="338">
      <x:c r="A338" s="85" t="n">
        <x:v>337</x:v>
      </x:c>
      <x:c r="B338" s="86" t="str">
        <x:v>F00337</x:v>
      </x:c>
      <x:c r="C338" s="86" t="str">
        <x:v>Carolina Rocha Souza</x:v>
      </x:c>
      <x:c r="D338" s="86" t="n">
        <x:v>4</x:v>
      </x:c>
      <x:c r="E338" s="86" t="n">
        <x:v>6</x:v>
      </x:c>
      <x:c r="F338" s="86" t="n">
        <x:v>6</x:v>
      </x:c>
      <x:c r="G338" s="95" t="n">
        <x:v>45161</x:v>
      </x:c>
      <x:c r="H338" s="95"/>
      <x:c r="I338" s="86" t="str">
        <x:v>CLT</x:v>
      </x:c>
      <x:c r="J338" s="86" t="str">
        <x:v>Híbrido</x:v>
      </x:c>
      <x:c r="K338" s="91" t="n">
        <x:v>7990.04</x:v>
      </x:c>
      <x:c r="L338" s="86" t="str">
        <x:v>Ativo</x:v>
      </x:c>
      <x:c r="M338" s="87" t="n">
        <x:v>116</x:v>
      </x:c>
    </x:row>
    <x:row r="339">
      <x:c r="A339" s="85" t="n">
        <x:v>338</x:v>
      </x:c>
      <x:c r="B339" s="86" t="str">
        <x:v>F00338</x:v>
      </x:c>
      <x:c r="C339" s="86" t="str">
        <x:v>Bruno Lima Teixeira</x:v>
      </x:c>
      <x:c r="D339" s="86" t="n">
        <x:v>3</x:v>
      </x:c>
      <x:c r="E339" s="86" t="n">
        <x:v>3</x:v>
      </x:c>
      <x:c r="F339" s="86" t="n">
        <x:v>3</x:v>
      </x:c>
      <x:c r="G339" s="95" t="n">
        <x:v>45076</x:v>
      </x:c>
      <x:c r="H339" s="95"/>
      <x:c r="I339" s="86" t="str">
        <x:v>Estágio</x:v>
      </x:c>
      <x:c r="J339" s="86" t="str">
        <x:v>Remoto</x:v>
      </x:c>
      <x:c r="K339" s="91" t="n">
        <x:v>3996.19</x:v>
      </x:c>
      <x:c r="L339" s="86" t="str">
        <x:v>Ativo</x:v>
      </x:c>
      <x:c r="M339" s="87" t="n">
        <x:v>177</x:v>
      </x:c>
    </x:row>
    <x:row r="340">
      <x:c r="A340" s="85" t="n">
        <x:v>339</x:v>
      </x:c>
      <x:c r="B340" s="86" t="str">
        <x:v>F00339</x:v>
      </x:c>
      <x:c r="C340" s="86" t="str">
        <x:v>Diego Ribeiro Lima</x:v>
      </x:c>
      <x:c r="D340" s="86" t="n">
        <x:v>3</x:v>
      </x:c>
      <x:c r="E340" s="86" t="n">
        <x:v>7</x:v>
      </x:c>
      <x:c r="F340" s="86" t="n">
        <x:v>7</x:v>
      </x:c>
      <x:c r="G340" s="95" t="n">
        <x:v>45522</x:v>
      </x:c>
      <x:c r="H340" s="95"/>
      <x:c r="I340" s="86" t="str">
        <x:v>CLT</x:v>
      </x:c>
      <x:c r="J340" s="86" t="str">
        <x:v>Presencial</x:v>
      </x:c>
      <x:c r="K340" s="91" t="n">
        <x:v>6349.25</x:v>
      </x:c>
      <x:c r="L340" s="86" t="str">
        <x:v>Ativo</x:v>
      </x:c>
      <x:c r="M340" s="87" t="n">
        <x:v>156</x:v>
      </x:c>
    </x:row>
    <x:row r="341">
      <x:c r="A341" s="85" t="n">
        <x:v>340</x:v>
      </x:c>
      <x:c r="B341" s="86" t="str">
        <x:v>F00340</x:v>
      </x:c>
      <x:c r="C341" s="86" t="str">
        <x:v>Igor Silva Silva</x:v>
      </x:c>
      <x:c r="D341" s="86" t="n">
        <x:v>1</x:v>
      </x:c>
      <x:c r="E341" s="86" t="n">
        <x:v>1</x:v>
      </x:c>
      <x:c r="F341" s="86" t="n">
        <x:v>1</x:v>
      </x:c>
      <x:c r="G341" s="95" t="n">
        <x:v>45652</x:v>
      </x:c>
      <x:c r="H341" s="95"/>
      <x:c r="I341" s="86" t="str">
        <x:v>CLT</x:v>
      </x:c>
      <x:c r="J341" s="86" t="str">
        <x:v>Híbrido</x:v>
      </x:c>
      <x:c r="K341" s="91" t="n">
        <x:v>2655.73</x:v>
      </x:c>
      <x:c r="L341" s="86" t="str">
        <x:v>Ativo</x:v>
      </x:c>
      <x:c r="M341" s="87" t="n">
        <x:v>10</x:v>
      </x:c>
    </x:row>
    <x:row r="342">
      <x:c r="A342" s="85" t="n">
        <x:v>341</x:v>
      </x:c>
      <x:c r="B342" s="86" t="str">
        <x:v>F00341</x:v>
      </x:c>
      <x:c r="C342" s="86" t="str">
        <x:v>Eduardo Mendes Rocha</x:v>
      </x:c>
      <x:c r="D342" s="86" t="n">
        <x:v>3</x:v>
      </x:c>
      <x:c r="E342" s="86" t="n">
        <x:v>1</x:v>
      </x:c>
      <x:c r="F342" s="86" t="n">
        <x:v>1</x:v>
      </x:c>
      <x:c r="G342" s="95" t="n">
        <x:v>45239</x:v>
      </x:c>
      <x:c r="H342" s="95"/>
      <x:c r="I342" s="86" t="str">
        <x:v>CLT</x:v>
      </x:c>
      <x:c r="J342" s="86" t="str">
        <x:v>Presencial</x:v>
      </x:c>
      <x:c r="K342" s="91" t="n">
        <x:v>2840.98</x:v>
      </x:c>
      <x:c r="L342" s="86" t="str">
        <x:v>Ativo</x:v>
      </x:c>
      <x:c r="M342" s="87" t="n">
        <x:v>396</x:v>
      </x:c>
    </x:row>
    <x:row r="343">
      <x:c r="A343" s="85" t="n">
        <x:v>342</x:v>
      </x:c>
      <x:c r="B343" s="86" t="str">
        <x:v>F00342</x:v>
      </x:c>
      <x:c r="C343" s="86" t="str">
        <x:v>Joana Moreira Rocha</x:v>
      </x:c>
      <x:c r="D343" s="86" t="n">
        <x:v>4</x:v>
      </x:c>
      <x:c r="E343" s="86" t="n">
        <x:v>9</x:v>
      </x:c>
      <x:c r="F343" s="86" t="n">
        <x:v>19</x:v>
      </x:c>
      <x:c r="G343" s="95" t="n">
        <x:v>45715</x:v>
      </x:c>
      <x:c r="H343" s="95"/>
      <x:c r="I343" s="86" t="str">
        <x:v>CLT</x:v>
      </x:c>
      <x:c r="J343" s="86" t="str">
        <x:v>Híbrido</x:v>
      </x:c>
      <x:c r="K343" s="91" t="n">
        <x:v>16712.2</x:v>
      </x:c>
      <x:c r="L343" s="86" t="str">
        <x:v>Ativo</x:v>
      </x:c>
      <x:c r="M343" s="87" t="n">
        <x:v>189</x:v>
      </x:c>
    </x:row>
    <x:row r="344">
      <x:c r="A344" s="85" t="n">
        <x:v>343</x:v>
      </x:c>
      <x:c r="B344" s="86" t="str">
        <x:v>F00343</x:v>
      </x:c>
      <x:c r="C344" s="86" t="str">
        <x:v>Henrique Teixeira Rocha</x:v>
      </x:c>
      <x:c r="D344" s="86" t="n">
        <x:v>4</x:v>
      </x:c>
      <x:c r="E344" s="86" t="n">
        <x:v>8</x:v>
      </x:c>
      <x:c r="F344" s="86" t="n">
        <x:v>8</x:v>
      </x:c>
      <x:c r="G344" s="95" t="n">
        <x:v>45885</x:v>
      </x:c>
      <x:c r="H344" s="95"/>
      <x:c r="I344" s="86" t="str">
        <x:v>Temporário</x:v>
      </x:c>
      <x:c r="J344" s="86" t="str">
        <x:v>Híbrido</x:v>
      </x:c>
      <x:c r="K344" s="91" t="n">
        <x:v>6674.41</x:v>
      </x:c>
      <x:c r="L344" s="86" t="str">
        <x:v>Ativo</x:v>
      </x:c>
      <x:c r="M344" s="87" t="n">
        <x:v>86</x:v>
      </x:c>
    </x:row>
    <x:row r="345">
      <x:c r="A345" s="85" t="n">
        <x:v>344</x:v>
      </x:c>
      <x:c r="B345" s="86" t="str">
        <x:v>F00344</x:v>
      </x:c>
      <x:c r="C345" s="86" t="str">
        <x:v>Diego Martins Barbosa</x:v>
      </x:c>
      <x:c r="D345" s="86" t="n">
        <x:v>2</x:v>
      </x:c>
      <x:c r="E345" s="86" t="n">
        <x:v>1</x:v>
      </x:c>
      <x:c r="F345" s="86" t="n">
        <x:v>1</x:v>
      </x:c>
      <x:c r="G345" s="95" t="n">
        <x:v>45598</x:v>
      </x:c>
      <x:c r="H345" s="95"/>
      <x:c r="I345" s="86" t="str">
        <x:v>CLT</x:v>
      </x:c>
      <x:c r="J345" s="86" t="str">
        <x:v>Presencial</x:v>
      </x:c>
      <x:c r="K345" s="91" t="n">
        <x:v>2551.53</x:v>
      </x:c>
      <x:c r="L345" s="86" t="str">
        <x:v>Ativo</x:v>
      </x:c>
      <x:c r="M345" s="87" t="n">
        <x:v>396</x:v>
      </x:c>
    </x:row>
    <x:row r="346">
      <x:c r="A346" s="85" t="n">
        <x:v>345</x:v>
      </x:c>
      <x:c r="B346" s="86" t="str">
        <x:v>F00345</x:v>
      </x:c>
      <x:c r="C346" s="86" t="str">
        <x:v>Joana Rodrigues Martins</x:v>
      </x:c>
      <x:c r="D346" s="86" t="n">
        <x:v>1</x:v>
      </x:c>
      <x:c r="E346" s="86" t="n">
        <x:v>3</x:v>
      </x:c>
      <x:c r="F346" s="86" t="n">
        <x:v>3</x:v>
      </x:c>
      <x:c r="G346" s="95" t="n">
        <x:v>45236</x:v>
      </x:c>
      <x:c r="H346" s="95"/>
      <x:c r="I346" s="86" t="str">
        <x:v>CLT</x:v>
      </x:c>
      <x:c r="J346" s="86" t="str">
        <x:v>Presencial</x:v>
      </x:c>
      <x:c r="K346" s="91" t="n">
        <x:v>3773.92</x:v>
      </x:c>
      <x:c r="L346" s="86" t="str">
        <x:v>Ativo</x:v>
      </x:c>
      <x:c r="M346" s="87" t="n">
        <x:v>26</x:v>
      </x:c>
    </x:row>
    <x:row r="347">
      <x:c r="A347" s="85" t="n">
        <x:v>346</x:v>
      </x:c>
      <x:c r="B347" s="86" t="str">
        <x:v>F00346</x:v>
      </x:c>
      <x:c r="C347" s="86" t="str">
        <x:v>Patrícia Mendes Oliveira</x:v>
      </x:c>
      <x:c r="D347" s="86" t="n">
        <x:v>4</x:v>
      </x:c>
      <x:c r="E347" s="86" t="n">
        <x:v>9</x:v>
      </x:c>
      <x:c r="F347" s="86" t="n">
        <x:v>9</x:v>
      </x:c>
      <x:c r="G347" s="95" t="n">
        <x:v>45502</x:v>
      </x:c>
      <x:c r="H347" s="95" t="n">
        <x:v>45678</x:v>
      </x:c>
      <x:c r="I347" s="86" t="str">
        <x:v>CLT</x:v>
      </x:c>
      <x:c r="J347" s="86" t="str">
        <x:v>Híbrido</x:v>
      </x:c>
      <x:c r="K347" s="91" t="n">
        <x:v>6410.27</x:v>
      </x:c>
      <x:c r="L347" s="86" t="str">
        <x:v>Desligado</x:v>
      </x:c>
      <x:c r="M347" s="87" t="n">
        <x:v>342</x:v>
      </x:c>
    </x:row>
    <x:row r="348">
      <x:c r="A348" s="85" t="n">
        <x:v>347</x:v>
      </x:c>
      <x:c r="B348" s="86" t="str">
        <x:v>F00347</x:v>
      </x:c>
      <x:c r="C348" s="86" t="str">
        <x:v>Henrique Teixeira Rocha</x:v>
      </x:c>
      <x:c r="D348" s="86" t="n">
        <x:v>4</x:v>
      </x:c>
      <x:c r="E348" s="86" t="n">
        <x:v>7</x:v>
      </x:c>
      <x:c r="F348" s="86" t="n">
        <x:v>7</x:v>
      </x:c>
      <x:c r="G348" s="95" t="n">
        <x:v>45910</x:v>
      </x:c>
      <x:c r="H348" s="95"/>
      <x:c r="I348" s="86" t="str">
        <x:v>CLT</x:v>
      </x:c>
      <x:c r="J348" s="86" t="str">
        <x:v>Híbrido</x:v>
      </x:c>
      <x:c r="K348" s="91" t="n">
        <x:v>4616.32</x:v>
      </x:c>
      <x:c r="L348" s="86" t="str">
        <x:v>Ativo</x:v>
      </x:c>
      <x:c r="M348" s="87" t="n">
        <x:v>156</x:v>
      </x:c>
    </x:row>
    <x:row r="349">
      <x:c r="A349" s="85" t="n">
        <x:v>348</x:v>
      </x:c>
      <x:c r="B349" s="86" t="str">
        <x:v>F00348</x:v>
      </x:c>
      <x:c r="C349" s="86" t="str">
        <x:v>Sofia Almeida Souza</x:v>
      </x:c>
      <x:c r="D349" s="86" t="n">
        <x:v>4</x:v>
      </x:c>
      <x:c r="E349" s="86" t="n">
        <x:v>7</x:v>
      </x:c>
      <x:c r="F349" s="86" t="n">
        <x:v>7</x:v>
      </x:c>
      <x:c r="G349" s="95" t="n">
        <x:v>45240</x:v>
      </x:c>
      <x:c r="H349" s="95"/>
      <x:c r="I349" s="86" t="str">
        <x:v>Temporário</x:v>
      </x:c>
      <x:c r="J349" s="86" t="str">
        <x:v>Presencial</x:v>
      </x:c>
      <x:c r="K349" s="91" t="n">
        <x:v>4825.87</x:v>
      </x:c>
      <x:c r="L349" s="86" t="str">
        <x:v>Ativo</x:v>
      </x:c>
      <x:c r="M349" s="87" t="n">
        <x:v>147</x:v>
      </x:c>
    </x:row>
    <x:row r="350">
      <x:c r="A350" s="85" t="n">
        <x:v>349</x:v>
      </x:c>
      <x:c r="B350" s="86" t="str">
        <x:v>F00349</x:v>
      </x:c>
      <x:c r="C350" s="86" t="str">
        <x:v>Vitória Souza Santos</x:v>
      </x:c>
      <x:c r="D350" s="86" t="n">
        <x:v>4</x:v>
      </x:c>
      <x:c r="E350" s="86" t="n">
        <x:v>9</x:v>
      </x:c>
      <x:c r="F350" s="86" t="n">
        <x:v>9</x:v>
      </x:c>
      <x:c r="G350" s="95" t="n">
        <x:v>45490</x:v>
      </x:c>
      <x:c r="H350" s="95"/>
      <x:c r="I350" s="86" t="str">
        <x:v>CLT</x:v>
      </x:c>
      <x:c r="J350" s="86" t="str">
        <x:v>Presencial</x:v>
      </x:c>
      <x:c r="K350" s="91" t="n">
        <x:v>6428.39</x:v>
      </x:c>
      <x:c r="L350" s="86" t="str">
        <x:v>Ativo</x:v>
      </x:c>
      <x:c r="M350" s="87" t="n">
        <x:v>342</x:v>
      </x:c>
    </x:row>
    <x:row r="351">
      <x:c r="A351" s="85" t="n">
        <x:v>350</x:v>
      </x:c>
      <x:c r="B351" s="86" t="str">
        <x:v>F00350</x:v>
      </x:c>
      <x:c r="C351" s="86" t="str">
        <x:v>Vitória Souza Lima</x:v>
      </x:c>
      <x:c r="D351" s="86" t="n">
        <x:v>1</x:v>
      </x:c>
      <x:c r="E351" s="86" t="n">
        <x:v>1</x:v>
      </x:c>
      <x:c r="F351" s="86" t="n">
        <x:v>1</x:v>
      </x:c>
      <x:c r="G351" s="95" t="n">
        <x:v>45896</x:v>
      </x:c>
      <x:c r="H351" s="95"/>
      <x:c r="I351" s="86" t="str">
        <x:v>CLT</x:v>
      </x:c>
      <x:c r="J351" s="86" t="str">
        <x:v>Presencial</x:v>
      </x:c>
      <x:c r="K351" s="91" t="n">
        <x:v>2561.74</x:v>
      </x:c>
      <x:c r="L351" s="86" t="str">
        <x:v>Ativo</x:v>
      </x:c>
      <x:c r="M351" s="87" t="n">
        <x:v>98</x:v>
      </x:c>
    </x:row>
    <x:row r="352">
      <x:c r="A352" s="85" t="n">
        <x:v>351</x:v>
      </x:c>
      <x:c r="B352" s="86" t="str">
        <x:v>F00351</x:v>
      </x:c>
      <x:c r="C352" s="86" t="str">
        <x:v>Gustavo Oliveira Rodrigues</x:v>
      </x:c>
      <x:c r="D352" s="86" t="n">
        <x:v>1</x:v>
      </x:c>
      <x:c r="E352" s="86" t="n">
        <x:v>10</x:v>
      </x:c>
      <x:c r="F352" s="86" t="n">
        <x:v>20</x:v>
      </x:c>
      <x:c r="G352" s="95" t="n">
        <x:v>45823</x:v>
      </x:c>
      <x:c r="H352" s="95"/>
      <x:c r="I352" s="86" t="str">
        <x:v>CLT</x:v>
      </x:c>
      <x:c r="J352" s="86" t="str">
        <x:v>Presencial</x:v>
      </x:c>
      <x:c r="K352" s="91" t="n">
        <x:v>3595.84</x:v>
      </x:c>
      <x:c r="L352" s="86" t="str">
        <x:v>Ativo</x:v>
      </x:c>
      <x:c r="M352" s="87" t="n">
        <x:v>24</x:v>
      </x:c>
    </x:row>
    <x:row r="353">
      <x:c r="A353" s="85" t="n">
        <x:v>352</x:v>
      </x:c>
      <x:c r="B353" s="86" t="str">
        <x:v>F00352</x:v>
      </x:c>
      <x:c r="C353" s="86" t="str">
        <x:v>Eduardo Nascimento Rocha</x:v>
      </x:c>
      <x:c r="D353" s="86" t="n">
        <x:v>4</x:v>
      </x:c>
      <x:c r="E353" s="86" t="n">
        <x:v>6</x:v>
      </x:c>
      <x:c r="F353" s="86" t="n">
        <x:v>6</x:v>
      </x:c>
      <x:c r="G353" s="95" t="n">
        <x:v>44963</x:v>
      </x:c>
      <x:c r="H353" s="95"/>
      <x:c r="I353" s="86" t="str">
        <x:v>CLT</x:v>
      </x:c>
      <x:c r="J353" s="86" t="str">
        <x:v>Híbrido</x:v>
      </x:c>
      <x:c r="K353" s="91" t="n">
        <x:v>4908.96</x:v>
      </x:c>
      <x:c r="L353" s="86" t="str">
        <x:v>Ativo</x:v>
      </x:c>
      <x:c r="M353" s="87" t="n">
        <x:v>65</x:v>
      </x:c>
    </x:row>
    <x:row r="354">
      <x:c r="A354" s="85" t="n">
        <x:v>353</x:v>
      </x:c>
      <x:c r="B354" s="86" t="str">
        <x:v>F00353</x:v>
      </x:c>
      <x:c r="C354" s="86" t="str">
        <x:v>Igor Santos Pereira</x:v>
      </x:c>
      <x:c r="D354" s="86" t="n">
        <x:v>1</x:v>
      </x:c>
      <x:c r="E354" s="86" t="n">
        <x:v>1</x:v>
      </x:c>
      <x:c r="F354" s="86" t="n">
        <x:v>1</x:v>
      </x:c>
      <x:c r="G354" s="95" t="n">
        <x:v>45584</x:v>
      </x:c>
      <x:c r="H354" s="95"/>
      <x:c r="I354" s="86" t="str">
        <x:v>CLT</x:v>
      </x:c>
      <x:c r="J354" s="86" t="str">
        <x:v>Presencial</x:v>
      </x:c>
      <x:c r="K354" s="91" t="n">
        <x:v>2395.64</x:v>
      </x:c>
      <x:c r="L354" s="86" t="str">
        <x:v>Ativo</x:v>
      </x:c>
      <x:c r="M354" s="87" t="n">
        <x:v>98</x:v>
      </x:c>
    </x:row>
    <x:row r="355">
      <x:c r="A355" s="85" t="n">
        <x:v>354</x:v>
      </x:c>
      <x:c r="B355" s="86" t="str">
        <x:v>F00354</x:v>
      </x:c>
      <x:c r="C355" s="86" t="str">
        <x:v>André Nascimento Silva</x:v>
      </x:c>
      <x:c r="D355" s="86" t="n">
        <x:v>2</x:v>
      </x:c>
      <x:c r="E355" s="86" t="n">
        <x:v>9</x:v>
      </x:c>
      <x:c r="F355" s="86" t="n">
        <x:v>19</x:v>
      </x:c>
      <x:c r="G355" s="95" t="n">
        <x:v>45568</x:v>
      </x:c>
      <x:c r="H355" s="95"/>
      <x:c r="I355" s="86" t="str">
        <x:v>CLT</x:v>
      </x:c>
      <x:c r="J355" s="86" t="str">
        <x:v>Híbrido</x:v>
      </x:c>
      <x:c r="K355" s="91" t="n">
        <x:v>15009.76</x:v>
      </x:c>
      <x:c r="L355" s="86" t="str">
        <x:v>Ativo</x:v>
      </x:c>
      <x:c r="M355" s="87" t="n">
        <x:v>342</x:v>
      </x:c>
    </x:row>
    <x:row r="356">
      <x:c r="A356" s="85" t="n">
        <x:v>355</x:v>
      </x:c>
      <x:c r="B356" s="86" t="str">
        <x:v>F00355</x:v>
      </x:c>
      <x:c r="C356" s="86" t="str">
        <x:v>Eduarda Ferreira Oliveira</x:v>
      </x:c>
      <x:c r="D356" s="86" t="n">
        <x:v>2</x:v>
      </x:c>
      <x:c r="E356" s="86" t="n">
        <x:v>1</x:v>
      </x:c>
      <x:c r="F356" s="86" t="n">
        <x:v>1</x:v>
      </x:c>
      <x:c r="G356" s="95" t="n">
        <x:v>44961</x:v>
      </x:c>
      <x:c r="H356" s="95"/>
      <x:c r="I356" s="86" t="str">
        <x:v>CLT</x:v>
      </x:c>
      <x:c r="J356" s="86" t="str">
        <x:v>Híbrido</x:v>
      </x:c>
      <x:c r="K356" s="91" t="n">
        <x:v>2644.45</x:v>
      </x:c>
      <x:c r="L356" s="86" t="str">
        <x:v>Ativo</x:v>
      </x:c>
      <x:c r="M356" s="87" t="n">
        <x:v>98</x:v>
      </x:c>
    </x:row>
    <x:row r="357">
      <x:c r="A357" s="85" t="n">
        <x:v>356</x:v>
      </x:c>
      <x:c r="B357" s="86" t="str">
        <x:v>F00356</x:v>
      </x:c>
      <x:c r="C357" s="86" t="str">
        <x:v>Larissa Souza Martins</x:v>
      </x:c>
      <x:c r="D357" s="86" t="n">
        <x:v>4</x:v>
      </x:c>
      <x:c r="E357" s="86" t="n">
        <x:v>8</x:v>
      </x:c>
      <x:c r="F357" s="86" t="n">
        <x:v>8</x:v>
      </x:c>
      <x:c r="G357" s="95" t="n">
        <x:v>45131</x:v>
      </x:c>
      <x:c r="H357" s="95"/>
      <x:c r="I357" s="86" t="str">
        <x:v>CLT</x:v>
      </x:c>
      <x:c r="J357" s="86" t="str">
        <x:v>Presencial</x:v>
      </x:c>
      <x:c r="K357" s="91" t="n">
        <x:v>6722.24</x:v>
      </x:c>
      <x:c r="L357" s="86" t="str">
        <x:v>Ativo</x:v>
      </x:c>
      <x:c r="M357" s="87" t="n">
        <x:v>86</x:v>
      </x:c>
    </x:row>
    <x:row r="358">
      <x:c r="A358" s="85" t="n">
        <x:v>357</x:v>
      </x:c>
      <x:c r="B358" s="86" t="str">
        <x:v>F00357</x:v>
      </x:c>
      <x:c r="C358" s="86" t="str">
        <x:v>Beatriz Nascimento Ferreira</x:v>
      </x:c>
      <x:c r="D358" s="86" t="n">
        <x:v>1</x:v>
      </x:c>
      <x:c r="E358" s="86" t="n">
        <x:v>10</x:v>
      </x:c>
      <x:c r="F358" s="86" t="n">
        <x:v>10</x:v>
      </x:c>
      <x:c r="G358" s="95" t="n">
        <x:v>45904</x:v>
      </x:c>
      <x:c r="H358" s="95"/>
      <x:c r="I358" s="86" t="str">
        <x:v>CLT</x:v>
      </x:c>
      <x:c r="J358" s="86" t="str">
        <x:v>Remoto</x:v>
      </x:c>
      <x:c r="K358" s="91" t="n">
        <x:v>7288.15</x:v>
      </x:c>
      <x:c r="L358" s="86" t="str">
        <x:v>Ativo</x:v>
      </x:c>
      <x:c r="M358" s="87" t="n">
        <x:v>24</x:v>
      </x:c>
    </x:row>
    <x:row r="359">
      <x:c r="A359" s="85" t="n">
        <x:v>358</x:v>
      </x:c>
      <x:c r="B359" s="86" t="str">
        <x:v>F00358</x:v>
      </x:c>
      <x:c r="C359" s="86" t="str">
        <x:v>Carlos Gomes Martins</x:v>
      </x:c>
      <x:c r="D359" s="86" t="n">
        <x:v>3</x:v>
      </x:c>
      <x:c r="E359" s="86" t="n">
        <x:v>9</x:v>
      </x:c>
      <x:c r="F359" s="86" t="n">
        <x:v>9</x:v>
      </x:c>
      <x:c r="G359" s="95" t="n">
        <x:v>45077</x:v>
      </x:c>
      <x:c r="H359" s="95" t="n">
        <x:v>45206</x:v>
      </x:c>
      <x:c r="I359" s="86" t="str">
        <x:v>CLT</x:v>
      </x:c>
      <x:c r="J359" s="86" t="str">
        <x:v>Presencial</x:v>
      </x:c>
      <x:c r="K359" s="91" t="n">
        <x:v>6848.85</x:v>
      </x:c>
      <x:c r="L359" s="86" t="str">
        <x:v>Desligado</x:v>
      </x:c>
      <x:c r="M359" s="87" t="n">
        <x:v>13</x:v>
      </x:c>
    </x:row>
    <x:row r="360">
      <x:c r="A360" s="85" t="n">
        <x:v>359</x:v>
      </x:c>
      <x:c r="B360" s="86" t="str">
        <x:v>F00359</x:v>
      </x:c>
      <x:c r="C360" s="86" t="str">
        <x:v>Henrique Almeida Ribeiro</x:v>
      </x:c>
      <x:c r="D360" s="86" t="n">
        <x:v>2</x:v>
      </x:c>
      <x:c r="E360" s="86" t="n">
        <x:v>1</x:v>
      </x:c>
      <x:c r="F360" s="86" t="n">
        <x:v>1</x:v>
      </x:c>
      <x:c r="G360" s="95" t="n">
        <x:v>45339</x:v>
      </x:c>
      <x:c r="H360" s="95"/>
      <x:c r="I360" s="86" t="str">
        <x:v>Estágio</x:v>
      </x:c>
      <x:c r="J360" s="86" t="str">
        <x:v>Presencial</x:v>
      </x:c>
      <x:c r="K360" s="91" t="n">
        <x:v>2937.96</x:v>
      </x:c>
      <x:c r="L360" s="86" t="str">
        <x:v>Ativo</x:v>
      </x:c>
      <x:c r="M360" s="87" t="n">
        <x:v>371</x:v>
      </x:c>
    </x:row>
    <x:row r="361">
      <x:c r="A361" s="85" t="n">
        <x:v>360</x:v>
      </x:c>
      <x:c r="B361" s="86" t="str">
        <x:v>F00360</x:v>
      </x:c>
      <x:c r="C361" s="86" t="str">
        <x:v>Diego Almeida Almeida</x:v>
      </x:c>
      <x:c r="D361" s="86" t="n">
        <x:v>3</x:v>
      </x:c>
      <x:c r="E361" s="86" t="n">
        <x:v>2</x:v>
      </x:c>
      <x:c r="F361" s="86" t="n">
        <x:v>2</x:v>
      </x:c>
      <x:c r="G361" s="95" t="n">
        <x:v>45045</x:v>
      </x:c>
      <x:c r="H361" s="95"/>
      <x:c r="I361" s="86" t="str">
        <x:v>CLT</x:v>
      </x:c>
      <x:c r="J361" s="86" t="str">
        <x:v>Híbrido</x:v>
      </x:c>
      <x:c r="K361" s="91" t="n">
        <x:v>4497.21</x:v>
      </x:c>
      <x:c r="L361" s="86" t="str">
        <x:v>Ativo</x:v>
      </x:c>
      <x:c r="M361" s="87" t="n">
        <x:v>148</x:v>
      </x:c>
    </x:row>
    <x:row r="362">
      <x:c r="A362" s="85" t="n">
        <x:v>361</x:v>
      </x:c>
      <x:c r="B362" s="86" t="str">
        <x:v>F00361</x:v>
      </x:c>
      <x:c r="C362" s="86" t="str">
        <x:v>Natália Cardoso Rocha</x:v>
      </x:c>
      <x:c r="D362" s="86" t="n">
        <x:v>4</x:v>
      </x:c>
      <x:c r="E362" s="86" t="n">
        <x:v>8</x:v>
      </x:c>
      <x:c r="F362" s="86" t="n">
        <x:v>8</x:v>
      </x:c>
      <x:c r="G362" s="95" t="n">
        <x:v>45657</x:v>
      </x:c>
      <x:c r="H362" s="95"/>
      <x:c r="I362" s="86" t="str">
        <x:v>CLT</x:v>
      </x:c>
      <x:c r="J362" s="86" t="str">
        <x:v>Presencial</x:v>
      </x:c>
      <x:c r="K362" s="91" t="n">
        <x:v>5547.07</x:v>
      </x:c>
      <x:c r="L362" s="86" t="str">
        <x:v>Ativo</x:v>
      </x:c>
      <x:c r="M362" s="87" t="n">
        <x:v>64</x:v>
      </x:c>
    </x:row>
    <x:row r="363">
      <x:c r="A363" s="85" t="n">
        <x:v>362</x:v>
      </x:c>
      <x:c r="B363" s="86" t="str">
        <x:v>F00362</x:v>
      </x:c>
      <x:c r="C363" s="86" t="str">
        <x:v>Joana Santos Cardoso</x:v>
      </x:c>
      <x:c r="D363" s="86" t="n">
        <x:v>2</x:v>
      </x:c>
      <x:c r="E363" s="86" t="n">
        <x:v>10</x:v>
      </x:c>
      <x:c r="F363" s="86" t="n">
        <x:v>10</x:v>
      </x:c>
      <x:c r="G363" s="95" t="n">
        <x:v>45561</x:v>
      </x:c>
      <x:c r="H363" s="95"/>
      <x:c r="I363" s="86" t="str">
        <x:v>CLT</x:v>
      </x:c>
      <x:c r="J363" s="86" t="str">
        <x:v>Presencial</x:v>
      </x:c>
      <x:c r="K363" s="91" t="n">
        <x:v>4961.76</x:v>
      </x:c>
      <x:c r="L363" s="86" t="str">
        <x:v>Ativo</x:v>
      </x:c>
      <x:c r="M363" s="87" t="n">
        <x:v>24</x:v>
      </x:c>
    </x:row>
    <x:row r="364">
      <x:c r="A364" s="85" t="n">
        <x:v>363</x:v>
      </x:c>
      <x:c r="B364" s="86" t="str">
        <x:v>F00363</x:v>
      </x:c>
      <x:c r="C364" s="86" t="str">
        <x:v>Daniela Nascimento Cardoso</x:v>
      </x:c>
      <x:c r="D364" s="86" t="n">
        <x:v>1</x:v>
      </x:c>
      <x:c r="E364" s="86" t="n">
        <x:v>1</x:v>
      </x:c>
      <x:c r="F364" s="86" t="n">
        <x:v>1</x:v>
      </x:c>
      <x:c r="G364" s="95" t="n">
        <x:v>45194</x:v>
      </x:c>
      <x:c r="H364" s="95"/>
      <x:c r="I364" s="86" t="str">
        <x:v>CLT</x:v>
      </x:c>
      <x:c r="J364" s="86" t="str">
        <x:v>Híbrido</x:v>
      </x:c>
      <x:c r="K364" s="91" t="n">
        <x:v>2830.73</x:v>
      </x:c>
      <x:c r="L364" s="86" t="str">
        <x:v>Ativo</x:v>
      </x:c>
      <x:c r="M364" s="87" t="n">
        <x:v>98</x:v>
      </x:c>
    </x:row>
    <x:row r="365">
      <x:c r="A365" s="85" t="n">
        <x:v>364</x:v>
      </x:c>
      <x:c r="B365" s="86" t="str">
        <x:v>F00364</x:v>
      </x:c>
      <x:c r="C365" s="86" t="str">
        <x:v>Camila Silva Moreira</x:v>
      </x:c>
      <x:c r="D365" s="86" t="n">
        <x:v>1</x:v>
      </x:c>
      <x:c r="E365" s="86" t="n">
        <x:v>5</x:v>
      </x:c>
      <x:c r="F365" s="86" t="n">
        <x:v>5</x:v>
      </x:c>
      <x:c r="G365" s="95" t="n">
        <x:v>45181</x:v>
      </x:c>
      <x:c r="H365" s="95"/>
      <x:c r="I365" s="86" t="str">
        <x:v>CLT</x:v>
      </x:c>
      <x:c r="J365" s="86" t="str">
        <x:v>Presencial</x:v>
      </x:c>
      <x:c r="K365" s="91" t="n">
        <x:v>8632.81</x:v>
      </x:c>
      <x:c r="L365" s="86" t="str">
        <x:v>Ativo</x:v>
      </x:c>
      <x:c r="M365" s="87" t="n">
        <x:v>39</x:v>
      </x:c>
    </x:row>
    <x:row r="366">
      <x:c r="A366" s="85" t="n">
        <x:v>365</x:v>
      </x:c>
      <x:c r="B366" s="86" t="str">
        <x:v>F00365</x:v>
      </x:c>
      <x:c r="C366" s="86" t="str">
        <x:v>Henrique Rocha Santos</x:v>
      </x:c>
      <x:c r="D366" s="86" t="n">
        <x:v>1</x:v>
      </x:c>
      <x:c r="E366" s="86" t="n">
        <x:v>1</x:v>
      </x:c>
      <x:c r="F366" s="86" t="n">
        <x:v>1</x:v>
      </x:c>
      <x:c r="G366" s="95" t="n">
        <x:v>45728</x:v>
      </x:c>
      <x:c r="H366" s="95"/>
      <x:c r="I366" s="86" t="str">
        <x:v>CLT</x:v>
      </x:c>
      <x:c r="J366" s="86" t="str">
        <x:v>Presencial</x:v>
      </x:c>
      <x:c r="K366" s="91" t="n">
        <x:v>3201.82</x:v>
      </x:c>
      <x:c r="L366" s="86" t="str">
        <x:v>Ativo</x:v>
      </x:c>
      <x:c r="M366" s="87" t="n">
        <x:v>396</x:v>
      </x:c>
    </x:row>
    <x:row r="367">
      <x:c r="A367" s="85" t="n">
        <x:v>366</x:v>
      </x:c>
      <x:c r="B367" s="86" t="str">
        <x:v>F00366</x:v>
      </x:c>
      <x:c r="C367" s="86" t="str">
        <x:v>Eduardo Gomes Almeida</x:v>
      </x:c>
      <x:c r="D367" s="86" t="n">
        <x:v>2</x:v>
      </x:c>
      <x:c r="E367" s="86" t="n">
        <x:v>1</x:v>
      </x:c>
      <x:c r="F367" s="86" t="n">
        <x:v>1</x:v>
      </x:c>
      <x:c r="G367" s="95" t="n">
        <x:v>45507</x:v>
      </x:c>
      <x:c r="H367" s="95" t="n">
        <x:v>45955</x:v>
      </x:c>
      <x:c r="I367" s="86" t="str">
        <x:v>CLT</x:v>
      </x:c>
      <x:c r="J367" s="86" t="str">
        <x:v>Presencial</x:v>
      </x:c>
      <x:c r="K367" s="91" t="n">
        <x:v>2362.14</x:v>
      </x:c>
      <x:c r="L367" s="86" t="str">
        <x:v>Desligado</x:v>
      </x:c>
      <x:c r="M367" s="87" t="n">
        <x:v>78</x:v>
      </x:c>
    </x:row>
    <x:row r="368">
      <x:c r="A368" s="85" t="n">
        <x:v>367</x:v>
      </x:c>
      <x:c r="B368" s="86" t="str">
        <x:v>F00367</x:v>
      </x:c>
      <x:c r="C368" s="86" t="str">
        <x:v>Mariana Martins Mendes</x:v>
      </x:c>
      <x:c r="D368" s="86" t="n">
        <x:v>1</x:v>
      </x:c>
      <x:c r="E368" s="86" t="n">
        <x:v>3</x:v>
      </x:c>
      <x:c r="F368" s="86" t="n">
        <x:v>3</x:v>
      </x:c>
      <x:c r="G368" s="95" t="n">
        <x:v>45944</x:v>
      </x:c>
      <x:c r="H368" s="95"/>
      <x:c r="I368" s="86" t="str">
        <x:v>CLT</x:v>
      </x:c>
      <x:c r="J368" s="86" t="str">
        <x:v>Presencial</x:v>
      </x:c>
      <x:c r="K368" s="91" t="n">
        <x:v>3708.24</x:v>
      </x:c>
      <x:c r="L368" s="86" t="str">
        <x:v>Ativo</x:v>
      </x:c>
      <x:c r="M368" s="87" t="n">
        <x:v>26</x:v>
      </x:c>
    </x:row>
    <x:row r="369">
      <x:c r="A369" s="85" t="n">
        <x:v>368</x:v>
      </x:c>
      <x:c r="B369" s="86" t="str">
        <x:v>F00368</x:v>
      </x:c>
      <x:c r="C369" s="86" t="str">
        <x:v>Henrique Souza Oliveira</x:v>
      </x:c>
      <x:c r="D369" s="86" t="n">
        <x:v>2</x:v>
      </x:c>
      <x:c r="E369" s="86" t="n">
        <x:v>1</x:v>
      </x:c>
      <x:c r="F369" s="86" t="n">
        <x:v>1</x:v>
      </x:c>
      <x:c r="G369" s="95" t="n">
        <x:v>45039</x:v>
      </x:c>
      <x:c r="H369" s="95"/>
      <x:c r="I369" s="86" t="str">
        <x:v>CLT</x:v>
      </x:c>
      <x:c r="J369" s="86" t="str">
        <x:v>Presencial</x:v>
      </x:c>
      <x:c r="K369" s="91" t="n">
        <x:v>2228.79</x:v>
      </x:c>
      <x:c r="L369" s="86" t="str">
        <x:v>Ativo</x:v>
      </x:c>
      <x:c r="M369" s="87" t="n">
        <x:v>77</x:v>
      </x:c>
    </x:row>
    <x:row r="370">
      <x:c r="A370" s="85" t="n">
        <x:v>369</x:v>
      </x:c>
      <x:c r="B370" s="86" t="str">
        <x:v>F00369</x:v>
      </x:c>
      <x:c r="C370" s="86" t="str">
        <x:v>Rafael Barbosa Oliveira</x:v>
      </x:c>
      <x:c r="D370" s="86" t="n">
        <x:v>1</x:v>
      </x:c>
      <x:c r="E370" s="86" t="n">
        <x:v>1</x:v>
      </x:c>
      <x:c r="F370" s="86" t="n">
        <x:v>1</x:v>
      </x:c>
      <x:c r="G370" s="95" t="n">
        <x:v>45473</x:v>
      </x:c>
      <x:c r="H370" s="95"/>
      <x:c r="I370" s="86" t="str">
        <x:v>CLT</x:v>
      </x:c>
      <x:c r="J370" s="86" t="str">
        <x:v>Presencial</x:v>
      </x:c>
      <x:c r="K370" s="91" t="n">
        <x:v>3510.71</x:v>
      </x:c>
      <x:c r="L370" s="86" t="str">
        <x:v>Ativo</x:v>
      </x:c>
      <x:c r="M370" s="87" t="n">
        <x:v>78</x:v>
      </x:c>
    </x:row>
    <x:row r="371">
      <x:c r="A371" s="85" t="n">
        <x:v>370</x:v>
      </x:c>
      <x:c r="B371" s="86" t="str">
        <x:v>F00370</x:v>
      </x:c>
      <x:c r="C371" s="86" t="str">
        <x:v>Henrique Cardoso Teixeira</x:v>
      </x:c>
      <x:c r="D371" s="86" t="n">
        <x:v>2</x:v>
      </x:c>
      <x:c r="E371" s="86" t="n">
        <x:v>4</x:v>
      </x:c>
      <x:c r="F371" s="86" t="n">
        <x:v>4</x:v>
      </x:c>
      <x:c r="G371" s="95" t="n">
        <x:v>45949</x:v>
      </x:c>
      <x:c r="H371" s="95"/>
      <x:c r="I371" s="86" t="str">
        <x:v>CLT</x:v>
      </x:c>
      <x:c r="J371" s="86" t="str">
        <x:v>Híbrido</x:v>
      </x:c>
      <x:c r="K371" s="91" t="n">
        <x:v>6194.87</x:v>
      </x:c>
      <x:c r="L371" s="86" t="str">
        <x:v>Ativo</x:v>
      </x:c>
      <x:c r="M371" s="87" t="n">
        <x:v>61</x:v>
      </x:c>
    </x:row>
    <x:row r="372">
      <x:c r="A372" s="85" t="n">
        <x:v>371</x:v>
      </x:c>
      <x:c r="B372" s="86" t="str">
        <x:v>F00371</x:v>
      </x:c>
      <x:c r="C372" s="86" t="str">
        <x:v>Carolina Costa Moreira</x:v>
      </x:c>
      <x:c r="D372" s="86" t="n">
        <x:v>3</x:v>
      </x:c>
      <x:c r="E372" s="86" t="n">
        <x:v>1</x:v>
      </x:c>
      <x:c r="F372" s="86" t="n">
        <x:v>11</x:v>
      </x:c>
      <x:c r="G372" s="95" t="n">
        <x:v>45095</x:v>
      </x:c>
      <x:c r="H372" s="95"/>
      <x:c r="I372" s="86" t="str">
        <x:v>CLT</x:v>
      </x:c>
      <x:c r="J372" s="86" t="str">
        <x:v>Híbrido</x:v>
      </x:c>
      <x:c r="K372" s="91" t="n">
        <x:v>9665.12</x:v>
      </x:c>
      <x:c r="L372" s="86" t="str">
        <x:v>Ativo</x:v>
      </x:c>
      <x:c r="M372" s="87" t="n">
        <x:v>202</x:v>
      </x:c>
    </x:row>
    <x:row r="373">
      <x:c r="A373" s="85" t="n">
        <x:v>372</x:v>
      </x:c>
      <x:c r="B373" s="86" t="str">
        <x:v>F00372</x:v>
      </x:c>
      <x:c r="C373" s="86" t="str">
        <x:v>Eduarda Gomes Martins</x:v>
      </x:c>
      <x:c r="D373" s="86" t="n">
        <x:v>3</x:v>
      </x:c>
      <x:c r="E373" s="86" t="n">
        <x:v>2</x:v>
      </x:c>
      <x:c r="F373" s="86" t="n">
        <x:v>2</x:v>
      </x:c>
      <x:c r="G373" s="95" t="n">
        <x:v>45631</x:v>
      </x:c>
      <x:c r="H373" s="95"/>
      <x:c r="I373" s="86" t="str">
        <x:v>CLT</x:v>
      </x:c>
      <x:c r="J373" s="86" t="str">
        <x:v>Presencial</x:v>
      </x:c>
      <x:c r="K373" s="91" t="n">
        <x:v>3698.68</x:v>
      </x:c>
      <x:c r="L373" s="86" t="str">
        <x:v>Ativo</x:v>
      </x:c>
      <x:c r="M373" s="87" t="n">
        <x:v>104</x:v>
      </x:c>
    </x:row>
    <x:row r="374">
      <x:c r="A374" s="85" t="n">
        <x:v>373</x:v>
      </x:c>
      <x:c r="B374" s="86" t="str">
        <x:v>F00373</x:v>
      </x:c>
      <x:c r="C374" s="86" t="str">
        <x:v>Vitória Oliveira Teixeira</x:v>
      </x:c>
      <x:c r="D374" s="86" t="n">
        <x:v>1</x:v>
      </x:c>
      <x:c r="E374" s="86" t="n">
        <x:v>1</x:v>
      </x:c>
      <x:c r="F374" s="86" t="n">
        <x:v>1</x:v>
      </x:c>
      <x:c r="G374" s="95" t="n">
        <x:v>45780</x:v>
      </x:c>
      <x:c r="H374" s="95"/>
      <x:c r="I374" s="86" t="str">
        <x:v>Temporário</x:v>
      </x:c>
      <x:c r="J374" s="86" t="str">
        <x:v>Remoto</x:v>
      </x:c>
      <x:c r="K374" s="91" t="n">
        <x:v>3258.07</x:v>
      </x:c>
      <x:c r="L374" s="86" t="str">
        <x:v>Ativo</x:v>
      </x:c>
      <x:c r="M374" s="87" t="n">
        <x:v>185</x:v>
      </x:c>
    </x:row>
    <x:row r="375">
      <x:c r="A375" s="85" t="n">
        <x:v>374</x:v>
      </x:c>
      <x:c r="B375" s="86" t="str">
        <x:v>F00374</x:v>
      </x:c>
      <x:c r="C375" s="86" t="str">
        <x:v>Bruno Martins Almeida</x:v>
      </x:c>
      <x:c r="D375" s="86" t="n">
        <x:v>2</x:v>
      </x:c>
      <x:c r="E375" s="86" t="n">
        <x:v>1</x:v>
      </x:c>
      <x:c r="F375" s="86" t="n">
        <x:v>1</x:v>
      </x:c>
      <x:c r="G375" s="95" t="n">
        <x:v>45167</x:v>
      </x:c>
      <x:c r="H375" s="95" t="n">
        <x:v>45414</x:v>
      </x:c>
      <x:c r="I375" s="86" t="str">
        <x:v>Estágio</x:v>
      </x:c>
      <x:c r="J375" s="86" t="str">
        <x:v>Presencial</x:v>
      </x:c>
      <x:c r="K375" s="91" t="n">
        <x:v>2587.93</x:v>
      </x:c>
      <x:c r="L375" s="86" t="str">
        <x:v>Desligado</x:v>
      </x:c>
      <x:c r="M375" s="87" t="n">
        <x:v>185</x:v>
      </x:c>
    </x:row>
    <x:row r="376">
      <x:c r="A376" s="85" t="n">
        <x:v>375</x:v>
      </x:c>
      <x:c r="B376" s="86" t="str">
        <x:v>F00375</x:v>
      </x:c>
      <x:c r="C376" s="86" t="str">
        <x:v>Camila Rocha Cardoso</x:v>
      </x:c>
      <x:c r="D376" s="86" t="n">
        <x:v>2</x:v>
      </x:c>
      <x:c r="E376" s="86" t="n">
        <x:v>1</x:v>
      </x:c>
      <x:c r="F376" s="86" t="n">
        <x:v>1</x:v>
      </x:c>
      <x:c r="G376" s="95" t="n">
        <x:v>45114</x:v>
      </x:c>
      <x:c r="H376" s="95"/>
      <x:c r="I376" s="86" t="str">
        <x:v>CLT</x:v>
      </x:c>
      <x:c r="J376" s="86" t="str">
        <x:v>Presencial</x:v>
      </x:c>
      <x:c r="K376" s="91" t="n">
        <x:v>2304.65</x:v>
      </x:c>
      <x:c r="L376" s="86" t="str">
        <x:v>Ativo</x:v>
      </x:c>
      <x:c r="M376" s="87" t="n">
        <x:v>10</x:v>
      </x:c>
    </x:row>
    <x:row r="377">
      <x:c r="A377" s="85" t="n">
        <x:v>376</x:v>
      </x:c>
      <x:c r="B377" s="86" t="str">
        <x:v>F00376</x:v>
      </x:c>
      <x:c r="C377" s="86" t="str">
        <x:v>Gustavo Teixeira Costa</x:v>
      </x:c>
      <x:c r="D377" s="86" t="n">
        <x:v>2</x:v>
      </x:c>
      <x:c r="E377" s="86" t="n">
        <x:v>4</x:v>
      </x:c>
      <x:c r="F377" s="86" t="n">
        <x:v>14</x:v>
      </x:c>
      <x:c r="G377" s="95" t="n">
        <x:v>45840</x:v>
      </x:c>
      <x:c r="H377" s="95" t="n">
        <x:v>45982</x:v>
      </x:c>
      <x:c r="I377" s="86" t="str">
        <x:v>CLT</x:v>
      </x:c>
      <x:c r="J377" s="86" t="str">
        <x:v>Presencial</x:v>
      </x:c>
      <x:c r="K377" s="91" t="n">
        <x:v>9361.05</x:v>
      </x:c>
      <x:c r="L377" s="86" t="str">
        <x:v>Desligado</x:v>
      </x:c>
      <x:c r="M377" s="87" t="n">
        <x:v>61</x:v>
      </x:c>
    </x:row>
    <x:row r="378">
      <x:c r="A378" s="85" t="n">
        <x:v>377</x:v>
      </x:c>
      <x:c r="B378" s="86" t="str">
        <x:v>F00377</x:v>
      </x:c>
      <x:c r="C378" s="86" t="str">
        <x:v>Camila Nascimento Gomes</x:v>
      </x:c>
      <x:c r="D378" s="86" t="n">
        <x:v>4</x:v>
      </x:c>
      <x:c r="E378" s="86" t="n">
        <x:v>7</x:v>
      </x:c>
      <x:c r="F378" s="86" t="n">
        <x:v>7</x:v>
      </x:c>
      <x:c r="G378" s="95" t="n">
        <x:v>45786</x:v>
      </x:c>
      <x:c r="H378" s="95"/>
      <x:c r="I378" s="86" t="str">
        <x:v>CLT</x:v>
      </x:c>
      <x:c r="J378" s="86" t="str">
        <x:v>Presencial</x:v>
      </x:c>
      <x:c r="K378" s="91" t="n">
        <x:v>6523.46</x:v>
      </x:c>
      <x:c r="L378" s="86" t="str">
        <x:v>Ativo</x:v>
      </x:c>
      <x:c r="M378" s="87" t="n">
        <x:v>156</x:v>
      </x:c>
    </x:row>
    <x:row r="379">
      <x:c r="A379" s="85" t="n">
        <x:v>378</x:v>
      </x:c>
      <x:c r="B379" s="86" t="str">
        <x:v>F00378</x:v>
      </x:c>
      <x:c r="C379" s="86" t="str">
        <x:v>Felipe Ribeiro Pereira</x:v>
      </x:c>
      <x:c r="D379" s="86" t="n">
        <x:v>2</x:v>
      </x:c>
      <x:c r="E379" s="86" t="n">
        <x:v>5</x:v>
      </x:c>
      <x:c r="F379" s="86" t="n">
        <x:v>5</x:v>
      </x:c>
      <x:c r="G379" s="95" t="n">
        <x:v>45647</x:v>
      </x:c>
      <x:c r="H379" s="95"/>
      <x:c r="I379" s="86" t="str">
        <x:v>CLT</x:v>
      </x:c>
      <x:c r="J379" s="86" t="str">
        <x:v>Híbrido</x:v>
      </x:c>
      <x:c r="K379" s="91" t="n">
        <x:v>9819.12</x:v>
      </x:c>
      <x:c r="L379" s="86" t="str">
        <x:v>Ativo</x:v>
      </x:c>
      <x:c r="M379" s="87" t="n">
        <x:v>94</x:v>
      </x:c>
    </x:row>
    <x:row r="380">
      <x:c r="A380" s="85" t="n">
        <x:v>379</x:v>
      </x:c>
      <x:c r="B380" s="86" t="str">
        <x:v>F00379</x:v>
      </x:c>
      <x:c r="C380" s="86" t="str">
        <x:v>Henrique Cardoso Souza</x:v>
      </x:c>
      <x:c r="D380" s="86" t="n">
        <x:v>2</x:v>
      </x:c>
      <x:c r="E380" s="86" t="n">
        <x:v>2</x:v>
      </x:c>
      <x:c r="F380" s="86" t="n">
        <x:v>2</x:v>
      </x:c>
      <x:c r="G380" s="95" t="n">
        <x:v>45024</x:v>
      </x:c>
      <x:c r="H380" s="95"/>
      <x:c r="I380" s="86" t="str">
        <x:v>CLT</x:v>
      </x:c>
      <x:c r="J380" s="86" t="str">
        <x:v>Presencial</x:v>
      </x:c>
      <x:c r="K380" s="91" t="n">
        <x:v>4234.64</x:v>
      </x:c>
      <x:c r="L380" s="86" t="str">
        <x:v>Ativo</x:v>
      </x:c>
      <x:c r="M380" s="87" t="n">
        <x:v>104</x:v>
      </x:c>
    </x:row>
    <x:row r="381">
      <x:c r="A381" s="85" t="n">
        <x:v>380</x:v>
      </x:c>
      <x:c r="B381" s="86" t="str">
        <x:v>F00380</x:v>
      </x:c>
      <x:c r="C381" s="86" t="str">
        <x:v>Carolina Lima Costa</x:v>
      </x:c>
      <x:c r="D381" s="86" t="n">
        <x:v>3</x:v>
      </x:c>
      <x:c r="E381" s="86" t="n">
        <x:v>1</x:v>
      </x:c>
      <x:c r="F381" s="86" t="n">
        <x:v>1</x:v>
      </x:c>
      <x:c r="G381" s="95" t="n">
        <x:v>45356</x:v>
      </x:c>
      <x:c r="H381" s="95"/>
      <x:c r="I381" s="86" t="str">
        <x:v>CLT</x:v>
      </x:c>
      <x:c r="J381" s="86" t="str">
        <x:v>Presencial</x:v>
      </x:c>
      <x:c r="K381" s="91" t="n">
        <x:v>3184.54</x:v>
      </x:c>
      <x:c r="L381" s="86" t="str">
        <x:v>Ativo</x:v>
      </x:c>
      <x:c r="M381" s="87" t="n">
        <x:v>77</x:v>
      </x:c>
    </x:row>
    <x:row r="382">
      <x:c r="A382" s="85" t="n">
        <x:v>381</x:v>
      </x:c>
      <x:c r="B382" s="86" t="str">
        <x:v>F00381</x:v>
      </x:c>
      <x:c r="C382" s="86" t="str">
        <x:v>Diego Rodrigues Barbosa</x:v>
      </x:c>
      <x:c r="D382" s="86" t="n">
        <x:v>1</x:v>
      </x:c>
      <x:c r="E382" s="86" t="n">
        <x:v>5</x:v>
      </x:c>
      <x:c r="F382" s="86" t="n">
        <x:v>5</x:v>
      </x:c>
      <x:c r="G382" s="95" t="n">
        <x:v>45302</x:v>
      </x:c>
      <x:c r="H382" s="95"/>
      <x:c r="I382" s="86" t="str">
        <x:v>CLT</x:v>
      </x:c>
      <x:c r="J382" s="86" t="str">
        <x:v>Presencial</x:v>
      </x:c>
      <x:c r="K382" s="91" t="n">
        <x:v>9411.79</x:v>
      </x:c>
      <x:c r="L382" s="86" t="str">
        <x:v>Ativo</x:v>
      </x:c>
      <x:c r="M382" s="87" t="n">
        <x:v>94</x:v>
      </x:c>
    </x:row>
    <x:row r="383">
      <x:c r="A383" s="85" t="n">
        <x:v>382</x:v>
      </x:c>
      <x:c r="B383" s="86" t="str">
        <x:v>F00382</x:v>
      </x:c>
      <x:c r="C383" s="86" t="str">
        <x:v>Gabriela Rocha Souza</x:v>
      </x:c>
      <x:c r="D383" s="86" t="n">
        <x:v>2</x:v>
      </x:c>
      <x:c r="E383" s="86" t="n">
        <x:v>5</x:v>
      </x:c>
      <x:c r="F383" s="86" t="n">
        <x:v>5</x:v>
      </x:c>
      <x:c r="G383" s="95" t="n">
        <x:v>45244</x:v>
      </x:c>
      <x:c r="H383" s="95"/>
      <x:c r="I383" s="86" t="str">
        <x:v>CLT</x:v>
      </x:c>
      <x:c r="J383" s="86" t="str">
        <x:v>Presencial</x:v>
      </x:c>
      <x:c r="K383" s="91" t="n">
        <x:v>9298.39</x:v>
      </x:c>
      <x:c r="L383" s="86" t="str">
        <x:v>Ativo</x:v>
      </x:c>
      <x:c r="M383" s="87" t="n">
        <x:v>38</x:v>
      </x:c>
    </x:row>
    <x:row r="384">
      <x:c r="A384" s="85" t="n">
        <x:v>383</x:v>
      </x:c>
      <x:c r="B384" s="86" t="str">
        <x:v>F00383</x:v>
      </x:c>
      <x:c r="C384" s="86" t="str">
        <x:v>Larissa Rocha Martins</x:v>
      </x:c>
      <x:c r="D384" s="86" t="n">
        <x:v>3</x:v>
      </x:c>
      <x:c r="E384" s="86" t="n">
        <x:v>3</x:v>
      </x:c>
      <x:c r="F384" s="86" t="n">
        <x:v>3</x:v>
      </x:c>
      <x:c r="G384" s="95" t="n">
        <x:v>45920</x:v>
      </x:c>
      <x:c r="H384" s="95"/>
      <x:c r="I384" s="86" t="str">
        <x:v>Temporário</x:v>
      </x:c>
      <x:c r="J384" s="86" t="str">
        <x:v>Presencial</x:v>
      </x:c>
      <x:c r="K384" s="91" t="n">
        <x:v>4597.72</x:v>
      </x:c>
      <x:c r="L384" s="86" t="str">
        <x:v>Ativo</x:v>
      </x:c>
      <x:c r="M384" s="87" t="n">
        <x:v>26</x:v>
      </x:c>
    </x:row>
    <x:row r="385">
      <x:c r="A385" s="85" t="n">
        <x:v>384</x:v>
      </x:c>
      <x:c r="B385" s="86" t="str">
        <x:v>F00384</x:v>
      </x:c>
      <x:c r="C385" s="86" t="str">
        <x:v>Daniela Ribeiro Moreira</x:v>
      </x:c>
      <x:c r="D385" s="86" t="n">
        <x:v>3</x:v>
      </x:c>
      <x:c r="E385" s="86" t="n">
        <x:v>5</x:v>
      </x:c>
      <x:c r="F385" s="86" t="n">
        <x:v>5</x:v>
      </x:c>
      <x:c r="G385" s="95" t="n">
        <x:v>45701</x:v>
      </x:c>
      <x:c r="H385" s="95"/>
      <x:c r="I385" s="86" t="str">
        <x:v>CLT</x:v>
      </x:c>
      <x:c r="J385" s="86" t="str">
        <x:v>Presencial</x:v>
      </x:c>
      <x:c r="K385" s="91" t="n">
        <x:v>8914</x:v>
      </x:c>
      <x:c r="L385" s="86" t="str">
        <x:v>Ativo</x:v>
      </x:c>
      <x:c r="M385" s="87" t="n">
        <x:v>94</x:v>
      </x:c>
    </x:row>
    <x:row r="386">
      <x:c r="A386" s="85" t="n">
        <x:v>385</x:v>
      </x:c>
      <x:c r="B386" s="86" t="str">
        <x:v>F00385</x:v>
      </x:c>
      <x:c r="C386" s="86" t="str">
        <x:v>Eduarda Ferreira Almeida</x:v>
      </x:c>
      <x:c r="D386" s="86" t="n">
        <x:v>1</x:v>
      </x:c>
      <x:c r="E386" s="86" t="n">
        <x:v>3</x:v>
      </x:c>
      <x:c r="F386" s="86" t="n">
        <x:v>3</x:v>
      </x:c>
      <x:c r="G386" s="95" t="n">
        <x:v>45794</x:v>
      </x:c>
      <x:c r="H386" s="95"/>
      <x:c r="I386" s="86" t="str">
        <x:v>CLT</x:v>
      </x:c>
      <x:c r="J386" s="86" t="str">
        <x:v>Presencial</x:v>
      </x:c>
      <x:c r="K386" s="91" t="n">
        <x:v>3302.08</x:v>
      </x:c>
      <x:c r="L386" s="86" t="str">
        <x:v>Ativo</x:v>
      </x:c>
      <x:c r="M386" s="87" t="n">
        <x:v>177</x:v>
      </x:c>
    </x:row>
    <x:row r="387">
      <x:c r="A387" s="85" t="n">
        <x:v>386</x:v>
      </x:c>
      <x:c r="B387" s="86" t="str">
        <x:v>F00386</x:v>
      </x:c>
      <x:c r="C387" s="86" t="str">
        <x:v>Rafael Costa Souza</x:v>
      </x:c>
      <x:c r="D387" s="86" t="n">
        <x:v>3</x:v>
      </x:c>
      <x:c r="E387" s="86" t="n">
        <x:v>1</x:v>
      </x:c>
      <x:c r="F387" s="86" t="n">
        <x:v>1</x:v>
      </x:c>
      <x:c r="G387" s="95" t="n">
        <x:v>45257</x:v>
      </x:c>
      <x:c r="H387" s="95"/>
      <x:c r="I387" s="86" t="str">
        <x:v>CLT</x:v>
      </x:c>
      <x:c r="J387" s="86" t="str">
        <x:v>Presencial</x:v>
      </x:c>
      <x:c r="K387" s="91" t="n">
        <x:v>2386.35</x:v>
      </x:c>
      <x:c r="L387" s="86" t="str">
        <x:v>Ativo</x:v>
      </x:c>
      <x:c r="M387" s="87" t="n">
        <x:v>78</x:v>
      </x:c>
    </x:row>
    <x:row r="388">
      <x:c r="A388" s="85" t="n">
        <x:v>387</x:v>
      </x:c>
      <x:c r="B388" s="86" t="str">
        <x:v>F00387</x:v>
      </x:c>
      <x:c r="C388" s="86" t="str">
        <x:v>Henrique Silva Santos</x:v>
      </x:c>
      <x:c r="D388" s="86" t="n">
        <x:v>1</x:v>
      </x:c>
      <x:c r="E388" s="86" t="n">
        <x:v>5</x:v>
      </x:c>
      <x:c r="F388" s="86" t="n">
        <x:v>5</x:v>
      </x:c>
      <x:c r="G388" s="95" t="n">
        <x:v>45469</x:v>
      </x:c>
      <x:c r="H388" s="95"/>
      <x:c r="I388" s="86" t="str">
        <x:v>Temporário</x:v>
      </x:c>
      <x:c r="J388" s="86" t="str">
        <x:v>Presencial</x:v>
      </x:c>
      <x:c r="K388" s="91" t="n">
        <x:v>6966.49</x:v>
      </x:c>
      <x:c r="L388" s="86" t="str">
        <x:v>Ativo</x:v>
      </x:c>
      <x:c r="M388" s="87" t="n">
        <x:v>39</x:v>
      </x:c>
    </x:row>
    <x:row r="389">
      <x:c r="A389" s="85" t="n">
        <x:v>388</x:v>
      </x:c>
      <x:c r="B389" s="86" t="str">
        <x:v>F00388</x:v>
      </x:c>
      <x:c r="C389" s="86" t="str">
        <x:v>Lucas Santos Souza</x:v>
      </x:c>
      <x:c r="D389" s="86" t="n">
        <x:v>3</x:v>
      </x:c>
      <x:c r="E389" s="86" t="n">
        <x:v>1</x:v>
      </x:c>
      <x:c r="F389" s="86" t="n">
        <x:v>1</x:v>
      </x:c>
      <x:c r="G389" s="95" t="n">
        <x:v>45316</x:v>
      </x:c>
      <x:c r="H389" s="95"/>
      <x:c r="I389" s="86" t="str">
        <x:v>CLT</x:v>
      </x:c>
      <x:c r="J389" s="86" t="str">
        <x:v>Presencial</x:v>
      </x:c>
      <x:c r="K389" s="91" t="n">
        <x:v>2757.25</x:v>
      </x:c>
      <x:c r="L389" s="86" t="str">
        <x:v>Ativo</x:v>
      </x:c>
      <x:c r="M389" s="87" t="n">
        <x:v>78</x:v>
      </x:c>
    </x:row>
    <x:row r="390">
      <x:c r="A390" s="85" t="n">
        <x:v>389</x:v>
      </x:c>
      <x:c r="B390" s="86" t="str">
        <x:v>F00389</x:v>
      </x:c>
      <x:c r="C390" s="86" t="str">
        <x:v>Camila Gomes Gomes</x:v>
      </x:c>
      <x:c r="D390" s="86" t="n">
        <x:v>3</x:v>
      </x:c>
      <x:c r="E390" s="86" t="n">
        <x:v>3</x:v>
      </x:c>
      <x:c r="F390" s="86" t="n">
        <x:v>3</x:v>
      </x:c>
      <x:c r="G390" s="95" t="n">
        <x:v>45340</x:v>
      </x:c>
      <x:c r="H390" s="95"/>
      <x:c r="I390" s="86" t="str">
        <x:v>CLT</x:v>
      </x:c>
      <x:c r="J390" s="86" t="str">
        <x:v>Presencial</x:v>
      </x:c>
      <x:c r="K390" s="91" t="n">
        <x:v>3965.17</x:v>
      </x:c>
      <x:c r="L390" s="86" t="str">
        <x:v>Ativo</x:v>
      </x:c>
      <x:c r="M390" s="87" t="n">
        <x:v>26</x:v>
      </x:c>
    </x:row>
    <x:row r="391">
      <x:c r="A391" s="85" t="n">
        <x:v>390</x:v>
      </x:c>
      <x:c r="B391" s="86" t="str">
        <x:v>F00390</x:v>
      </x:c>
      <x:c r="C391" s="86" t="str">
        <x:v>João Pereira Barbosa</x:v>
      </x:c>
      <x:c r="D391" s="86" t="n">
        <x:v>3</x:v>
      </x:c>
      <x:c r="E391" s="86" t="n">
        <x:v>5</x:v>
      </x:c>
      <x:c r="F391" s="86" t="n">
        <x:v>5</x:v>
      </x:c>
      <x:c r="G391" s="95" t="n">
        <x:v>45215</x:v>
      </x:c>
      <x:c r="H391" s="95"/>
      <x:c r="I391" s="86" t="str">
        <x:v>CLT</x:v>
      </x:c>
      <x:c r="J391" s="86" t="str">
        <x:v>Presencial</x:v>
      </x:c>
      <x:c r="K391" s="91" t="n">
        <x:v>6979.5</x:v>
      </x:c>
      <x:c r="L391" s="86" t="str">
        <x:v>Ativo</x:v>
      </x:c>
      <x:c r="M391" s="87" t="n">
        <x:v>326</x:v>
      </x:c>
    </x:row>
    <x:row r="392">
      <x:c r="A392" s="85" t="n">
        <x:v>391</x:v>
      </x:c>
      <x:c r="B392" s="86" t="str">
        <x:v>F00391</x:v>
      </x:c>
      <x:c r="C392" s="86" t="str">
        <x:v>Carlos Mendes Santos</x:v>
      </x:c>
      <x:c r="D392" s="86" t="n">
        <x:v>2</x:v>
      </x:c>
      <x:c r="E392" s="86" t="n">
        <x:v>2</x:v>
      </x:c>
      <x:c r="F392" s="86" t="n">
        <x:v>2</x:v>
      </x:c>
      <x:c r="G392" s="95" t="n">
        <x:v>45722</x:v>
      </x:c>
      <x:c r="H392" s="95"/>
      <x:c r="I392" s="86" t="str">
        <x:v>Temporário</x:v>
      </x:c>
      <x:c r="J392" s="86" t="str">
        <x:v>Presencial</x:v>
      </x:c>
      <x:c r="K392" s="91" t="n">
        <x:v>4599.17</x:v>
      </x:c>
      <x:c r="L392" s="86" t="str">
        <x:v>Ativo</x:v>
      </x:c>
      <x:c r="M392" s="87" t="n">
        <x:v>111</x:v>
      </x:c>
    </x:row>
    <x:row r="393">
      <x:c r="A393" s="85" t="n">
        <x:v>392</x:v>
      </x:c>
      <x:c r="B393" s="86" t="str">
        <x:v>F00392</x:v>
      </x:c>
      <x:c r="C393" s="86" t="str">
        <x:v>Beatriz Mendes Ribeiro</x:v>
      </x:c>
      <x:c r="D393" s="86" t="n">
        <x:v>4</x:v>
      </x:c>
      <x:c r="E393" s="86" t="n">
        <x:v>7</x:v>
      </x:c>
      <x:c r="F393" s="86" t="n">
        <x:v>7</x:v>
      </x:c>
      <x:c r="G393" s="95" t="n">
        <x:v>45288</x:v>
      </x:c>
      <x:c r="H393" s="95" t="n">
        <x:v>45708</x:v>
      </x:c>
      <x:c r="I393" s="86" t="str">
        <x:v>CLT</x:v>
      </x:c>
      <x:c r="J393" s="86" t="str">
        <x:v>Presencial</x:v>
      </x:c>
      <x:c r="K393" s="91" t="n">
        <x:v>6540.24</x:v>
      </x:c>
      <x:c r="L393" s="86" t="str">
        <x:v>Desligado</x:v>
      </x:c>
      <x:c r="M393" s="87" t="n">
        <x:v>5</x:v>
      </x:c>
    </x:row>
    <x:row r="394">
      <x:c r="A394" s="85" t="n">
        <x:v>393</x:v>
      </x:c>
      <x:c r="B394" s="86" t="str">
        <x:v>F00393</x:v>
      </x:c>
      <x:c r="C394" s="86" t="str">
        <x:v>Felipe Lima Santos</x:v>
      </x:c>
      <x:c r="D394" s="86" t="n">
        <x:v>1</x:v>
      </x:c>
      <x:c r="E394" s="86" t="n">
        <x:v>1</x:v>
      </x:c>
      <x:c r="F394" s="86" t="n">
        <x:v>1</x:v>
      </x:c>
      <x:c r="G394" s="95" t="n">
        <x:v>44937</x:v>
      </x:c>
      <x:c r="H394" s="95"/>
      <x:c r="I394" s="86" t="str">
        <x:v>Estágio</x:v>
      </x:c>
      <x:c r="J394" s="86" t="str">
        <x:v>Híbrido</x:v>
      </x:c>
      <x:c r="K394" s="91" t="n">
        <x:v>2589.3</x:v>
      </x:c>
      <x:c r="L394" s="86" t="str">
        <x:v>Ativo</x:v>
      </x:c>
      <x:c r="M394" s="87" t="n">
        <x:v>85</x:v>
      </x:c>
    </x:row>
    <x:row r="395">
      <x:c r="A395" s="85" t="n">
        <x:v>394</x:v>
      </x:c>
      <x:c r="B395" s="86" t="str">
        <x:v>F00394</x:v>
      </x:c>
      <x:c r="C395" s="86" t="str">
        <x:v>Sofia Barbosa Lima</x:v>
      </x:c>
      <x:c r="D395" s="86" t="n">
        <x:v>4</x:v>
      </x:c>
      <x:c r="E395" s="86" t="n">
        <x:v>9</x:v>
      </x:c>
      <x:c r="F395" s="86" t="n">
        <x:v>9</x:v>
      </x:c>
      <x:c r="G395" s="95" t="n">
        <x:v>45678</x:v>
      </x:c>
      <x:c r="H395" s="95"/>
      <x:c r="I395" s="86" t="str">
        <x:v>CLT</x:v>
      </x:c>
      <x:c r="J395" s="86" t="str">
        <x:v>Presencial</x:v>
      </x:c>
      <x:c r="K395" s="91" t="n">
        <x:v>6170.53</x:v>
      </x:c>
      <x:c r="L395" s="86" t="str">
        <x:v>Ativo</x:v>
      </x:c>
      <x:c r="M395" s="87" t="n">
        <x:v>342</x:v>
      </x:c>
    </x:row>
    <x:row r="396">
      <x:c r="A396" s="85" t="n">
        <x:v>395</x:v>
      </x:c>
      <x:c r="B396" s="86" t="str">
        <x:v>F00395</x:v>
      </x:c>
      <x:c r="C396" s="86" t="str">
        <x:v>Isabela Ribeiro Mendes</x:v>
      </x:c>
      <x:c r="D396" s="86" t="n">
        <x:v>1</x:v>
      </x:c>
      <x:c r="E396" s="86" t="n">
        <x:v>4</x:v>
      </x:c>
      <x:c r="F396" s="86" t="n">
        <x:v>4</x:v>
      </x:c>
      <x:c r="G396" s="95" t="n">
        <x:v>45864</x:v>
      </x:c>
      <x:c r="H396" s="95"/>
      <x:c r="I396" s="86" t="str">
        <x:v>CLT</x:v>
      </x:c>
      <x:c r="J396" s="86" t="str">
        <x:v>Presencial</x:v>
      </x:c>
      <x:c r="K396" s="91" t="n">
        <x:v>5946.51</x:v>
      </x:c>
      <x:c r="L396" s="86" t="str">
        <x:v>Ativo</x:v>
      </x:c>
      <x:c r="M396" s="87" t="n">
        <x:v>237</x:v>
      </x:c>
    </x:row>
    <x:row r="397">
      <x:c r="A397" s="85" t="n">
        <x:v>396</x:v>
      </x:c>
      <x:c r="B397" s="86" t="str">
        <x:v>F00396</x:v>
      </x:c>
      <x:c r="C397" s="86" t="str">
        <x:v>Larissa Santos Pereira</x:v>
      </x:c>
      <x:c r="D397" s="86" t="n">
        <x:v>2</x:v>
      </x:c>
      <x:c r="E397" s="86" t="n">
        <x:v>1</x:v>
      </x:c>
      <x:c r="F397" s="86" t="n">
        <x:v>11</x:v>
      </x:c>
      <x:c r="G397" s="95" t="n">
        <x:v>45518</x:v>
      </x:c>
      <x:c r="H397" s="95"/>
      <x:c r="I397" s="86" t="str">
        <x:v>CLT</x:v>
      </x:c>
      <x:c r="J397" s="86" t="str">
        <x:v>Híbrido</x:v>
      </x:c>
      <x:c r="K397" s="91" t="n">
        <x:v>7478.03</x:v>
      </x:c>
      <x:c r="L397" s="86" t="str">
        <x:v>Ativo</x:v>
      </x:c>
      <x:c r="M397" s="87" t="n">
        <x:v>77</x:v>
      </x:c>
    </x:row>
    <x:row r="398">
      <x:c r="A398" s="85" t="n">
        <x:v>397</x:v>
      </x:c>
      <x:c r="B398" s="86" t="str">
        <x:v>F00397</x:v>
      </x:c>
      <x:c r="C398" s="86" t="str">
        <x:v>Marcelo Souza Rocha</x:v>
      </x:c>
      <x:c r="D398" s="86" t="n">
        <x:v>4</x:v>
      </x:c>
      <x:c r="E398" s="86" t="n">
        <x:v>6</x:v>
      </x:c>
      <x:c r="F398" s="86" t="n">
        <x:v>6</x:v>
      </x:c>
      <x:c r="G398" s="95" t="n">
        <x:v>45077</x:v>
      </x:c>
      <x:c r="H398" s="95"/>
      <x:c r="I398" s="86" t="str">
        <x:v>CLT</x:v>
      </x:c>
      <x:c r="J398" s="86" t="str">
        <x:v>Remoto</x:v>
      </x:c>
      <x:c r="K398" s="91" t="n">
        <x:v>7297.87</x:v>
      </x:c>
      <x:c r="L398" s="86" t="str">
        <x:v>Ativo</x:v>
      </x:c>
      <x:c r="M398" s="87" t="n">
        <x:v>116</x:v>
      </x:c>
    </x:row>
    <x:row r="399">
      <x:c r="A399" s="85" t="n">
        <x:v>398</x:v>
      </x:c>
      <x:c r="B399" s="86" t="str">
        <x:v>F00398</x:v>
      </x:c>
      <x:c r="C399" s="86" t="str">
        <x:v>Patrícia Martins Santos</x:v>
      </x:c>
      <x:c r="D399" s="86" t="n">
        <x:v>1</x:v>
      </x:c>
      <x:c r="E399" s="86" t="n">
        <x:v>1</x:v>
      </x:c>
      <x:c r="F399" s="86" t="n">
        <x:v>1</x:v>
      </x:c>
      <x:c r="G399" s="95" t="n">
        <x:v>45717</x:v>
      </x:c>
      <x:c r="H399" s="95"/>
      <x:c r="I399" s="86" t="str">
        <x:v>CLT</x:v>
      </x:c>
      <x:c r="J399" s="86" t="str">
        <x:v>Presencial</x:v>
      </x:c>
      <x:c r="K399" s="91" t="n">
        <x:v>2559.57</x:v>
      </x:c>
      <x:c r="L399" s="86" t="str">
        <x:v>Ativo</x:v>
      </x:c>
      <x:c r="M399" s="87" t="n">
        <x:v>85</x:v>
      </x:c>
    </x:row>
    <x:row r="400">
      <x:c r="A400" s="85" t="n">
        <x:v>399</x:v>
      </x:c>
      <x:c r="B400" s="86" t="str">
        <x:v>F00399</x:v>
      </x:c>
      <x:c r="C400" s="86" t="str">
        <x:v>Lucas Cardoso Barbosa</x:v>
      </x:c>
      <x:c r="D400" s="86" t="n">
        <x:v>2</x:v>
      </x:c>
      <x:c r="E400" s="86" t="n">
        <x:v>1</x:v>
      </x:c>
      <x:c r="F400" s="86" t="n">
        <x:v>1</x:v>
      </x:c>
      <x:c r="G400" s="95" t="n">
        <x:v>45271</x:v>
      </x:c>
      <x:c r="H400" s="95"/>
      <x:c r="I400" s="86" t="str">
        <x:v>CLT</x:v>
      </x:c>
      <x:c r="J400" s="86" t="str">
        <x:v>Presencial</x:v>
      </x:c>
      <x:c r="K400" s="91" t="n">
        <x:v>3393.47</x:v>
      </x:c>
      <x:c r="L400" s="86" t="str">
        <x:v>Ativo</x:v>
      </x:c>
      <x:c r="M400" s="87" t="n">
        <x:v>98</x:v>
      </x:c>
    </x:row>
    <x:row r="401">
      <x:c r="A401" s="85" t="n">
        <x:v>400</x:v>
      </x:c>
      <x:c r="B401" s="86" t="str">
        <x:v>F00400</x:v>
      </x:c>
      <x:c r="C401" s="86" t="str">
        <x:v>Gustavo Nascimento Ribeiro</x:v>
      </x:c>
      <x:c r="D401" s="86" t="n">
        <x:v>2</x:v>
      </x:c>
      <x:c r="E401" s="86" t="n">
        <x:v>1</x:v>
      </x:c>
      <x:c r="F401" s="86" t="n">
        <x:v>1</x:v>
      </x:c>
      <x:c r="G401" s="95" t="n">
        <x:v>44933</x:v>
      </x:c>
      <x:c r="H401" s="95"/>
      <x:c r="I401" s="86" t="str">
        <x:v>CLT</x:v>
      </x:c>
      <x:c r="J401" s="86" t="str">
        <x:v>Presencial</x:v>
      </x:c>
      <x:c r="K401" s="91" t="n">
        <x:v>2320.59</x:v>
      </x:c>
      <x:c r="L401" s="86" t="str">
        <x:v>Ativo</x:v>
      </x:c>
      <x:c r="M401" s="87" t="n">
        <x:v>78</x:v>
      </x:c>
    </x:row>
    <x:row r="402">
      <x:c r="A402" s="85" t="n">
        <x:v>401</x:v>
      </x:c>
      <x:c r="B402" s="86" t="str">
        <x:v>F00401</x:v>
      </x:c>
      <x:c r="C402" s="86" t="str">
        <x:v>Mariana Souza Oliveira</x:v>
      </x:c>
      <x:c r="D402" s="86" t="n">
        <x:v>2</x:v>
      </x:c>
      <x:c r="E402" s="86" t="n">
        <x:v>1</x:v>
      </x:c>
      <x:c r="F402" s="86" t="n">
        <x:v>11</x:v>
      </x:c>
      <x:c r="G402" s="95" t="n">
        <x:v>45636</x:v>
      </x:c>
      <x:c r="H402" s="95" t="n">
        <x:v>45954</x:v>
      </x:c>
      <x:c r="I402" s="86" t="str">
        <x:v>CLT</x:v>
      </x:c>
      <x:c r="J402" s="86" t="str">
        <x:v>Presencial</x:v>
      </x:c>
      <x:c r="K402" s="91" t="n">
        <x:v>7487.7</x:v>
      </x:c>
      <x:c r="L402" s="86" t="str">
        <x:v>Desligado</x:v>
      </x:c>
      <x:c r="M402" s="87" t="n">
        <x:v>77</x:v>
      </x:c>
    </x:row>
    <x:row r="403">
      <x:c r="A403" s="85" t="n">
        <x:v>402</x:v>
      </x:c>
      <x:c r="B403" s="86" t="str">
        <x:v>F00402</x:v>
      </x:c>
      <x:c r="C403" s="86" t="str">
        <x:v>Daniela Martins Rocha</x:v>
      </x:c>
      <x:c r="D403" s="86" t="n">
        <x:v>2</x:v>
      </x:c>
      <x:c r="E403" s="86" t="n">
        <x:v>1</x:v>
      </x:c>
      <x:c r="F403" s="86" t="n">
        <x:v>1</x:v>
      </x:c>
      <x:c r="G403" s="95" t="n">
        <x:v>45358</x:v>
      </x:c>
      <x:c r="H403" s="95"/>
      <x:c r="I403" s="86" t="str">
        <x:v>CLT</x:v>
      </x:c>
      <x:c r="J403" s="86" t="str">
        <x:v>Presencial</x:v>
      </x:c>
      <x:c r="K403" s="91" t="n">
        <x:v>3507.72</x:v>
      </x:c>
      <x:c r="L403" s="86" t="str">
        <x:v>Ativo</x:v>
      </x:c>
      <x:c r="M403" s="87" t="n">
        <x:v>185</x:v>
      </x:c>
    </x:row>
    <x:row r="404">
      <x:c r="A404" s="85" t="n">
        <x:v>403</x:v>
      </x:c>
      <x:c r="B404" s="86" t="str">
        <x:v>F00403</x:v>
      </x:c>
      <x:c r="C404" s="86" t="str">
        <x:v>Daniela Almeida Mendes</x:v>
      </x:c>
      <x:c r="D404" s="86" t="n">
        <x:v>4</x:v>
      </x:c>
      <x:c r="E404" s="86" t="n">
        <x:v>6</x:v>
      </x:c>
      <x:c r="F404" s="86" t="n">
        <x:v>6</x:v>
      </x:c>
      <x:c r="G404" s="95" t="n">
        <x:v>45063</x:v>
      </x:c>
      <x:c r="H404" s="95"/>
      <x:c r="I404" s="86" t="str">
        <x:v>CLT</x:v>
      </x:c>
      <x:c r="J404" s="86" t="str">
        <x:v>Presencial</x:v>
      </x:c>
      <x:c r="K404" s="91" t="n">
        <x:v>5062.6</x:v>
      </x:c>
      <x:c r="L404" s="86" t="str">
        <x:v>Ativo</x:v>
      </x:c>
      <x:c r="M404" s="87" t="n">
        <x:v>116</x:v>
      </x:c>
    </x:row>
    <x:row r="405">
      <x:c r="A405" s="85" t="n">
        <x:v>404</x:v>
      </x:c>
      <x:c r="B405" s="86" t="str">
        <x:v>F00404</x:v>
      </x:c>
      <x:c r="C405" s="86" t="str">
        <x:v>Joana Almeida Nascimento</x:v>
      </x:c>
      <x:c r="D405" s="86" t="n">
        <x:v>1</x:v>
      </x:c>
      <x:c r="E405" s="86" t="n">
        <x:v>1</x:v>
      </x:c>
      <x:c r="F405" s="86" t="n">
        <x:v>11</x:v>
      </x:c>
      <x:c r="G405" s="95" t="n">
        <x:v>44956</x:v>
      </x:c>
      <x:c r="H405" s="95" t="n">
        <x:v>45596</x:v>
      </x:c>
      <x:c r="I405" s="86" t="str">
        <x:v>CLT</x:v>
      </x:c>
      <x:c r="J405" s="86" t="str">
        <x:v>Presencial</x:v>
      </x:c>
      <x:c r="K405" s="91" t="n">
        <x:v>8382.84</x:v>
      </x:c>
      <x:c r="L405" s="86" t="str">
        <x:v>Desligado</x:v>
      </x:c>
      <x:c r="M405" s="87" t="n">
        <x:v>10</x:v>
      </x:c>
    </x:row>
    <x:row r="406">
      <x:c r="A406" s="85" t="n">
        <x:v>405</x:v>
      </x:c>
      <x:c r="B406" s="86" t="str">
        <x:v>F00405</x:v>
      </x:c>
      <x:c r="C406" s="86" t="str">
        <x:v>Helena Rocha Ribeiro</x:v>
      </x:c>
      <x:c r="D406" s="86" t="n">
        <x:v>3</x:v>
      </x:c>
      <x:c r="E406" s="86" t="n">
        <x:v>10</x:v>
      </x:c>
      <x:c r="F406" s="86" t="n">
        <x:v>10</x:v>
      </x:c>
      <x:c r="G406" s="95" t="n">
        <x:v>45627</x:v>
      </x:c>
      <x:c r="H406" s="95" t="n">
        <x:v>45762</x:v>
      </x:c>
      <x:c r="I406" s="86" t="str">
        <x:v>CLT</x:v>
      </x:c>
      <x:c r="J406" s="86" t="str">
        <x:v>Híbrido</x:v>
      </x:c>
      <x:c r="K406" s="91" t="n">
        <x:v>7650.7</x:v>
      </x:c>
      <x:c r="L406" s="86" t="str">
        <x:v>Desligado</x:v>
      </x:c>
      <x:c r="M406" s="87" t="n">
        <x:v>24</x:v>
      </x:c>
    </x:row>
    <x:row r="407">
      <x:c r="A407" s="85" t="n">
        <x:v>406</x:v>
      </x:c>
      <x:c r="B407" s="86" t="str">
        <x:v>F00406</x:v>
      </x:c>
      <x:c r="C407" s="86" t="str">
        <x:v>Henrique Lima Oliveira</x:v>
      </x:c>
      <x:c r="D407" s="86" t="n">
        <x:v>2</x:v>
      </x:c>
      <x:c r="E407" s="86" t="n">
        <x:v>10</x:v>
      </x:c>
      <x:c r="F407" s="86" t="n">
        <x:v>10</x:v>
      </x:c>
      <x:c r="G407" s="95" t="n">
        <x:v>45494</x:v>
      </x:c>
      <x:c r="H407" s="95" t="n">
        <x:v>45752</x:v>
      </x:c>
      <x:c r="I407" s="86" t="str">
        <x:v>CLT</x:v>
      </x:c>
      <x:c r="J407" s="86" t="str">
        <x:v>Presencial</x:v>
      </x:c>
      <x:c r="K407" s="91" t="n">
        <x:v>4583.76</x:v>
      </x:c>
      <x:c r="L407" s="86" t="str">
        <x:v>Desligado</x:v>
      </x:c>
      <x:c r="M407" s="87" t="n">
        <x:v>24</x:v>
      </x:c>
    </x:row>
    <x:row r="408">
      <x:c r="A408" s="85" t="n">
        <x:v>407</x:v>
      </x:c>
      <x:c r="B408" s="86" t="str">
        <x:v>F00407</x:v>
      </x:c>
      <x:c r="C408" s="86" t="str">
        <x:v>Carlos Ferreira Almeida</x:v>
      </x:c>
      <x:c r="D408" s="86" t="n">
        <x:v>2</x:v>
      </x:c>
      <x:c r="E408" s="86" t="n">
        <x:v>5</x:v>
      </x:c>
      <x:c r="F408" s="86" t="n">
        <x:v>5</x:v>
      </x:c>
      <x:c r="G408" s="95" t="n">
        <x:v>45315</x:v>
      </x:c>
      <x:c r="H408" s="95"/>
      <x:c r="I408" s="86" t="str">
        <x:v>CLT</x:v>
      </x:c>
      <x:c r="J408" s="86" t="str">
        <x:v>Presencial</x:v>
      </x:c>
      <x:c r="K408" s="91" t="n">
        <x:v>9647.62</x:v>
      </x:c>
      <x:c r="L408" s="86" t="str">
        <x:v>Ativo</x:v>
      </x:c>
      <x:c r="M408" s="87" t="n">
        <x:v>38</x:v>
      </x:c>
    </x:row>
    <x:row r="409">
      <x:c r="A409" s="85" t="n">
        <x:v>408</x:v>
      </x:c>
      <x:c r="B409" s="86" t="str">
        <x:v>F00408</x:v>
      </x:c>
      <x:c r="C409" s="86" t="str">
        <x:v>Daniela Moreira Moreira</x:v>
      </x:c>
      <x:c r="D409" s="86" t="n">
        <x:v>2</x:v>
      </x:c>
      <x:c r="E409" s="86" t="n">
        <x:v>4</x:v>
      </x:c>
      <x:c r="F409" s="86" t="n">
        <x:v>4</x:v>
      </x:c>
      <x:c r="G409" s="95" t="n">
        <x:v>45221</x:v>
      </x:c>
      <x:c r="H409" s="95"/>
      <x:c r="I409" s="86" t="str">
        <x:v>CLT</x:v>
      </x:c>
      <x:c r="J409" s="86" t="str">
        <x:v>Híbrido</x:v>
      </x:c>
      <x:c r="K409" s="91" t="n">
        <x:v>5434.31</x:v>
      </x:c>
      <x:c r="L409" s="86" t="str">
        <x:v>Ativo</x:v>
      </x:c>
      <x:c r="M409" s="87" t="n">
        <x:v>237</x:v>
      </x:c>
    </x:row>
    <x:row r="410">
      <x:c r="A410" s="85" t="n">
        <x:v>409</x:v>
      </x:c>
      <x:c r="B410" s="86" t="str">
        <x:v>F00409</x:v>
      </x:c>
      <x:c r="C410" s="86" t="str">
        <x:v>Mariana Rodrigues Pereira</x:v>
      </x:c>
      <x:c r="D410" s="86" t="n">
        <x:v>4</x:v>
      </x:c>
      <x:c r="E410" s="86" t="n">
        <x:v>6</x:v>
      </x:c>
      <x:c r="F410" s="86" t="n">
        <x:v>6</x:v>
      </x:c>
      <x:c r="G410" s="95" t="n">
        <x:v>45607</x:v>
      </x:c>
      <x:c r="H410" s="95"/>
      <x:c r="I410" s="86" t="str">
        <x:v>CLT</x:v>
      </x:c>
      <x:c r="J410" s="86" t="str">
        <x:v>Presencial</x:v>
      </x:c>
      <x:c r="K410" s="91" t="n">
        <x:v>7085.16</x:v>
      </x:c>
      <x:c r="L410" s="86" t="str">
        <x:v>Ativo</x:v>
      </x:c>
      <x:c r="M410" s="87" t="n">
        <x:v>116</x:v>
      </x:c>
    </x:row>
    <x:row r="411">
      <x:c r="A411" s="85" t="n">
        <x:v>410</x:v>
      </x:c>
      <x:c r="B411" s="86" t="str">
        <x:v>F00410</x:v>
      </x:c>
      <x:c r="C411" s="86" t="str">
        <x:v>Vitória Almeida Gomes</x:v>
      </x:c>
      <x:c r="D411" s="86" t="n">
        <x:v>2</x:v>
      </x:c>
      <x:c r="E411" s="86" t="n">
        <x:v>2</x:v>
      </x:c>
      <x:c r="F411" s="86" t="n">
        <x:v>2</x:v>
      </x:c>
      <x:c r="G411" s="95" t="n">
        <x:v>45040</x:v>
      </x:c>
      <x:c r="H411" s="95"/>
      <x:c r="I411" s="86" t="str">
        <x:v>CLT</x:v>
      </x:c>
      <x:c r="J411" s="86" t="str">
        <x:v>Presencial</x:v>
      </x:c>
      <x:c r="K411" s="91" t="n">
        <x:v>3308.1</x:v>
      </x:c>
      <x:c r="L411" s="86" t="str">
        <x:v>Ativo</x:v>
      </x:c>
      <x:c r="M411" s="87" t="n">
        <x:v>8</x:v>
      </x:c>
    </x:row>
    <x:row r="412">
      <x:c r="A412" s="85" t="n">
        <x:v>411</x:v>
      </x:c>
      <x:c r="B412" s="86" t="str">
        <x:v>F00411</x:v>
      </x:c>
      <x:c r="C412" s="86" t="str">
        <x:v>Helena Almeida Gomes</x:v>
      </x:c>
      <x:c r="D412" s="86" t="n">
        <x:v>1</x:v>
      </x:c>
      <x:c r="E412" s="86" t="n">
        <x:v>4</x:v>
      </x:c>
      <x:c r="F412" s="86" t="n">
        <x:v>4</x:v>
      </x:c>
      <x:c r="G412" s="95" t="n">
        <x:v>45095</x:v>
      </x:c>
      <x:c r="H412" s="95" t="n">
        <x:v>45767</x:v>
      </x:c>
      <x:c r="I412" s="86" t="str">
        <x:v>Temporário</x:v>
      </x:c>
      <x:c r="J412" s="86" t="str">
        <x:v>Híbrido</x:v>
      </x:c>
      <x:c r="K412" s="91" t="n">
        <x:v>6782.56</x:v>
      </x:c>
      <x:c r="L412" s="86" t="str">
        <x:v>Desligado</x:v>
      </x:c>
      <x:c r="M412" s="87" t="n">
        <x:v>237</x:v>
      </x:c>
    </x:row>
    <x:row r="413">
      <x:c r="A413" s="85" t="n">
        <x:v>412</x:v>
      </x:c>
      <x:c r="B413" s="86" t="str">
        <x:v>F00412</x:v>
      </x:c>
      <x:c r="C413" s="86" t="str">
        <x:v>Beatriz Martins Martins</x:v>
      </x:c>
      <x:c r="D413" s="86" t="n">
        <x:v>1</x:v>
      </x:c>
      <x:c r="E413" s="86" t="n">
        <x:v>10</x:v>
      </x:c>
      <x:c r="F413" s="86" t="n">
        <x:v>10</x:v>
      </x:c>
      <x:c r="G413" s="95" t="n">
        <x:v>45144</x:v>
      </x:c>
      <x:c r="H413" s="95"/>
      <x:c r="I413" s="86" t="str">
        <x:v>CLT</x:v>
      </x:c>
      <x:c r="J413" s="86" t="str">
        <x:v>Presencial</x:v>
      </x:c>
      <x:c r="K413" s="91" t="n">
        <x:v>5161.45</x:v>
      </x:c>
      <x:c r="L413" s="86" t="str">
        <x:v>Ativo</x:v>
      </x:c>
      <x:c r="M413" s="87" t="n">
        <x:v>24</x:v>
      </x:c>
    </x:row>
    <x:row r="414">
      <x:c r="A414" s="85" t="n">
        <x:v>413</x:v>
      </x:c>
      <x:c r="B414" s="86" t="str">
        <x:v>F00413</x:v>
      </x:c>
      <x:c r="C414" s="86" t="str">
        <x:v>Diego Rocha Barbosa</x:v>
      </x:c>
      <x:c r="D414" s="86" t="n">
        <x:v>1</x:v>
      </x:c>
      <x:c r="E414" s="86" t="n">
        <x:v>1</x:v>
      </x:c>
      <x:c r="F414" s="86" t="n">
        <x:v>1</x:v>
      </x:c>
      <x:c r="G414" s="95" t="n">
        <x:v>45945</x:v>
      </x:c>
      <x:c r="H414" s="95"/>
      <x:c r="I414" s="86" t="str">
        <x:v>CLT</x:v>
      </x:c>
      <x:c r="J414" s="86" t="str">
        <x:v>Presencial</x:v>
      </x:c>
      <x:c r="K414" s="91" t="n">
        <x:v>2321.29</x:v>
      </x:c>
      <x:c r="L414" s="86" t="str">
        <x:v>Ativo</x:v>
      </x:c>
      <x:c r="M414" s="87" t="n">
        <x:v>396</x:v>
      </x:c>
    </x:row>
    <x:row r="415">
      <x:c r="A415" s="85" t="n">
        <x:v>414</x:v>
      </x:c>
      <x:c r="B415" s="86" t="str">
        <x:v>F00414</x:v>
      </x:c>
      <x:c r="C415" s="86" t="str">
        <x:v>Eduardo Pereira Oliveira</x:v>
      </x:c>
      <x:c r="D415" s="86" t="n">
        <x:v>3</x:v>
      </x:c>
      <x:c r="E415" s="86" t="n">
        <x:v>10</x:v>
      </x:c>
      <x:c r="F415" s="86" t="n">
        <x:v>10</x:v>
      </x:c>
      <x:c r="G415" s="95" t="n">
        <x:v>45225</x:v>
      </x:c>
      <x:c r="H415" s="95"/>
      <x:c r="I415" s="86" t="str">
        <x:v>CLT</x:v>
      </x:c>
      <x:c r="J415" s="86" t="str">
        <x:v>Presencial</x:v>
      </x:c>
      <x:c r="K415" s="91" t="n">
        <x:v>5230.34</x:v>
      </x:c>
      <x:c r="L415" s="86" t="str">
        <x:v>Ativo</x:v>
      </x:c>
      <x:c r="M415" s="87" t="n">
        <x:v>24</x:v>
      </x:c>
    </x:row>
    <x:row r="416">
      <x:c r="A416" s="85" t="n">
        <x:v>415</x:v>
      </x:c>
      <x:c r="B416" s="86" t="str">
        <x:v>F00415</x:v>
      </x:c>
      <x:c r="C416" s="86" t="str">
        <x:v>Patrícia Moreira Ribeiro</x:v>
      </x:c>
      <x:c r="D416" s="86" t="n">
        <x:v>2</x:v>
      </x:c>
      <x:c r="E416" s="86" t="n">
        <x:v>1</x:v>
      </x:c>
      <x:c r="F416" s="86" t="n">
        <x:v>1</x:v>
      </x:c>
      <x:c r="G416" s="95" t="n">
        <x:v>45914</x:v>
      </x:c>
      <x:c r="H416" s="95"/>
      <x:c r="I416" s="86" t="str">
        <x:v>Estágio</x:v>
      </x:c>
      <x:c r="J416" s="86" t="str">
        <x:v>Presencial</x:v>
      </x:c>
      <x:c r="K416" s="91" t="n">
        <x:v>2887.19</x:v>
      </x:c>
      <x:c r="L416" s="86" t="str">
        <x:v>Ativo</x:v>
      </x:c>
      <x:c r="M416" s="87" t="n">
        <x:v>77</x:v>
      </x:c>
    </x:row>
    <x:row r="417">
      <x:c r="A417" s="85" t="n">
        <x:v>416</x:v>
      </x:c>
      <x:c r="B417" s="86" t="str">
        <x:v>F00416</x:v>
      </x:c>
      <x:c r="C417" s="86" t="str">
        <x:v>Felipe Martins Pereira</x:v>
      </x:c>
      <x:c r="D417" s="86" t="n">
        <x:v>3</x:v>
      </x:c>
      <x:c r="E417" s="86" t="n">
        <x:v>3</x:v>
      </x:c>
      <x:c r="F417" s="86" t="n">
        <x:v>3</x:v>
      </x:c>
      <x:c r="G417" s="95" t="n">
        <x:v>45801</x:v>
      </x:c>
      <x:c r="H417" s="95"/>
      <x:c r="I417" s="86" t="str">
        <x:v>CLT</x:v>
      </x:c>
      <x:c r="J417" s="86" t="str">
        <x:v>Presencial</x:v>
      </x:c>
      <x:c r="K417" s="91" t="n">
        <x:v>3965.62</x:v>
      </x:c>
      <x:c r="L417" s="86" t="str">
        <x:v>Ativo</x:v>
      </x:c>
      <x:c r="M417" s="87" t="n">
        <x:v>177</x:v>
      </x:c>
    </x:row>
    <x:row r="418">
      <x:c r="A418" s="85" t="n">
        <x:v>417</x:v>
      </x:c>
      <x:c r="B418" s="86" t="str">
        <x:v>F00417</x:v>
      </x:c>
      <x:c r="C418" s="86" t="str">
        <x:v>Mariana Cardoso Cardoso</x:v>
      </x:c>
      <x:c r="D418" s="86" t="n">
        <x:v>3</x:v>
      </x:c>
      <x:c r="E418" s="86" t="n">
        <x:v>3</x:v>
      </x:c>
      <x:c r="F418" s="86" t="n">
        <x:v>3</x:v>
      </x:c>
      <x:c r="G418" s="95" t="n">
        <x:v>45815</x:v>
      </x:c>
      <x:c r="H418" s="95"/>
      <x:c r="I418" s="86" t="str">
        <x:v>CLT</x:v>
      </x:c>
      <x:c r="J418" s="86" t="str">
        <x:v>Presencial</x:v>
      </x:c>
      <x:c r="K418" s="91" t="n">
        <x:v>4479.42</x:v>
      </x:c>
      <x:c r="L418" s="86" t="str">
        <x:v>Ativo</x:v>
      </x:c>
      <x:c r="M418" s="87" t="n">
        <x:v>26</x:v>
      </x:c>
    </x:row>
    <x:row r="419">
      <x:c r="A419" s="85" t="n">
        <x:v>418</x:v>
      </x:c>
      <x:c r="B419" s="86" t="str">
        <x:v>F00418</x:v>
      </x:c>
      <x:c r="C419" s="86" t="str">
        <x:v>Fernanda Rocha Ribeiro</x:v>
      </x:c>
      <x:c r="D419" s="86" t="n">
        <x:v>2</x:v>
      </x:c>
      <x:c r="E419" s="86" t="n">
        <x:v>10</x:v>
      </x:c>
      <x:c r="F419" s="86" t="n">
        <x:v>10</x:v>
      </x:c>
      <x:c r="G419" s="95" t="n">
        <x:v>45755</x:v>
      </x:c>
      <x:c r="H419" s="95" t="n">
        <x:v>45967</x:v>
      </x:c>
      <x:c r="I419" s="86" t="str">
        <x:v>CLT</x:v>
      </x:c>
      <x:c r="J419" s="86" t="str">
        <x:v>Presencial</x:v>
      </x:c>
      <x:c r="K419" s="91" t="n">
        <x:v>6201.3</x:v>
      </x:c>
      <x:c r="L419" s="86" t="str">
        <x:v>Desligado</x:v>
      </x:c>
      <x:c r="M419" s="87" t="n">
        <x:v>24</x:v>
      </x:c>
    </x:row>
    <x:row r="420">
      <x:c r="A420" s="85" t="n">
        <x:v>419</x:v>
      </x:c>
      <x:c r="B420" s="86" t="str">
        <x:v>F00419</x:v>
      </x:c>
      <x:c r="C420" s="86" t="str">
        <x:v>Natália Souza Silva</x:v>
      </x:c>
      <x:c r="D420" s="86" t="n">
        <x:v>3</x:v>
      </x:c>
      <x:c r="E420" s="86" t="n">
        <x:v>1</x:v>
      </x:c>
      <x:c r="F420" s="86" t="n">
        <x:v>1</x:v>
      </x:c>
      <x:c r="G420" s="95" t="n">
        <x:v>45307</x:v>
      </x:c>
      <x:c r="H420" s="95"/>
      <x:c r="I420" s="86" t="str">
        <x:v>CLT</x:v>
      </x:c>
      <x:c r="J420" s="86" t="str">
        <x:v>Presencial</x:v>
      </x:c>
      <x:c r="K420" s="91" t="n">
        <x:v>3350.39</x:v>
      </x:c>
      <x:c r="L420" s="86" t="str">
        <x:v>Ativo</x:v>
      </x:c>
      <x:c r="M420" s="87" t="n">
        <x:v>78</x:v>
      </x:c>
    </x:row>
    <x:row r="421">
      <x:c r="A421" s="88" t="n">
        <x:v>420</x:v>
      </x:c>
      <x:c r="B421" s="89" t="str">
        <x:v>F00420</x:v>
      </x:c>
      <x:c r="C421" s="89" t="str">
        <x:v>Rafael Barbosa Lima</x:v>
      </x:c>
      <x:c r="D421" s="89" t="n">
        <x:v>1</x:v>
      </x:c>
      <x:c r="E421" s="89" t="n">
        <x:v>3</x:v>
      </x:c>
      <x:c r="F421" s="89" t="n">
        <x:v>3</x:v>
      </x:c>
      <x:c r="G421" s="96" t="n">
        <x:v>45720</x:v>
      </x:c>
      <x:c r="H421" s="96"/>
      <x:c r="I421" s="89" t="str">
        <x:v>CLT</x:v>
      </x:c>
      <x:c r="J421" s="89" t="str">
        <x:v>Presencial</x:v>
      </x:c>
      <x:c r="K421" s="92" t="n">
        <x:v>3253.74</x:v>
      </x:c>
      <x:c r="L421" s="89" t="str">
        <x:v>Ativo</x:v>
      </x:c>
      <x:c r="M421" s="90" t="n">
        <x:v>177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2.220000267028809" hidden="0" customWidth="1"/>
    <x:col min="3" max="3" width="16.110000610351562" hidden="0" customWidth="1"/>
    <x:col min="4" max="4" width="15.779999732971191" hidden="0" customWidth="1"/>
    <x:col min="5" max="5" width="28" hidden="0" customWidth="1"/>
    <x:col min="6" max="6" width="13.220000267028809" hidden="0" customWidth="1"/>
    <x:col min="7" max="7" width="13.5600004196167" hidden="0" customWidth="1"/>
    <x:col min="8" max="8" width="13.670000076293945" hidden="0" customWidth="1"/>
    <x:col min="9" max="9" width="14" hidden="0" customWidth="1"/>
    <x:col min="10" max="10" width="17" hidden="0" customWidth="1"/>
  </x:cols>
  <x:sheetData>
    <x:row r="1">
      <x:c r="A1" s="82" t="str">
        <x:v>id_movimentacao</x:v>
      </x:c>
      <x:c r="B1" s="83" t="str">
        <x:v>id_colaborador</x:v>
      </x:c>
      <x:c r="C1" s="83" t="str">
        <x:v>data_movimentacao</x:v>
      </x:c>
      <x:c r="D1" s="83" t="str">
        <x:v>tipo_movimentacao</x:v>
      </x:c>
      <x:c r="E1" s="83" t="str">
        <x:v>motivo</x:v>
      </x:c>
      <x:c r="F1" s="83" t="str">
        <x:v>id_setor_origem</x:v>
      </x:c>
      <x:c r="G1" s="83" t="str">
        <x:v>id_setor_destino</x:v>
      </x:c>
      <x:c r="H1" s="83" t="str">
        <x:v>id_cargo_origem</x:v>
      </x:c>
      <x:c r="I1" s="83" t="str">
        <x:v>id_cargo_destino</x:v>
      </x:c>
      <x:c r="J1" s="84" t="str">
        <x:v>variacao_salarial_pct</x:v>
      </x:c>
    </x:row>
    <x:row r="2">
      <x:c r="A2" s="85" t="n">
        <x:v>1</x:v>
      </x:c>
      <x:c r="B2" s="86" t="n">
        <x:v>1</x:v>
      </x:c>
      <x:c r="C2" s="95" t="n">
        <x:v>45297</x:v>
      </x:c>
      <x:c r="D2" s="86" t="str">
        <x:v>Admissão</x:v>
      </x:c>
      <x:c r="E2" s="86" t="str">
        <x:v>Nova contratação</x:v>
      </x:c>
      <x:c r="F2" s="86"/>
      <x:c r="G2" s="86" t="n">
        <x:v>2</x:v>
      </x:c>
      <x:c r="H2" s="86"/>
      <x:c r="I2" s="86" t="n">
        <x:v>2</x:v>
      </x:c>
      <x:c r="J2" s="97" t="n">
        <x:v>0</x:v>
      </x:c>
    </x:row>
    <x:row r="3">
      <x:c r="A3" s="85" t="n">
        <x:v>2</x:v>
      </x:c>
      <x:c r="B3" s="86" t="n">
        <x:v>2</x:v>
      </x:c>
      <x:c r="C3" s="95" t="n">
        <x:v>45191</x:v>
      </x:c>
      <x:c r="D3" s="86" t="str">
        <x:v>Admissão</x:v>
      </x:c>
      <x:c r="E3" s="86" t="str">
        <x:v>Nova contratação</x:v>
      </x:c>
      <x:c r="F3" s="86"/>
      <x:c r="G3" s="86" t="n">
        <x:v>3</x:v>
      </x:c>
      <x:c r="H3" s="86"/>
      <x:c r="I3" s="86" t="n">
        <x:v>3</x:v>
      </x:c>
      <x:c r="J3" s="97" t="n">
        <x:v>0</x:v>
      </x:c>
    </x:row>
    <x:row r="4">
      <x:c r="A4" s="85" t="n">
        <x:v>3</x:v>
      </x:c>
      <x:c r="B4" s="86" t="n">
        <x:v>3</x:v>
      </x:c>
      <x:c r="C4" s="95" t="n">
        <x:v>45379</x:v>
      </x:c>
      <x:c r="D4" s="86" t="str">
        <x:v>Admissão</x:v>
      </x:c>
      <x:c r="E4" s="86" t="str">
        <x:v>Nova contratação</x:v>
      </x:c>
      <x:c r="F4" s="86"/>
      <x:c r="G4" s="86" t="n">
        <x:v>1</x:v>
      </x:c>
      <x:c r="H4" s="86"/>
      <x:c r="I4" s="86" t="n">
        <x:v>1</x:v>
      </x:c>
      <x:c r="J4" s="97" t="n">
        <x:v>0</x:v>
      </x:c>
    </x:row>
    <x:row r="5">
      <x:c r="A5" s="85" t="n">
        <x:v>4</x:v>
      </x:c>
      <x:c r="B5" s="86" t="n">
        <x:v>3</x:v>
      </x:c>
      <x:c r="C5" s="95" t="n">
        <x:v>45923</x:v>
      </x:c>
      <x:c r="D5" s="86" t="str">
        <x:v>Promoção</x:v>
      </x:c>
      <x:c r="E5" s="86" t="str">
        <x:v>Evolução de carreira</x:v>
      </x:c>
      <x:c r="F5" s="86" t="n">
        <x:v>1</x:v>
      </x:c>
      <x:c r="G5" s="86" t="n">
        <x:v>1</x:v>
      </x:c>
      <x:c r="H5" s="86" t="n">
        <x:v>1</x:v>
      </x:c>
      <x:c r="I5" s="86" t="n">
        <x:v>1</x:v>
      </x:c>
      <x:c r="J5" s="97" t="n">
        <x:v>0.1167</x:v>
      </x:c>
    </x:row>
    <x:row r="6">
      <x:c r="A6" s="85" t="n">
        <x:v>5</x:v>
      </x:c>
      <x:c r="B6" s="86" t="n">
        <x:v>4</x:v>
      </x:c>
      <x:c r="C6" s="95" t="n">
        <x:v>45850</x:v>
      </x:c>
      <x:c r="D6" s="86" t="str">
        <x:v>Admissão</x:v>
      </x:c>
      <x:c r="E6" s="86" t="str">
        <x:v>Nova contratação</x:v>
      </x:c>
      <x:c r="F6" s="86"/>
      <x:c r="G6" s="86" t="n">
        <x:v>3</x:v>
      </x:c>
      <x:c r="H6" s="86"/>
      <x:c r="I6" s="86" t="n">
        <x:v>3</x:v>
      </x:c>
      <x:c r="J6" s="97" t="n">
        <x:v>0</x:v>
      </x:c>
    </x:row>
    <x:row r="7">
      <x:c r="A7" s="85" t="n">
        <x:v>6</x:v>
      </x:c>
      <x:c r="B7" s="86" t="n">
        <x:v>5</x:v>
      </x:c>
      <x:c r="C7" s="95" t="n">
        <x:v>45729</x:v>
      </x:c>
      <x:c r="D7" s="86" t="str">
        <x:v>Admissão</x:v>
      </x:c>
      <x:c r="E7" s="86" t="str">
        <x:v>Nova contratação</x:v>
      </x:c>
      <x:c r="F7" s="86"/>
      <x:c r="G7" s="86" t="n">
        <x:v>7</x:v>
      </x:c>
      <x:c r="H7" s="86"/>
      <x:c r="I7" s="86" t="n">
        <x:v>17</x:v>
      </x:c>
      <x:c r="J7" s="97" t="n">
        <x:v>0</x:v>
      </x:c>
    </x:row>
    <x:row r="8">
      <x:c r="A8" s="85" t="n">
        <x:v>7</x:v>
      </x:c>
      <x:c r="B8" s="86" t="n">
        <x:v>6</x:v>
      </x:c>
      <x:c r="C8" s="95" t="n">
        <x:v>45573</x:v>
      </x:c>
      <x:c r="D8" s="86" t="str">
        <x:v>Admissão</x:v>
      </x:c>
      <x:c r="E8" s="86" t="str">
        <x:v>Nova contratação</x:v>
      </x:c>
      <x:c r="F8" s="86"/>
      <x:c r="G8" s="86" t="n">
        <x:v>3</x:v>
      </x:c>
      <x:c r="H8" s="86"/>
      <x:c r="I8" s="86" t="n">
        <x:v>3</x:v>
      </x:c>
      <x:c r="J8" s="97" t="n">
        <x:v>0</x:v>
      </x:c>
    </x:row>
    <x:row r="9">
      <x:c r="A9" s="85" t="n">
        <x:v>8</x:v>
      </x:c>
      <x:c r="B9" s="86" t="n">
        <x:v>7</x:v>
      </x:c>
      <x:c r="C9" s="95" t="n">
        <x:v>44973</x:v>
      </x:c>
      <x:c r="D9" s="86" t="str">
        <x:v>Admissão</x:v>
      </x:c>
      <x:c r="E9" s="86" t="str">
        <x:v>Nova contratação</x:v>
      </x:c>
      <x:c r="F9" s="86"/>
      <x:c r="G9" s="86" t="n">
        <x:v>1</x:v>
      </x:c>
      <x:c r="H9" s="86"/>
      <x:c r="I9" s="86" t="n">
        <x:v>1</x:v>
      </x:c>
      <x:c r="J9" s="97" t="n">
        <x:v>0</x:v>
      </x:c>
    </x:row>
    <x:row r="10">
      <x:c r="A10" s="85" t="n">
        <x:v>9</x:v>
      </x:c>
      <x:c r="B10" s="86" t="n">
        <x:v>8</x:v>
      </x:c>
      <x:c r="C10" s="95" t="n">
        <x:v>45852</x:v>
      </x:c>
      <x:c r="D10" s="86" t="str">
        <x:v>Admissão</x:v>
      </x:c>
      <x:c r="E10" s="86" t="str">
        <x:v>Nova contratação</x:v>
      </x:c>
      <x:c r="F10" s="86"/>
      <x:c r="G10" s="86" t="n">
        <x:v>2</x:v>
      </x:c>
      <x:c r="H10" s="86"/>
      <x:c r="I10" s="86" t="n">
        <x:v>12</x:v>
      </x:c>
      <x:c r="J10" s="97" t="n">
        <x:v>0</x:v>
      </x:c>
    </x:row>
    <x:row r="11">
      <x:c r="A11" s="85" t="n">
        <x:v>10</x:v>
      </x:c>
      <x:c r="B11" s="86" t="n">
        <x:v>9</x:v>
      </x:c>
      <x:c r="C11" s="95" t="n">
        <x:v>45256</x:v>
      </x:c>
      <x:c r="D11" s="86" t="str">
        <x:v>Admissão</x:v>
      </x:c>
      <x:c r="E11" s="86" t="str">
        <x:v>Nova contratação</x:v>
      </x:c>
      <x:c r="F11" s="86"/>
      <x:c r="G11" s="86" t="n">
        <x:v>5</x:v>
      </x:c>
      <x:c r="H11" s="86"/>
      <x:c r="I11" s="86" t="n">
        <x:v>5</x:v>
      </x:c>
      <x:c r="J11" s="97" t="n">
        <x:v>0</x:v>
      </x:c>
    </x:row>
    <x:row r="12">
      <x:c r="A12" s="85" t="n">
        <x:v>11</x:v>
      </x:c>
      <x:c r="B12" s="86" t="n">
        <x:v>10</x:v>
      </x:c>
      <x:c r="C12" s="95" t="n">
        <x:v>45261</x:v>
      </x:c>
      <x:c r="D12" s="86" t="str">
        <x:v>Admissão</x:v>
      </x:c>
      <x:c r="E12" s="86" t="str">
        <x:v>Nova contratação</x:v>
      </x:c>
      <x:c r="F12" s="86"/>
      <x:c r="G12" s="86" t="n">
        <x:v>1</x:v>
      </x:c>
      <x:c r="H12" s="86"/>
      <x:c r="I12" s="86" t="n">
        <x:v>11</x:v>
      </x:c>
      <x:c r="J12" s="97" t="n">
        <x:v>0</x:v>
      </x:c>
    </x:row>
    <x:row r="13">
      <x:c r="A13" s="85" t="n">
        <x:v>12</x:v>
      </x:c>
      <x:c r="B13" s="86" t="n">
        <x:v>11</x:v>
      </x:c>
      <x:c r="C13" s="95" t="n">
        <x:v>45654</x:v>
      </x:c>
      <x:c r="D13" s="86" t="str">
        <x:v>Admissão</x:v>
      </x:c>
      <x:c r="E13" s="86" t="str">
        <x:v>Nova contratação</x:v>
      </x:c>
      <x:c r="F13" s="86"/>
      <x:c r="G13" s="86" t="n">
        <x:v>9</x:v>
      </x:c>
      <x:c r="H13" s="86"/>
      <x:c r="I13" s="86" t="n">
        <x:v>9</x:v>
      </x:c>
      <x:c r="J13" s="97" t="n">
        <x:v>0</x:v>
      </x:c>
    </x:row>
    <x:row r="14">
      <x:c r="A14" s="85" t="n">
        <x:v>13</x:v>
      </x:c>
      <x:c r="B14" s="86" t="n">
        <x:v>11</x:v>
      </x:c>
      <x:c r="C14" s="95" t="n">
        <x:v>45828</x:v>
      </x:c>
      <x:c r="D14" s="86" t="str">
        <x:v>Desligamento</x:v>
      </x:c>
      <x:c r="E14" s="86" t="str">
        <x:v>Fim de contrato</x:v>
      </x:c>
      <x:c r="F14" s="86" t="n">
        <x:v>9</x:v>
      </x:c>
      <x:c r="G14" s="86"/>
      <x:c r="H14" s="86" t="n">
        <x:v>9</x:v>
      </x:c>
      <x:c r="I14" s="86"/>
      <x:c r="J14" s="97" t="n">
        <x:v>0</x:v>
      </x:c>
    </x:row>
    <x:row r="15">
      <x:c r="A15" s="85" t="n">
        <x:v>14</x:v>
      </x:c>
      <x:c r="B15" s="86" t="n">
        <x:v>12</x:v>
      </x:c>
      <x:c r="C15" s="95" t="n">
        <x:v>45572</x:v>
      </x:c>
      <x:c r="D15" s="86" t="str">
        <x:v>Admissão</x:v>
      </x:c>
      <x:c r="E15" s="86" t="str">
        <x:v>Nova contratação</x:v>
      </x:c>
      <x:c r="F15" s="86"/>
      <x:c r="G15" s="86" t="n">
        <x:v>1</x:v>
      </x:c>
      <x:c r="H15" s="86"/>
      <x:c r="I15" s="86" t="n">
        <x:v>1</x:v>
      </x:c>
      <x:c r="J15" s="97" t="n">
        <x:v>0</x:v>
      </x:c>
    </x:row>
    <x:row r="16">
      <x:c r="A16" s="85" t="n">
        <x:v>15</x:v>
      </x:c>
      <x:c r="B16" s="86" t="n">
        <x:v>13</x:v>
      </x:c>
      <x:c r="C16" s="95" t="n">
        <x:v>45767</x:v>
      </x:c>
      <x:c r="D16" s="86" t="str">
        <x:v>Admissão</x:v>
      </x:c>
      <x:c r="E16" s="86" t="str">
        <x:v>Nova contratação</x:v>
      </x:c>
      <x:c r="F16" s="86"/>
      <x:c r="G16" s="86" t="n">
        <x:v>9</x:v>
      </x:c>
      <x:c r="H16" s="86"/>
      <x:c r="I16" s="86" t="n">
        <x:v>19</x:v>
      </x:c>
      <x:c r="J16" s="97" t="n">
        <x:v>0</x:v>
      </x:c>
    </x:row>
    <x:row r="17">
      <x:c r="A17" s="85" t="n">
        <x:v>16</x:v>
      </x:c>
      <x:c r="B17" s="86" t="n">
        <x:v>14</x:v>
      </x:c>
      <x:c r="C17" s="95" t="n">
        <x:v>45665</x:v>
      </x:c>
      <x:c r="D17" s="86" t="str">
        <x:v>Admissão</x:v>
      </x:c>
      <x:c r="E17" s="86" t="str">
        <x:v>Nova contratação</x:v>
      </x:c>
      <x:c r="F17" s="86"/>
      <x:c r="G17" s="86" t="n">
        <x:v>3</x:v>
      </x:c>
      <x:c r="H17" s="86"/>
      <x:c r="I17" s="86" t="n">
        <x:v>3</x:v>
      </x:c>
      <x:c r="J17" s="97" t="n">
        <x:v>0</x:v>
      </x:c>
    </x:row>
    <x:row r="18">
      <x:c r="A18" s="85" t="n">
        <x:v>17</x:v>
      </x:c>
      <x:c r="B18" s="86" t="n">
        <x:v>15</x:v>
      </x:c>
      <x:c r="C18" s="95" t="n">
        <x:v>45154</x:v>
      </x:c>
      <x:c r="D18" s="86" t="str">
        <x:v>Admissão</x:v>
      </x:c>
      <x:c r="E18" s="86" t="str">
        <x:v>Nova contratação</x:v>
      </x:c>
      <x:c r="F18" s="86"/>
      <x:c r="G18" s="86" t="n">
        <x:v>2</x:v>
      </x:c>
      <x:c r="H18" s="86"/>
      <x:c r="I18" s="86" t="n">
        <x:v>12</x:v>
      </x:c>
      <x:c r="J18" s="97" t="n">
        <x:v>0</x:v>
      </x:c>
    </x:row>
    <x:row r="19">
      <x:c r="A19" s="85" t="n">
        <x:v>18</x:v>
      </x:c>
      <x:c r="B19" s="86" t="n">
        <x:v>15</x:v>
      </x:c>
      <x:c r="C19" s="95" t="n">
        <x:v>45732</x:v>
      </x:c>
      <x:c r="D19" s="86" t="str">
        <x:v>Desligamento</x:v>
      </x:c>
      <x:c r="E19" s="86" t="str">
        <x:v>Fim de contrato</x:v>
      </x:c>
      <x:c r="F19" s="86" t="n">
        <x:v>2</x:v>
      </x:c>
      <x:c r="G19" s="86"/>
      <x:c r="H19" s="86" t="n">
        <x:v>12</x:v>
      </x:c>
      <x:c r="I19" s="86"/>
      <x:c r="J19" s="97" t="n">
        <x:v>0</x:v>
      </x:c>
    </x:row>
    <x:row r="20">
      <x:c r="A20" s="85" t="n">
        <x:v>19</x:v>
      </x:c>
      <x:c r="B20" s="86" t="n">
        <x:v>16</x:v>
      </x:c>
      <x:c r="C20" s="95" t="n">
        <x:v>44977</x:v>
      </x:c>
      <x:c r="D20" s="86" t="str">
        <x:v>Admissão</x:v>
      </x:c>
      <x:c r="E20" s="86" t="str">
        <x:v>Nova contratação</x:v>
      </x:c>
      <x:c r="F20" s="86"/>
      <x:c r="G20" s="86" t="n">
        <x:v>5</x:v>
      </x:c>
      <x:c r="H20" s="86"/>
      <x:c r="I20" s="86" t="n">
        <x:v>5</x:v>
      </x:c>
      <x:c r="J20" s="97" t="n">
        <x:v>0</x:v>
      </x:c>
    </x:row>
    <x:row r="21">
      <x:c r="A21" s="85" t="n">
        <x:v>20</x:v>
      </x:c>
      <x:c r="B21" s="86" t="n">
        <x:v>17</x:v>
      </x:c>
      <x:c r="C21" s="95" t="n">
        <x:v>45637</x:v>
      </x:c>
      <x:c r="D21" s="86" t="str">
        <x:v>Admissão</x:v>
      </x:c>
      <x:c r="E21" s="86" t="str">
        <x:v>Nova contratação</x:v>
      </x:c>
      <x:c r="F21" s="86"/>
      <x:c r="G21" s="86" t="n">
        <x:v>8</x:v>
      </x:c>
      <x:c r="H21" s="86"/>
      <x:c r="I21" s="86" t="n">
        <x:v>8</x:v>
      </x:c>
      <x:c r="J21" s="97" t="n">
        <x:v>0</x:v>
      </x:c>
    </x:row>
    <x:row r="22">
      <x:c r="A22" s="85" t="n">
        <x:v>21</x:v>
      </x:c>
      <x:c r="B22" s="86" t="n">
        <x:v>18</x:v>
      </x:c>
      <x:c r="C22" s="95" t="n">
        <x:v>45736</x:v>
      </x:c>
      <x:c r="D22" s="86" t="str">
        <x:v>Admissão</x:v>
      </x:c>
      <x:c r="E22" s="86" t="str">
        <x:v>Nova contratação</x:v>
      </x:c>
      <x:c r="F22" s="86"/>
      <x:c r="G22" s="86" t="n">
        <x:v>1</x:v>
      </x:c>
      <x:c r="H22" s="86"/>
      <x:c r="I22" s="86" t="n">
        <x:v>1</x:v>
      </x:c>
      <x:c r="J22" s="97" t="n">
        <x:v>0</x:v>
      </x:c>
    </x:row>
    <x:row r="23">
      <x:c r="A23" s="85" t="n">
        <x:v>22</x:v>
      </x:c>
      <x:c r="B23" s="86" t="n">
        <x:v>19</x:v>
      </x:c>
      <x:c r="C23" s="95" t="n">
        <x:v>45402</x:v>
      </x:c>
      <x:c r="D23" s="86" t="str">
        <x:v>Admissão</x:v>
      </x:c>
      <x:c r="E23" s="86" t="str">
        <x:v>Nova contratação</x:v>
      </x:c>
      <x:c r="F23" s="86"/>
      <x:c r="G23" s="86" t="n">
        <x:v>7</x:v>
      </x:c>
      <x:c r="H23" s="86"/>
      <x:c r="I23" s="86" t="n">
        <x:v>7</x:v>
      </x:c>
      <x:c r="J23" s="97" t="n">
        <x:v>0</x:v>
      </x:c>
    </x:row>
    <x:row r="24">
      <x:c r="A24" s="85" t="n">
        <x:v>23</x:v>
      </x:c>
      <x:c r="B24" s="86" t="n">
        <x:v>19</x:v>
      </x:c>
      <x:c r="C24" s="95" t="n">
        <x:v>45930</x:v>
      </x:c>
      <x:c r="D24" s="86" t="str">
        <x:v>Desligamento</x:v>
      </x:c>
      <x:c r="E24" s="86" t="str">
        <x:v>Desempenho</x:v>
      </x:c>
      <x:c r="F24" s="86" t="n">
        <x:v>7</x:v>
      </x:c>
      <x:c r="G24" s="86"/>
      <x:c r="H24" s="86" t="n">
        <x:v>7</x:v>
      </x:c>
      <x:c r="I24" s="86"/>
      <x:c r="J24" s="97" t="n">
        <x:v>0</x:v>
      </x:c>
    </x:row>
    <x:row r="25">
      <x:c r="A25" s="85" t="n">
        <x:v>24</x:v>
      </x:c>
      <x:c r="B25" s="86" t="n">
        <x:v>20</x:v>
      </x:c>
      <x:c r="C25" s="95" t="n">
        <x:v>45320</x:v>
      </x:c>
      <x:c r="D25" s="86" t="str">
        <x:v>Admissão</x:v>
      </x:c>
      <x:c r="E25" s="86" t="str">
        <x:v>Nova contratação</x:v>
      </x:c>
      <x:c r="F25" s="86"/>
      <x:c r="G25" s="86" t="n">
        <x:v>4</x:v>
      </x:c>
      <x:c r="H25" s="86"/>
      <x:c r="I25" s="86" t="n">
        <x:v>14</x:v>
      </x:c>
      <x:c r="J25" s="97" t="n">
        <x:v>0</x:v>
      </x:c>
    </x:row>
    <x:row r="26">
      <x:c r="A26" s="85" t="n">
        <x:v>25</x:v>
      </x:c>
      <x:c r="B26" s="86" t="n">
        <x:v>21</x:v>
      </x:c>
      <x:c r="C26" s="95" t="n">
        <x:v>45470</x:v>
      </x:c>
      <x:c r="D26" s="86" t="str">
        <x:v>Admissão</x:v>
      </x:c>
      <x:c r="E26" s="86" t="str">
        <x:v>Nova contratação</x:v>
      </x:c>
      <x:c r="F26" s="86"/>
      <x:c r="G26" s="86" t="n">
        <x:v>3</x:v>
      </x:c>
      <x:c r="H26" s="86"/>
      <x:c r="I26" s="86" t="n">
        <x:v>3</x:v>
      </x:c>
      <x:c r="J26" s="97" t="n">
        <x:v>0</x:v>
      </x:c>
    </x:row>
    <x:row r="27">
      <x:c r="A27" s="85" t="n">
        <x:v>26</x:v>
      </x:c>
      <x:c r="B27" s="86" t="n">
        <x:v>22</x:v>
      </x:c>
      <x:c r="C27" s="95" t="n">
        <x:v>45324</x:v>
      </x:c>
      <x:c r="D27" s="86" t="str">
        <x:v>Admissão</x:v>
      </x:c>
      <x:c r="E27" s="86" t="str">
        <x:v>Nova contratação</x:v>
      </x:c>
      <x:c r="F27" s="86"/>
      <x:c r="G27" s="86" t="n">
        <x:v>9</x:v>
      </x:c>
      <x:c r="H27" s="86"/>
      <x:c r="I27" s="86" t="n">
        <x:v>9</x:v>
      </x:c>
      <x:c r="J27" s="97" t="n">
        <x:v>0</x:v>
      </x:c>
    </x:row>
    <x:row r="28">
      <x:c r="A28" s="85" t="n">
        <x:v>27</x:v>
      </x:c>
      <x:c r="B28" s="86" t="n">
        <x:v>23</x:v>
      </x:c>
      <x:c r="C28" s="95" t="n">
        <x:v>45410</x:v>
      </x:c>
      <x:c r="D28" s="86" t="str">
        <x:v>Admissão</x:v>
      </x:c>
      <x:c r="E28" s="86" t="str">
        <x:v>Nova contratação</x:v>
      </x:c>
      <x:c r="F28" s="86"/>
      <x:c r="G28" s="86" t="n">
        <x:v>5</x:v>
      </x:c>
      <x:c r="H28" s="86"/>
      <x:c r="I28" s="86" t="n">
        <x:v>5</x:v>
      </x:c>
      <x:c r="J28" s="97" t="n">
        <x:v>0</x:v>
      </x:c>
    </x:row>
    <x:row r="29">
      <x:c r="A29" s="85" t="n">
        <x:v>28</x:v>
      </x:c>
      <x:c r="B29" s="86" t="n">
        <x:v>24</x:v>
      </x:c>
      <x:c r="C29" s="95" t="n">
        <x:v>45289</x:v>
      </x:c>
      <x:c r="D29" s="86" t="str">
        <x:v>Admissão</x:v>
      </x:c>
      <x:c r="E29" s="86" t="str">
        <x:v>Nova contratação</x:v>
      </x:c>
      <x:c r="F29" s="86"/>
      <x:c r="G29" s="86" t="n">
        <x:v>10</x:v>
      </x:c>
      <x:c r="H29" s="86"/>
      <x:c r="I29" s="86" t="n">
        <x:v>20</x:v>
      </x:c>
      <x:c r="J29" s="97" t="n">
        <x:v>0</x:v>
      </x:c>
    </x:row>
    <x:row r="30">
      <x:c r="A30" s="85" t="n">
        <x:v>29</x:v>
      </x:c>
      <x:c r="B30" s="86" t="n">
        <x:v>25</x:v>
      </x:c>
      <x:c r="C30" s="95" t="n">
        <x:v>45555</x:v>
      </x:c>
      <x:c r="D30" s="86" t="str">
        <x:v>Admissão</x:v>
      </x:c>
      <x:c r="E30" s="86" t="str">
        <x:v>Nova contratação</x:v>
      </x:c>
      <x:c r="F30" s="86"/>
      <x:c r="G30" s="86" t="n">
        <x:v>7</x:v>
      </x:c>
      <x:c r="H30" s="86"/>
      <x:c r="I30" s="86" t="n">
        <x:v>7</x:v>
      </x:c>
      <x:c r="J30" s="97" t="n">
        <x:v>0</x:v>
      </x:c>
    </x:row>
    <x:row r="31">
      <x:c r="A31" s="85" t="n">
        <x:v>30</x:v>
      </x:c>
      <x:c r="B31" s="86" t="n">
        <x:v>26</x:v>
      </x:c>
      <x:c r="C31" s="95" t="n">
        <x:v>45442</x:v>
      </x:c>
      <x:c r="D31" s="86" t="str">
        <x:v>Admissão</x:v>
      </x:c>
      <x:c r="E31" s="86" t="str">
        <x:v>Nova contratação</x:v>
      </x:c>
      <x:c r="F31" s="86"/>
      <x:c r="G31" s="86" t="n">
        <x:v>3</x:v>
      </x:c>
      <x:c r="H31" s="86"/>
      <x:c r="I31" s="86" t="n">
        <x:v>13</x:v>
      </x:c>
      <x:c r="J31" s="97" t="n">
        <x:v>0</x:v>
      </x:c>
    </x:row>
    <x:row r="32">
      <x:c r="A32" s="85" t="n">
        <x:v>31</x:v>
      </x:c>
      <x:c r="B32" s="86" t="n">
        <x:v>27</x:v>
      </x:c>
      <x:c r="C32" s="95" t="n">
        <x:v>45483</x:v>
      </x:c>
      <x:c r="D32" s="86" t="str">
        <x:v>Admissão</x:v>
      </x:c>
      <x:c r="E32" s="86" t="str">
        <x:v>Nova contratação</x:v>
      </x:c>
      <x:c r="F32" s="86"/>
      <x:c r="G32" s="86" t="n">
        <x:v>4</x:v>
      </x:c>
      <x:c r="H32" s="86"/>
      <x:c r="I32" s="86" t="n">
        <x:v>4</x:v>
      </x:c>
      <x:c r="J32" s="97" t="n">
        <x:v>0</x:v>
      </x:c>
    </x:row>
    <x:row r="33">
      <x:c r="A33" s="85" t="n">
        <x:v>32</x:v>
      </x:c>
      <x:c r="B33" s="86" t="n">
        <x:v>27</x:v>
      </x:c>
      <x:c r="C33" s="95" t="n">
        <x:v>45995</x:v>
      </x:c>
      <x:c r="D33" s="86" t="str">
        <x:v>Promoção</x:v>
      </x:c>
      <x:c r="E33" s="86" t="str">
        <x:v>Evolução de carreira</x:v>
      </x:c>
      <x:c r="F33" s="86" t="n">
        <x:v>4</x:v>
      </x:c>
      <x:c r="G33" s="86" t="n">
        <x:v>4</x:v>
      </x:c>
      <x:c r="H33" s="86" t="n">
        <x:v>4</x:v>
      </x:c>
      <x:c r="I33" s="86" t="n">
        <x:v>4</x:v>
      </x:c>
      <x:c r="J33" s="97" t="n">
        <x:v>0.0843</x:v>
      </x:c>
    </x:row>
    <x:row r="34">
      <x:c r="A34" s="85" t="n">
        <x:v>33</x:v>
      </x:c>
      <x:c r="B34" s="86" t="n">
        <x:v>28</x:v>
      </x:c>
      <x:c r="C34" s="95" t="n">
        <x:v>45490</x:v>
      </x:c>
      <x:c r="D34" s="86" t="str">
        <x:v>Admissão</x:v>
      </x:c>
      <x:c r="E34" s="86" t="str">
        <x:v>Nova contratação</x:v>
      </x:c>
      <x:c r="F34" s="86"/>
      <x:c r="G34" s="86" t="n">
        <x:v>1</x:v>
      </x:c>
      <x:c r="H34" s="86"/>
      <x:c r="I34" s="86" t="n">
        <x:v>1</x:v>
      </x:c>
      <x:c r="J34" s="97" t="n">
        <x:v>0</x:v>
      </x:c>
    </x:row>
    <x:row r="35">
      <x:c r="A35" s="85" t="n">
        <x:v>34</x:v>
      </x:c>
      <x:c r="B35" s="86" t="n">
        <x:v>29</x:v>
      </x:c>
      <x:c r="C35" s="95" t="n">
        <x:v>45896</x:v>
      </x:c>
      <x:c r="D35" s="86" t="str">
        <x:v>Admissão</x:v>
      </x:c>
      <x:c r="E35" s="86" t="str">
        <x:v>Nova contratação</x:v>
      </x:c>
      <x:c r="F35" s="86"/>
      <x:c r="G35" s="86" t="n">
        <x:v>7</x:v>
      </x:c>
      <x:c r="H35" s="86"/>
      <x:c r="I35" s="86" t="n">
        <x:v>7</x:v>
      </x:c>
      <x:c r="J35" s="97" t="n">
        <x:v>0</x:v>
      </x:c>
    </x:row>
    <x:row r="36">
      <x:c r="A36" s="85" t="n">
        <x:v>35</x:v>
      </x:c>
      <x:c r="B36" s="86" t="n">
        <x:v>29</x:v>
      </x:c>
      <x:c r="C36" s="95" t="n">
        <x:v>45991</x:v>
      </x:c>
      <x:c r="D36" s="86" t="str">
        <x:v>Desligamento</x:v>
      </x:c>
      <x:c r="E36" s="86" t="str">
        <x:v>Desempenho</x:v>
      </x:c>
      <x:c r="F36" s="86" t="n">
        <x:v>7</x:v>
      </x:c>
      <x:c r="G36" s="86"/>
      <x:c r="H36" s="86" t="n">
        <x:v>7</x:v>
      </x:c>
      <x:c r="I36" s="86"/>
      <x:c r="J36" s="97" t="n">
        <x:v>0</x:v>
      </x:c>
    </x:row>
    <x:row r="37">
      <x:c r="A37" s="85" t="n">
        <x:v>36</x:v>
      </x:c>
      <x:c r="B37" s="86" t="n">
        <x:v>30</x:v>
      </x:c>
      <x:c r="C37" s="95" t="n">
        <x:v>45243</x:v>
      </x:c>
      <x:c r="D37" s="86" t="str">
        <x:v>Admissão</x:v>
      </x:c>
      <x:c r="E37" s="86" t="str">
        <x:v>Nova contratação</x:v>
      </x:c>
      <x:c r="F37" s="86"/>
      <x:c r="G37" s="86" t="n">
        <x:v>3</x:v>
      </x:c>
      <x:c r="H37" s="86"/>
      <x:c r="I37" s="86" t="n">
        <x:v>3</x:v>
      </x:c>
      <x:c r="J37" s="97" t="n">
        <x:v>0</x:v>
      </x:c>
    </x:row>
    <x:row r="38">
      <x:c r="A38" s="85" t="n">
        <x:v>37</x:v>
      </x:c>
      <x:c r="B38" s="86" t="n">
        <x:v>31</x:v>
      </x:c>
      <x:c r="C38" s="95" t="n">
        <x:v>45638</x:v>
      </x:c>
      <x:c r="D38" s="86" t="str">
        <x:v>Admissão</x:v>
      </x:c>
      <x:c r="E38" s="86" t="str">
        <x:v>Nova contratação</x:v>
      </x:c>
      <x:c r="F38" s="86"/>
      <x:c r="G38" s="86" t="n">
        <x:v>2</x:v>
      </x:c>
      <x:c r="H38" s="86"/>
      <x:c r="I38" s="86" t="n">
        <x:v>2</x:v>
      </x:c>
      <x:c r="J38" s="97" t="n">
        <x:v>0</x:v>
      </x:c>
    </x:row>
    <x:row r="39">
      <x:c r="A39" s="85" t="n">
        <x:v>38</x:v>
      </x:c>
      <x:c r="B39" s="86" t="n">
        <x:v>31</x:v>
      </x:c>
      <x:c r="C39" s="95" t="n">
        <x:v>45777</x:v>
      </x:c>
      <x:c r="D39" s="86" t="str">
        <x:v>Desligamento</x:v>
      </x:c>
      <x:c r="E39" s="86" t="str">
        <x:v>Pedido do colaborador</x:v>
      </x:c>
      <x:c r="F39" s="86" t="n">
        <x:v>2</x:v>
      </x:c>
      <x:c r="G39" s="86"/>
      <x:c r="H39" s="86" t="n">
        <x:v>2</x:v>
      </x:c>
      <x:c r="I39" s="86"/>
      <x:c r="J39" s="97" t="n">
        <x:v>0</x:v>
      </x:c>
    </x:row>
    <x:row r="40">
      <x:c r="A40" s="85" t="n">
        <x:v>39</x:v>
      </x:c>
      <x:c r="B40" s="86" t="n">
        <x:v>32</x:v>
      </x:c>
      <x:c r="C40" s="95" t="n">
        <x:v>45334</x:v>
      </x:c>
      <x:c r="D40" s="86" t="str">
        <x:v>Admissão</x:v>
      </x:c>
      <x:c r="E40" s="86" t="str">
        <x:v>Nova contratação</x:v>
      </x:c>
      <x:c r="F40" s="86"/>
      <x:c r="G40" s="86" t="n">
        <x:v>6</x:v>
      </x:c>
      <x:c r="H40" s="86"/>
      <x:c r="I40" s="86" t="n">
        <x:v>6</x:v>
      </x:c>
      <x:c r="J40" s="97" t="n">
        <x:v>0</x:v>
      </x:c>
    </x:row>
    <x:row r="41">
      <x:c r="A41" s="85" t="n">
        <x:v>40</x:v>
      </x:c>
      <x:c r="B41" s="86" t="n">
        <x:v>32</x:v>
      </x:c>
      <x:c r="C41" s="95" t="n">
        <x:v>45935</x:v>
      </x:c>
      <x:c r="D41" s="86" t="str">
        <x:v>Promoção</x:v>
      </x:c>
      <x:c r="E41" s="86" t="str">
        <x:v>Evolução de carreira</x:v>
      </x:c>
      <x:c r="F41" s="86" t="n">
        <x:v>6</x:v>
      </x:c>
      <x:c r="G41" s="86" t="n">
        <x:v>6</x:v>
      </x:c>
      <x:c r="H41" s="86" t="n">
        <x:v>6</x:v>
      </x:c>
      <x:c r="I41" s="86" t="n">
        <x:v>6</x:v>
      </x:c>
      <x:c r="J41" s="97" t="n">
        <x:v>0.1104</x:v>
      </x:c>
    </x:row>
    <x:row r="42">
      <x:c r="A42" s="85" t="n">
        <x:v>41</x:v>
      </x:c>
      <x:c r="B42" s="86" t="n">
        <x:v>33</x:v>
      </x:c>
      <x:c r="C42" s="95" t="n">
        <x:v>45650</x:v>
      </x:c>
      <x:c r="D42" s="86" t="str">
        <x:v>Admissão</x:v>
      </x:c>
      <x:c r="E42" s="86" t="str">
        <x:v>Nova contratação</x:v>
      </x:c>
      <x:c r="F42" s="86"/>
      <x:c r="G42" s="86" t="n">
        <x:v>9</x:v>
      </x:c>
      <x:c r="H42" s="86"/>
      <x:c r="I42" s="86" t="n">
        <x:v>9</x:v>
      </x:c>
      <x:c r="J42" s="97" t="n">
        <x:v>0</x:v>
      </x:c>
    </x:row>
    <x:row r="43">
      <x:c r="A43" s="85" t="n">
        <x:v>42</x:v>
      </x:c>
      <x:c r="B43" s="86" t="n">
        <x:v>33</x:v>
      </x:c>
      <x:c r="C43" s="95" t="n">
        <x:v>45851</x:v>
      </x:c>
      <x:c r="D43" s="86" t="str">
        <x:v>Desligamento</x:v>
      </x:c>
      <x:c r="E43" s="86" t="str">
        <x:v>Reestruturação</x:v>
      </x:c>
      <x:c r="F43" s="86" t="n">
        <x:v>9</x:v>
      </x:c>
      <x:c r="G43" s="86"/>
      <x:c r="H43" s="86" t="n">
        <x:v>9</x:v>
      </x:c>
      <x:c r="I43" s="86"/>
      <x:c r="J43" s="97" t="n">
        <x:v>0</x:v>
      </x:c>
    </x:row>
    <x:row r="44">
      <x:c r="A44" s="85" t="n">
        <x:v>43</x:v>
      </x:c>
      <x:c r="B44" s="86" t="n">
        <x:v>34</x:v>
      </x:c>
      <x:c r="C44" s="95" t="n">
        <x:v>45517</x:v>
      </x:c>
      <x:c r="D44" s="86" t="str">
        <x:v>Admissão</x:v>
      </x:c>
      <x:c r="E44" s="86" t="str">
        <x:v>Nova contratação</x:v>
      </x:c>
      <x:c r="F44" s="86"/>
      <x:c r="G44" s="86" t="n">
        <x:v>1</x:v>
      </x:c>
      <x:c r="H44" s="86"/>
      <x:c r="I44" s="86" t="n">
        <x:v>1</x:v>
      </x:c>
      <x:c r="J44" s="97" t="n">
        <x:v>0</x:v>
      </x:c>
    </x:row>
    <x:row r="45">
      <x:c r="A45" s="85" t="n">
        <x:v>44</x:v>
      </x:c>
      <x:c r="B45" s="86" t="n">
        <x:v>34</x:v>
      </x:c>
      <x:c r="C45" s="95" t="n">
        <x:v>45986</x:v>
      </x:c>
      <x:c r="D45" s="86" t="str">
        <x:v>Desligamento</x:v>
      </x:c>
      <x:c r="E45" s="86" t="str">
        <x:v>Reestruturação</x:v>
      </x:c>
      <x:c r="F45" s="86" t="n">
        <x:v>1</x:v>
      </x:c>
      <x:c r="G45" s="86"/>
      <x:c r="H45" s="86" t="n">
        <x:v>1</x:v>
      </x:c>
      <x:c r="I45" s="86"/>
      <x:c r="J45" s="97" t="n">
        <x:v>0</x:v>
      </x:c>
    </x:row>
    <x:row r="46">
      <x:c r="A46" s="85" t="n">
        <x:v>45</x:v>
      </x:c>
      <x:c r="B46" s="86" t="n">
        <x:v>35</x:v>
      </x:c>
      <x:c r="C46" s="95" t="n">
        <x:v>45306</x:v>
      </x:c>
      <x:c r="D46" s="86" t="str">
        <x:v>Admissão</x:v>
      </x:c>
      <x:c r="E46" s="86" t="str">
        <x:v>Nova contratação</x:v>
      </x:c>
      <x:c r="F46" s="86"/>
      <x:c r="G46" s="86" t="n">
        <x:v>6</x:v>
      </x:c>
      <x:c r="H46" s="86"/>
      <x:c r="I46" s="86" t="n">
        <x:v>6</x:v>
      </x:c>
      <x:c r="J46" s="97" t="n">
        <x:v>0</x:v>
      </x:c>
    </x:row>
    <x:row r="47">
      <x:c r="A47" s="85" t="n">
        <x:v>46</x:v>
      </x:c>
      <x:c r="B47" s="86" t="n">
        <x:v>35</x:v>
      </x:c>
      <x:c r="C47" s="95" t="n">
        <x:v>45519</x:v>
      </x:c>
      <x:c r="D47" s="86" t="str">
        <x:v>Promoção</x:v>
      </x:c>
      <x:c r="E47" s="86" t="str">
        <x:v>Evolução de carreira</x:v>
      </x:c>
      <x:c r="F47" s="86" t="n">
        <x:v>6</x:v>
      </x:c>
      <x:c r="G47" s="86" t="n">
        <x:v>6</x:v>
      </x:c>
      <x:c r="H47" s="86" t="n">
        <x:v>6</x:v>
      </x:c>
      <x:c r="I47" s="86" t="n">
        <x:v>6</x:v>
      </x:c>
      <x:c r="J47" s="97" t="n">
        <x:v>0.1282</x:v>
      </x:c>
    </x:row>
    <x:row r="48">
      <x:c r="A48" s="85" t="n">
        <x:v>47</x:v>
      </x:c>
      <x:c r="B48" s="86" t="n">
        <x:v>36</x:v>
      </x:c>
      <x:c r="C48" s="95" t="n">
        <x:v>44929</x:v>
      </x:c>
      <x:c r="D48" s="86" t="str">
        <x:v>Admissão</x:v>
      </x:c>
      <x:c r="E48" s="86" t="str">
        <x:v>Nova contratação</x:v>
      </x:c>
      <x:c r="F48" s="86"/>
      <x:c r="G48" s="86" t="n">
        <x:v>4</x:v>
      </x:c>
      <x:c r="H48" s="86"/>
      <x:c r="I48" s="86" t="n">
        <x:v>4</x:v>
      </x:c>
      <x:c r="J48" s="97" t="n">
        <x:v>0</x:v>
      </x:c>
    </x:row>
    <x:row r="49">
      <x:c r="A49" s="85" t="n">
        <x:v>48</x:v>
      </x:c>
      <x:c r="B49" s="86" t="n">
        <x:v>37</x:v>
      </x:c>
      <x:c r="C49" s="95" t="n">
        <x:v>45089</x:v>
      </x:c>
      <x:c r="D49" s="86" t="str">
        <x:v>Admissão</x:v>
      </x:c>
      <x:c r="E49" s="86" t="str">
        <x:v>Nova contratação</x:v>
      </x:c>
      <x:c r="F49" s="86"/>
      <x:c r="G49" s="86" t="n">
        <x:v>3</x:v>
      </x:c>
      <x:c r="H49" s="86"/>
      <x:c r="I49" s="86" t="n">
        <x:v>3</x:v>
      </x:c>
      <x:c r="J49" s="97" t="n">
        <x:v>0</x:v>
      </x:c>
    </x:row>
    <x:row r="50">
      <x:c r="A50" s="85" t="n">
        <x:v>49</x:v>
      </x:c>
      <x:c r="B50" s="86" t="n">
        <x:v>38</x:v>
      </x:c>
      <x:c r="C50" s="95" t="n">
        <x:v>45265</x:v>
      </x:c>
      <x:c r="D50" s="86" t="str">
        <x:v>Admissão</x:v>
      </x:c>
      <x:c r="E50" s="86" t="str">
        <x:v>Nova contratação</x:v>
      </x:c>
      <x:c r="F50" s="86"/>
      <x:c r="G50" s="86" t="n">
        <x:v>5</x:v>
      </x:c>
      <x:c r="H50" s="86"/>
      <x:c r="I50" s="86" t="n">
        <x:v>15</x:v>
      </x:c>
      <x:c r="J50" s="97" t="n">
        <x:v>0</x:v>
      </x:c>
    </x:row>
    <x:row r="51">
      <x:c r="A51" s="85" t="n">
        <x:v>50</x:v>
      </x:c>
      <x:c r="B51" s="86" t="n">
        <x:v>39</x:v>
      </x:c>
      <x:c r="C51" s="95" t="n">
        <x:v>45469</x:v>
      </x:c>
      <x:c r="D51" s="86" t="str">
        <x:v>Admissão</x:v>
      </x:c>
      <x:c r="E51" s="86" t="str">
        <x:v>Nova contratação</x:v>
      </x:c>
      <x:c r="F51" s="86"/>
      <x:c r="G51" s="86" t="n">
        <x:v>5</x:v>
      </x:c>
      <x:c r="H51" s="86"/>
      <x:c r="I51" s="86" t="n">
        <x:v>15</x:v>
      </x:c>
      <x:c r="J51" s="97" t="n">
        <x:v>0</x:v>
      </x:c>
    </x:row>
    <x:row r="52">
      <x:c r="A52" s="85" t="n">
        <x:v>51</x:v>
      </x:c>
      <x:c r="B52" s="86" t="n">
        <x:v>39</x:v>
      </x:c>
      <x:c r="C52" s="95" t="n">
        <x:v>45865</x:v>
      </x:c>
      <x:c r="D52" s="86" t="str">
        <x:v>Promoção</x:v>
      </x:c>
      <x:c r="E52" s="86" t="str">
        <x:v>Evolução de carreira</x:v>
      </x:c>
      <x:c r="F52" s="86" t="n">
        <x:v>5</x:v>
      </x:c>
      <x:c r="G52" s="86" t="n">
        <x:v>5</x:v>
      </x:c>
      <x:c r="H52" s="86" t="n">
        <x:v>15</x:v>
      </x:c>
      <x:c r="I52" s="86" t="n">
        <x:v>15</x:v>
      </x:c>
      <x:c r="J52" s="97" t="n">
        <x:v>0.1485</x:v>
      </x:c>
    </x:row>
    <x:row r="53">
      <x:c r="A53" s="85" t="n">
        <x:v>52</x:v>
      </x:c>
      <x:c r="B53" s="86" t="n">
        <x:v>40</x:v>
      </x:c>
      <x:c r="C53" s="95" t="n">
        <x:v>45261</x:v>
      </x:c>
      <x:c r="D53" s="86" t="str">
        <x:v>Admissão</x:v>
      </x:c>
      <x:c r="E53" s="86" t="str">
        <x:v>Nova contratação</x:v>
      </x:c>
      <x:c r="F53" s="86"/>
      <x:c r="G53" s="86" t="n">
        <x:v>1</x:v>
      </x:c>
      <x:c r="H53" s="86"/>
      <x:c r="I53" s="86" t="n">
        <x:v>1</x:v>
      </x:c>
      <x:c r="J53" s="97" t="n">
        <x:v>0</x:v>
      </x:c>
    </x:row>
    <x:row r="54">
      <x:c r="A54" s="85" t="n">
        <x:v>53</x:v>
      </x:c>
      <x:c r="B54" s="86" t="n">
        <x:v>40</x:v>
      </x:c>
      <x:c r="C54" s="95" t="n">
        <x:v>45992</x:v>
      </x:c>
      <x:c r="D54" s="86" t="str">
        <x:v>Promoção</x:v>
      </x:c>
      <x:c r="E54" s="86" t="str">
        <x:v>Evolução de carreira</x:v>
      </x:c>
      <x:c r="F54" s="86" t="n">
        <x:v>1</x:v>
      </x:c>
      <x:c r="G54" s="86" t="n">
        <x:v>1</x:v>
      </x:c>
      <x:c r="H54" s="86" t="n">
        <x:v>1</x:v>
      </x:c>
      <x:c r="I54" s="86" t="n">
        <x:v>1</x:v>
      </x:c>
      <x:c r="J54" s="97" t="n">
        <x:v>0.1418</x:v>
      </x:c>
    </x:row>
    <x:row r="55">
      <x:c r="A55" s="85" t="n">
        <x:v>54</x:v>
      </x:c>
      <x:c r="B55" s="86" t="n">
        <x:v>41</x:v>
      </x:c>
      <x:c r="C55" s="95" t="n">
        <x:v>45268</x:v>
      </x:c>
      <x:c r="D55" s="86" t="str">
        <x:v>Admissão</x:v>
      </x:c>
      <x:c r="E55" s="86" t="str">
        <x:v>Nova contratação</x:v>
      </x:c>
      <x:c r="F55" s="86"/>
      <x:c r="G55" s="86" t="n">
        <x:v>1</x:v>
      </x:c>
      <x:c r="H55" s="86"/>
      <x:c r="I55" s="86" t="n">
        <x:v>1</x:v>
      </x:c>
      <x:c r="J55" s="97" t="n">
        <x:v>0</x:v>
      </x:c>
    </x:row>
    <x:row r="56">
      <x:c r="A56" s="85" t="n">
        <x:v>55</x:v>
      </x:c>
      <x:c r="B56" s="86" t="n">
        <x:v>41</x:v>
      </x:c>
      <x:c r="C56" s="95" t="n">
        <x:v>45814</x:v>
      </x:c>
      <x:c r="D56" s="86" t="str">
        <x:v>Promoção</x:v>
      </x:c>
      <x:c r="E56" s="86" t="str">
        <x:v>Evolução de carreira</x:v>
      </x:c>
      <x:c r="F56" s="86" t="n">
        <x:v>1</x:v>
      </x:c>
      <x:c r="G56" s="86" t="n">
        <x:v>1</x:v>
      </x:c>
      <x:c r="H56" s="86" t="n">
        <x:v>1</x:v>
      </x:c>
      <x:c r="I56" s="86" t="n">
        <x:v>1</x:v>
      </x:c>
      <x:c r="J56" s="97" t="n">
        <x:v>0.1127</x:v>
      </x:c>
    </x:row>
    <x:row r="57">
      <x:c r="A57" s="85" t="n">
        <x:v>56</x:v>
      </x:c>
      <x:c r="B57" s="86" t="n">
        <x:v>42</x:v>
      </x:c>
      <x:c r="C57" s="95" t="n">
        <x:v>45666</x:v>
      </x:c>
      <x:c r="D57" s="86" t="str">
        <x:v>Admissão</x:v>
      </x:c>
      <x:c r="E57" s="86" t="str">
        <x:v>Nova contratação</x:v>
      </x:c>
      <x:c r="F57" s="86"/>
      <x:c r="G57" s="86" t="n">
        <x:v>2</x:v>
      </x:c>
      <x:c r="H57" s="86"/>
      <x:c r="I57" s="86" t="n">
        <x:v>2</x:v>
      </x:c>
      <x:c r="J57" s="97" t="n">
        <x:v>0</x:v>
      </x:c>
    </x:row>
    <x:row r="58">
      <x:c r="A58" s="85" t="n">
        <x:v>57</x:v>
      </x:c>
      <x:c r="B58" s="86" t="n">
        <x:v>43</x:v>
      </x:c>
      <x:c r="C58" s="95" t="n">
        <x:v>45592</x:v>
      </x:c>
      <x:c r="D58" s="86" t="str">
        <x:v>Admissão</x:v>
      </x:c>
      <x:c r="E58" s="86" t="str">
        <x:v>Nova contratação</x:v>
      </x:c>
      <x:c r="F58" s="86"/>
      <x:c r="G58" s="86" t="n">
        <x:v>2</x:v>
      </x:c>
      <x:c r="H58" s="86"/>
      <x:c r="I58" s="86" t="n">
        <x:v>2</x:v>
      </x:c>
      <x:c r="J58" s="97" t="n">
        <x:v>0</x:v>
      </x:c>
    </x:row>
    <x:row r="59">
      <x:c r="A59" s="85" t="n">
        <x:v>58</x:v>
      </x:c>
      <x:c r="B59" s="86" t="n">
        <x:v>44</x:v>
      </x:c>
      <x:c r="C59" s="95" t="n">
        <x:v>45765</x:v>
      </x:c>
      <x:c r="D59" s="86" t="str">
        <x:v>Admissão</x:v>
      </x:c>
      <x:c r="E59" s="86" t="str">
        <x:v>Nova contratação</x:v>
      </x:c>
      <x:c r="F59" s="86"/>
      <x:c r="G59" s="86" t="n">
        <x:v>2</x:v>
      </x:c>
      <x:c r="H59" s="86"/>
      <x:c r="I59" s="86" t="n">
        <x:v>2</x:v>
      </x:c>
      <x:c r="J59" s="97" t="n">
        <x:v>0</x:v>
      </x:c>
    </x:row>
    <x:row r="60">
      <x:c r="A60" s="85" t="n">
        <x:v>59</x:v>
      </x:c>
      <x:c r="B60" s="86" t="n">
        <x:v>45</x:v>
      </x:c>
      <x:c r="C60" s="95" t="n">
        <x:v>45113</x:v>
      </x:c>
      <x:c r="D60" s="86" t="str">
        <x:v>Admissão</x:v>
      </x:c>
      <x:c r="E60" s="86" t="str">
        <x:v>Nova contratação</x:v>
      </x:c>
      <x:c r="F60" s="86"/>
      <x:c r="G60" s="86" t="n">
        <x:v>1</x:v>
      </x:c>
      <x:c r="H60" s="86"/>
      <x:c r="I60" s="86" t="n">
        <x:v>1</x:v>
      </x:c>
      <x:c r="J60" s="97" t="n">
        <x:v>0</x:v>
      </x:c>
    </x:row>
    <x:row r="61">
      <x:c r="A61" s="85" t="n">
        <x:v>60</x:v>
      </x:c>
      <x:c r="B61" s="86" t="n">
        <x:v>45</x:v>
      </x:c>
      <x:c r="C61" s="95" t="n">
        <x:v>45866</x:v>
      </x:c>
      <x:c r="D61" s="86" t="str">
        <x:v>Promoção</x:v>
      </x:c>
      <x:c r="E61" s="86" t="str">
        <x:v>Evolução de carreira</x:v>
      </x:c>
      <x:c r="F61" s="86" t="n">
        <x:v>1</x:v>
      </x:c>
      <x:c r="G61" s="86" t="n">
        <x:v>1</x:v>
      </x:c>
      <x:c r="H61" s="86" t="n">
        <x:v>1</x:v>
      </x:c>
      <x:c r="I61" s="86" t="n">
        <x:v>1</x:v>
      </x:c>
      <x:c r="J61" s="97" t="n">
        <x:v>0.0685</x:v>
      </x:c>
    </x:row>
    <x:row r="62">
      <x:c r="A62" s="85" t="n">
        <x:v>61</x:v>
      </x:c>
      <x:c r="B62" s="86" t="n">
        <x:v>46</x:v>
      </x:c>
      <x:c r="C62" s="95" t="n">
        <x:v>45423</x:v>
      </x:c>
      <x:c r="D62" s="86" t="str">
        <x:v>Admissão</x:v>
      </x:c>
      <x:c r="E62" s="86" t="str">
        <x:v>Nova contratação</x:v>
      </x:c>
      <x:c r="F62" s="86"/>
      <x:c r="G62" s="86" t="n">
        <x:v>1</x:v>
      </x:c>
      <x:c r="H62" s="86"/>
      <x:c r="I62" s="86" t="n">
        <x:v>1</x:v>
      </x:c>
      <x:c r="J62" s="97" t="n">
        <x:v>0</x:v>
      </x:c>
    </x:row>
    <x:row r="63">
      <x:c r="A63" s="85" t="n">
        <x:v>62</x:v>
      </x:c>
      <x:c r="B63" s="86" t="n">
        <x:v>47</x:v>
      </x:c>
      <x:c r="C63" s="95" t="n">
        <x:v>44963</x:v>
      </x:c>
      <x:c r="D63" s="86" t="str">
        <x:v>Admissão</x:v>
      </x:c>
      <x:c r="E63" s="86" t="str">
        <x:v>Nova contratação</x:v>
      </x:c>
      <x:c r="F63" s="86"/>
      <x:c r="G63" s="86" t="n">
        <x:v>1</x:v>
      </x:c>
      <x:c r="H63" s="86"/>
      <x:c r="I63" s="86" t="n">
        <x:v>1</x:v>
      </x:c>
      <x:c r="J63" s="97" t="n">
        <x:v>0</x:v>
      </x:c>
    </x:row>
    <x:row r="64">
      <x:c r="A64" s="85" t="n">
        <x:v>63</x:v>
      </x:c>
      <x:c r="B64" s="86" t="n">
        <x:v>48</x:v>
      </x:c>
      <x:c r="C64" s="95" t="n">
        <x:v>45013</x:v>
      </x:c>
      <x:c r="D64" s="86" t="str">
        <x:v>Admissão</x:v>
      </x:c>
      <x:c r="E64" s="86" t="str">
        <x:v>Nova contratação</x:v>
      </x:c>
      <x:c r="F64" s="86"/>
      <x:c r="G64" s="86" t="n">
        <x:v>8</x:v>
      </x:c>
      <x:c r="H64" s="86"/>
      <x:c r="I64" s="86" t="n">
        <x:v>8</x:v>
      </x:c>
      <x:c r="J64" s="97" t="n">
        <x:v>0</x:v>
      </x:c>
    </x:row>
    <x:row r="65">
      <x:c r="A65" s="85" t="n">
        <x:v>64</x:v>
      </x:c>
      <x:c r="B65" s="86" t="n">
        <x:v>49</x:v>
      </x:c>
      <x:c r="C65" s="95" t="n">
        <x:v>44950</x:v>
      </x:c>
      <x:c r="D65" s="86" t="str">
        <x:v>Admissão</x:v>
      </x:c>
      <x:c r="E65" s="86" t="str">
        <x:v>Nova contratação</x:v>
      </x:c>
      <x:c r="F65" s="86"/>
      <x:c r="G65" s="86" t="n">
        <x:v>10</x:v>
      </x:c>
      <x:c r="H65" s="86"/>
      <x:c r="I65" s="86" t="n">
        <x:v>10</x:v>
      </x:c>
      <x:c r="J65" s="97" t="n">
        <x:v>0</x:v>
      </x:c>
    </x:row>
    <x:row r="66">
      <x:c r="A66" s="85" t="n">
        <x:v>65</x:v>
      </x:c>
      <x:c r="B66" s="86" t="n">
        <x:v>49</x:v>
      </x:c>
      <x:c r="C66" s="95" t="n">
        <x:v>45436</x:v>
      </x:c>
      <x:c r="D66" s="86" t="str">
        <x:v>Promoção</x:v>
      </x:c>
      <x:c r="E66" s="86" t="str">
        <x:v>Evolução de carreira</x:v>
      </x:c>
      <x:c r="F66" s="86" t="n">
        <x:v>10</x:v>
      </x:c>
      <x:c r="G66" s="86" t="n">
        <x:v>10</x:v>
      </x:c>
      <x:c r="H66" s="86" t="n">
        <x:v>10</x:v>
      </x:c>
      <x:c r="I66" s="86" t="n">
        <x:v>10</x:v>
      </x:c>
      <x:c r="J66" s="97" t="n">
        <x:v>0.0798</x:v>
      </x:c>
    </x:row>
    <x:row r="67">
      <x:c r="A67" s="85" t="n">
        <x:v>66</x:v>
      </x:c>
      <x:c r="B67" s="86" t="n">
        <x:v>50</x:v>
      </x:c>
      <x:c r="C67" s="95" t="n">
        <x:v>45772</x:v>
      </x:c>
      <x:c r="D67" s="86" t="str">
        <x:v>Admissão</x:v>
      </x:c>
      <x:c r="E67" s="86" t="str">
        <x:v>Nova contratação</x:v>
      </x:c>
      <x:c r="F67" s="86"/>
      <x:c r="G67" s="86" t="n">
        <x:v>6</x:v>
      </x:c>
      <x:c r="H67" s="86"/>
      <x:c r="I67" s="86" t="n">
        <x:v>6</x:v>
      </x:c>
      <x:c r="J67" s="97" t="n">
        <x:v>0</x:v>
      </x:c>
    </x:row>
    <x:row r="68">
      <x:c r="A68" s="85" t="n">
        <x:v>67</x:v>
      </x:c>
      <x:c r="B68" s="86" t="n">
        <x:v>51</x:v>
      </x:c>
      <x:c r="C68" s="95" t="n">
        <x:v>45632</x:v>
      </x:c>
      <x:c r="D68" s="86" t="str">
        <x:v>Admissão</x:v>
      </x:c>
      <x:c r="E68" s="86" t="str">
        <x:v>Nova contratação</x:v>
      </x:c>
      <x:c r="F68" s="86"/>
      <x:c r="G68" s="86" t="n">
        <x:v>1</x:v>
      </x:c>
      <x:c r="H68" s="86"/>
      <x:c r="I68" s="86" t="n">
        <x:v>1</x:v>
      </x:c>
      <x:c r="J68" s="97" t="n">
        <x:v>0</x:v>
      </x:c>
    </x:row>
    <x:row r="69">
      <x:c r="A69" s="85" t="n">
        <x:v>68</x:v>
      </x:c>
      <x:c r="B69" s="86" t="n">
        <x:v>52</x:v>
      </x:c>
      <x:c r="C69" s="95" t="n">
        <x:v>44943</x:v>
      </x:c>
      <x:c r="D69" s="86" t="str">
        <x:v>Admissão</x:v>
      </x:c>
      <x:c r="E69" s="86" t="str">
        <x:v>Nova contratação</x:v>
      </x:c>
      <x:c r="F69" s="86"/>
      <x:c r="G69" s="86" t="n">
        <x:v>10</x:v>
      </x:c>
      <x:c r="H69" s="86"/>
      <x:c r="I69" s="86" t="n">
        <x:v>10</x:v>
      </x:c>
      <x:c r="J69" s="97" t="n">
        <x:v>0</x:v>
      </x:c>
    </x:row>
    <x:row r="70">
      <x:c r="A70" s="85" t="n">
        <x:v>69</x:v>
      </x:c>
      <x:c r="B70" s="86" t="n">
        <x:v>52</x:v>
      </x:c>
      <x:c r="C70" s="95" t="n">
        <x:v>45833</x:v>
      </x:c>
      <x:c r="D70" s="86" t="str">
        <x:v>Promoção</x:v>
      </x:c>
      <x:c r="E70" s="86" t="str">
        <x:v>Evolução de carreira</x:v>
      </x:c>
      <x:c r="F70" s="86" t="n">
        <x:v>10</x:v>
      </x:c>
      <x:c r="G70" s="86" t="n">
        <x:v>10</x:v>
      </x:c>
      <x:c r="H70" s="86" t="n">
        <x:v>10</x:v>
      </x:c>
      <x:c r="I70" s="86" t="n">
        <x:v>10</x:v>
      </x:c>
      <x:c r="J70" s="97" t="n">
        <x:v>0.1095</x:v>
      </x:c>
    </x:row>
    <x:row r="71">
      <x:c r="A71" s="85" t="n">
        <x:v>70</x:v>
      </x:c>
      <x:c r="B71" s="86" t="n">
        <x:v>53</x:v>
      </x:c>
      <x:c r="C71" s="95" t="n">
        <x:v>45861</x:v>
      </x:c>
      <x:c r="D71" s="86" t="str">
        <x:v>Admissão</x:v>
      </x:c>
      <x:c r="E71" s="86" t="str">
        <x:v>Nova contratação</x:v>
      </x:c>
      <x:c r="F71" s="86"/>
      <x:c r="G71" s="86" t="n">
        <x:v>7</x:v>
      </x:c>
      <x:c r="H71" s="86"/>
      <x:c r="I71" s="86" t="n">
        <x:v>7</x:v>
      </x:c>
      <x:c r="J71" s="97" t="n">
        <x:v>0</x:v>
      </x:c>
    </x:row>
    <x:row r="72">
      <x:c r="A72" s="85" t="n">
        <x:v>71</x:v>
      </x:c>
      <x:c r="B72" s="86" t="n">
        <x:v>54</x:v>
      </x:c>
      <x:c r="C72" s="95" t="n">
        <x:v>45681</x:v>
      </x:c>
      <x:c r="D72" s="86" t="str">
        <x:v>Admissão</x:v>
      </x:c>
      <x:c r="E72" s="86" t="str">
        <x:v>Nova contratação</x:v>
      </x:c>
      <x:c r="F72" s="86"/>
      <x:c r="G72" s="86" t="n">
        <x:v>10</x:v>
      </x:c>
      <x:c r="H72" s="86"/>
      <x:c r="I72" s="86" t="n">
        <x:v>20</x:v>
      </x:c>
      <x:c r="J72" s="97" t="n">
        <x:v>0</x:v>
      </x:c>
    </x:row>
    <x:row r="73">
      <x:c r="A73" s="85" t="n">
        <x:v>72</x:v>
      </x:c>
      <x:c r="B73" s="86" t="n">
        <x:v>55</x:v>
      </x:c>
      <x:c r="C73" s="95" t="n">
        <x:v>45511</x:v>
      </x:c>
      <x:c r="D73" s="86" t="str">
        <x:v>Admissão</x:v>
      </x:c>
      <x:c r="E73" s="86" t="str">
        <x:v>Nova contratação</x:v>
      </x:c>
      <x:c r="F73" s="86"/>
      <x:c r="G73" s="86" t="n">
        <x:v>1</x:v>
      </x:c>
      <x:c r="H73" s="86"/>
      <x:c r="I73" s="86" t="n">
        <x:v>1</x:v>
      </x:c>
      <x:c r="J73" s="97" t="n">
        <x:v>0</x:v>
      </x:c>
    </x:row>
    <x:row r="74">
      <x:c r="A74" s="85" t="n">
        <x:v>73</x:v>
      </x:c>
      <x:c r="B74" s="86" t="n">
        <x:v>56</x:v>
      </x:c>
      <x:c r="C74" s="95" t="n">
        <x:v>45789</x:v>
      </x:c>
      <x:c r="D74" s="86" t="str">
        <x:v>Admissão</x:v>
      </x:c>
      <x:c r="E74" s="86" t="str">
        <x:v>Nova contratação</x:v>
      </x:c>
      <x:c r="F74" s="86"/>
      <x:c r="G74" s="86" t="n">
        <x:v>1</x:v>
      </x:c>
      <x:c r="H74" s="86"/>
      <x:c r="I74" s="86" t="n">
        <x:v>1</x:v>
      </x:c>
      <x:c r="J74" s="97" t="n">
        <x:v>0</x:v>
      </x:c>
    </x:row>
    <x:row r="75">
      <x:c r="A75" s="85" t="n">
        <x:v>74</x:v>
      </x:c>
      <x:c r="B75" s="86" t="n">
        <x:v>57</x:v>
      </x:c>
      <x:c r="C75" s="95" t="n">
        <x:v>45194</x:v>
      </x:c>
      <x:c r="D75" s="86" t="str">
        <x:v>Admissão</x:v>
      </x:c>
      <x:c r="E75" s="86" t="str">
        <x:v>Nova contratação</x:v>
      </x:c>
      <x:c r="F75" s="86"/>
      <x:c r="G75" s="86" t="n">
        <x:v>5</x:v>
      </x:c>
      <x:c r="H75" s="86"/>
      <x:c r="I75" s="86" t="n">
        <x:v>5</x:v>
      </x:c>
      <x:c r="J75" s="97" t="n">
        <x:v>0</x:v>
      </x:c>
    </x:row>
    <x:row r="76">
      <x:c r="A76" s="85" t="n">
        <x:v>75</x:v>
      </x:c>
      <x:c r="B76" s="86" t="n">
        <x:v>58</x:v>
      </x:c>
      <x:c r="C76" s="95" t="n">
        <x:v>45822</x:v>
      </x:c>
      <x:c r="D76" s="86" t="str">
        <x:v>Admissão</x:v>
      </x:c>
      <x:c r="E76" s="86" t="str">
        <x:v>Nova contratação</x:v>
      </x:c>
      <x:c r="F76" s="86"/>
      <x:c r="G76" s="86" t="n">
        <x:v>6</x:v>
      </x:c>
      <x:c r="H76" s="86"/>
      <x:c r="I76" s="86" t="n">
        <x:v>6</x:v>
      </x:c>
      <x:c r="J76" s="97" t="n">
        <x:v>0</x:v>
      </x:c>
    </x:row>
    <x:row r="77">
      <x:c r="A77" s="85" t="n">
        <x:v>76</x:v>
      </x:c>
      <x:c r="B77" s="86" t="n">
        <x:v>59</x:v>
      </x:c>
      <x:c r="C77" s="95" t="n">
        <x:v>45525</x:v>
      </x:c>
      <x:c r="D77" s="86" t="str">
        <x:v>Admissão</x:v>
      </x:c>
      <x:c r="E77" s="86" t="str">
        <x:v>Nova contratação</x:v>
      </x:c>
      <x:c r="F77" s="86"/>
      <x:c r="G77" s="86" t="n">
        <x:v>9</x:v>
      </x:c>
      <x:c r="H77" s="86"/>
      <x:c r="I77" s="86" t="n">
        <x:v>9</x:v>
      </x:c>
      <x:c r="J77" s="97" t="n">
        <x:v>0</x:v>
      </x:c>
    </x:row>
    <x:row r="78">
      <x:c r="A78" s="85" t="n">
        <x:v>77</x:v>
      </x:c>
      <x:c r="B78" s="86" t="n">
        <x:v>59</x:v>
      </x:c>
      <x:c r="C78" s="95" t="n">
        <x:v>45959</x:v>
      </x:c>
      <x:c r="D78" s="86" t="str">
        <x:v>Promoção</x:v>
      </x:c>
      <x:c r="E78" s="86" t="str">
        <x:v>Evolução de carreira</x:v>
      </x:c>
      <x:c r="F78" s="86" t="n">
        <x:v>9</x:v>
      </x:c>
      <x:c r="G78" s="86" t="n">
        <x:v>9</x:v>
      </x:c>
      <x:c r="H78" s="86" t="n">
        <x:v>9</x:v>
      </x:c>
      <x:c r="I78" s="86" t="n">
        <x:v>9</x:v>
      </x:c>
      <x:c r="J78" s="97" t="n">
        <x:v>0.1192</x:v>
      </x:c>
    </x:row>
    <x:row r="79">
      <x:c r="A79" s="85" t="n">
        <x:v>78</x:v>
      </x:c>
      <x:c r="B79" s="86" t="n">
        <x:v>60</x:v>
      </x:c>
      <x:c r="C79" s="95" t="n">
        <x:v>45091</x:v>
      </x:c>
      <x:c r="D79" s="86" t="str">
        <x:v>Admissão</x:v>
      </x:c>
      <x:c r="E79" s="86" t="str">
        <x:v>Nova contratação</x:v>
      </x:c>
      <x:c r="F79" s="86"/>
      <x:c r="G79" s="86" t="n">
        <x:v>5</x:v>
      </x:c>
      <x:c r="H79" s="86"/>
      <x:c r="I79" s="86" t="n">
        <x:v>5</x:v>
      </x:c>
      <x:c r="J79" s="97" t="n">
        <x:v>0</x:v>
      </x:c>
    </x:row>
    <x:row r="80">
      <x:c r="A80" s="85" t="n">
        <x:v>79</x:v>
      </x:c>
      <x:c r="B80" s="86" t="n">
        <x:v>61</x:v>
      </x:c>
      <x:c r="C80" s="95" t="n">
        <x:v>45490</x:v>
      </x:c>
      <x:c r="D80" s="86" t="str">
        <x:v>Admissão</x:v>
      </x:c>
      <x:c r="E80" s="86" t="str">
        <x:v>Nova contratação</x:v>
      </x:c>
      <x:c r="F80" s="86"/>
      <x:c r="G80" s="86" t="n">
        <x:v>4</x:v>
      </x:c>
      <x:c r="H80" s="86"/>
      <x:c r="I80" s="86" t="n">
        <x:v>14</x:v>
      </x:c>
      <x:c r="J80" s="97" t="n">
        <x:v>0</x:v>
      </x:c>
    </x:row>
    <x:row r="81">
      <x:c r="A81" s="85" t="n">
        <x:v>80</x:v>
      </x:c>
      <x:c r="B81" s="86" t="n">
        <x:v>62</x:v>
      </x:c>
      <x:c r="C81" s="95" t="n">
        <x:v>45221</x:v>
      </x:c>
      <x:c r="D81" s="86" t="str">
        <x:v>Admissão</x:v>
      </x:c>
      <x:c r="E81" s="86" t="str">
        <x:v>Nova contratação</x:v>
      </x:c>
      <x:c r="F81" s="86"/>
      <x:c r="G81" s="86" t="n">
        <x:v>2</x:v>
      </x:c>
      <x:c r="H81" s="86"/>
      <x:c r="I81" s="86" t="n">
        <x:v>2</x:v>
      </x:c>
      <x:c r="J81" s="97" t="n">
        <x:v>0</x:v>
      </x:c>
    </x:row>
    <x:row r="82">
      <x:c r="A82" s="85" t="n">
        <x:v>81</x:v>
      </x:c>
      <x:c r="B82" s="86" t="n">
        <x:v>62</x:v>
      </x:c>
      <x:c r="C82" s="95" t="n">
        <x:v>45983</x:v>
      </x:c>
      <x:c r="D82" s="86" t="str">
        <x:v>Desligamento</x:v>
      </x:c>
      <x:c r="E82" s="86" t="str">
        <x:v>Pedido do colaborador</x:v>
      </x:c>
      <x:c r="F82" s="86" t="n">
        <x:v>2</x:v>
      </x:c>
      <x:c r="G82" s="86"/>
      <x:c r="H82" s="86" t="n">
        <x:v>2</x:v>
      </x:c>
      <x:c r="I82" s="86"/>
      <x:c r="J82" s="97" t="n">
        <x:v>0</x:v>
      </x:c>
    </x:row>
    <x:row r="83">
      <x:c r="A83" s="85" t="n">
        <x:v>82</x:v>
      </x:c>
      <x:c r="B83" s="86" t="n">
        <x:v>63</x:v>
      </x:c>
      <x:c r="C83" s="95" t="n">
        <x:v>45618</x:v>
      </x:c>
      <x:c r="D83" s="86" t="str">
        <x:v>Admissão</x:v>
      </x:c>
      <x:c r="E83" s="86" t="str">
        <x:v>Nova contratação</x:v>
      </x:c>
      <x:c r="F83" s="86"/>
      <x:c r="G83" s="86" t="n">
        <x:v>7</x:v>
      </x:c>
      <x:c r="H83" s="86"/>
      <x:c r="I83" s="86" t="n">
        <x:v>7</x:v>
      </x:c>
      <x:c r="J83" s="97" t="n">
        <x:v>0</x:v>
      </x:c>
    </x:row>
    <x:row r="84">
      <x:c r="A84" s="85" t="n">
        <x:v>83</x:v>
      </x:c>
      <x:c r="B84" s="86" t="n">
        <x:v>63</x:v>
      </x:c>
      <x:c r="C84" s="95" t="n">
        <x:v>45858</x:v>
      </x:c>
      <x:c r="D84" s="86" t="str">
        <x:v>Promoção</x:v>
      </x:c>
      <x:c r="E84" s="86" t="str">
        <x:v>Evolução de carreira</x:v>
      </x:c>
      <x:c r="F84" s="86" t="n">
        <x:v>7</x:v>
      </x:c>
      <x:c r="G84" s="86" t="n">
        <x:v>7</x:v>
      </x:c>
      <x:c r="H84" s="86" t="n">
        <x:v>7</x:v>
      </x:c>
      <x:c r="I84" s="86" t="n">
        <x:v>7</x:v>
      </x:c>
      <x:c r="J84" s="97" t="n">
        <x:v>0.1708</x:v>
      </x:c>
    </x:row>
    <x:row r="85">
      <x:c r="A85" s="85" t="n">
        <x:v>84</x:v>
      </x:c>
      <x:c r="B85" s="86" t="n">
        <x:v>64</x:v>
      </x:c>
      <x:c r="C85" s="95" t="n">
        <x:v>45264</x:v>
      </x:c>
      <x:c r="D85" s="86" t="str">
        <x:v>Admissão</x:v>
      </x:c>
      <x:c r="E85" s="86" t="str">
        <x:v>Nova contratação</x:v>
      </x:c>
      <x:c r="F85" s="86"/>
      <x:c r="G85" s="86" t="n">
        <x:v>8</x:v>
      </x:c>
      <x:c r="H85" s="86"/>
      <x:c r="I85" s="86" t="n">
        <x:v>18</x:v>
      </x:c>
      <x:c r="J85" s="97" t="n">
        <x:v>0</x:v>
      </x:c>
    </x:row>
    <x:row r="86">
      <x:c r="A86" s="85" t="n">
        <x:v>85</x:v>
      </x:c>
      <x:c r="B86" s="86" t="n">
        <x:v>64</x:v>
      </x:c>
      <x:c r="C86" s="95" t="n">
        <x:v>45959</x:v>
      </x:c>
      <x:c r="D86" s="86" t="str">
        <x:v>Promoção</x:v>
      </x:c>
      <x:c r="E86" s="86" t="str">
        <x:v>Evolução de carreira</x:v>
      </x:c>
      <x:c r="F86" s="86" t="n">
        <x:v>8</x:v>
      </x:c>
      <x:c r="G86" s="86" t="n">
        <x:v>8</x:v>
      </x:c>
      <x:c r="H86" s="86" t="n">
        <x:v>18</x:v>
      </x:c>
      <x:c r="I86" s="86" t="n">
        <x:v>18</x:v>
      </x:c>
      <x:c r="J86" s="97" t="n">
        <x:v>0.1686</x:v>
      </x:c>
    </x:row>
    <x:row r="87">
      <x:c r="A87" s="85" t="n">
        <x:v>86</x:v>
      </x:c>
      <x:c r="B87" s="86" t="n">
        <x:v>65</x:v>
      </x:c>
      <x:c r="C87" s="95" t="n">
        <x:v>45813</x:v>
      </x:c>
      <x:c r="D87" s="86" t="str">
        <x:v>Admissão</x:v>
      </x:c>
      <x:c r="E87" s="86" t="str">
        <x:v>Nova contratação</x:v>
      </x:c>
      <x:c r="F87" s="86"/>
      <x:c r="G87" s="86" t="n">
        <x:v>6</x:v>
      </x:c>
      <x:c r="H87" s="86"/>
      <x:c r="I87" s="86" t="n">
        <x:v>16</x:v>
      </x:c>
      <x:c r="J87" s="97" t="n">
        <x:v>0</x:v>
      </x:c>
    </x:row>
    <x:row r="88">
      <x:c r="A88" s="85" t="n">
        <x:v>87</x:v>
      </x:c>
      <x:c r="B88" s="86" t="n">
        <x:v>66</x:v>
      </x:c>
      <x:c r="C88" s="95" t="n">
        <x:v>45063</x:v>
      </x:c>
      <x:c r="D88" s="86" t="str">
        <x:v>Admissão</x:v>
      </x:c>
      <x:c r="E88" s="86" t="str">
        <x:v>Nova contratação</x:v>
      </x:c>
      <x:c r="F88" s="86"/>
      <x:c r="G88" s="86" t="n">
        <x:v>1</x:v>
      </x:c>
      <x:c r="H88" s="86"/>
      <x:c r="I88" s="86" t="n">
        <x:v>1</x:v>
      </x:c>
      <x:c r="J88" s="97" t="n">
        <x:v>0</x:v>
      </x:c>
    </x:row>
    <x:row r="89">
      <x:c r="A89" s="85" t="n">
        <x:v>88</x:v>
      </x:c>
      <x:c r="B89" s="86" t="n">
        <x:v>66</x:v>
      </x:c>
      <x:c r="C89" s="95" t="n">
        <x:v>45965</x:v>
      </x:c>
      <x:c r="D89" s="86" t="str">
        <x:v>Promoção</x:v>
      </x:c>
      <x:c r="E89" s="86" t="str">
        <x:v>Evolução de carreira</x:v>
      </x:c>
      <x:c r="F89" s="86" t="n">
        <x:v>1</x:v>
      </x:c>
      <x:c r="G89" s="86" t="n">
        <x:v>1</x:v>
      </x:c>
      <x:c r="H89" s="86" t="n">
        <x:v>1</x:v>
      </x:c>
      <x:c r="I89" s="86" t="n">
        <x:v>1</x:v>
      </x:c>
      <x:c r="J89" s="97" t="n">
        <x:v>0.128</x:v>
      </x:c>
    </x:row>
    <x:row r="90">
      <x:c r="A90" s="85" t="n">
        <x:v>89</x:v>
      </x:c>
      <x:c r="B90" s="86" t="n">
        <x:v>67</x:v>
      </x:c>
      <x:c r="C90" s="95" t="n">
        <x:v>45538</x:v>
      </x:c>
      <x:c r="D90" s="86" t="str">
        <x:v>Admissão</x:v>
      </x:c>
      <x:c r="E90" s="86" t="str">
        <x:v>Nova contratação</x:v>
      </x:c>
      <x:c r="F90" s="86"/>
      <x:c r="G90" s="86" t="n">
        <x:v>3</x:v>
      </x:c>
      <x:c r="H90" s="86"/>
      <x:c r="I90" s="86" t="n">
        <x:v>3</x:v>
      </x:c>
      <x:c r="J90" s="97" t="n">
        <x:v>0</x:v>
      </x:c>
    </x:row>
    <x:row r="91">
      <x:c r="A91" s="85" t="n">
        <x:v>90</x:v>
      </x:c>
      <x:c r="B91" s="86" t="n">
        <x:v>67</x:v>
      </x:c>
      <x:c r="C91" s="95" t="n">
        <x:v>45756</x:v>
      </x:c>
      <x:c r="D91" s="86" t="str">
        <x:v>Desligamento</x:v>
      </x:c>
      <x:c r="E91" s="86" t="str">
        <x:v>Reestruturação</x:v>
      </x:c>
      <x:c r="F91" s="86" t="n">
        <x:v>3</x:v>
      </x:c>
      <x:c r="G91" s="86"/>
      <x:c r="H91" s="86" t="n">
        <x:v>3</x:v>
      </x:c>
      <x:c r="I91" s="86"/>
      <x:c r="J91" s="97" t="n">
        <x:v>0</x:v>
      </x:c>
    </x:row>
    <x:row r="92">
      <x:c r="A92" s="85" t="n">
        <x:v>91</x:v>
      </x:c>
      <x:c r="B92" s="86" t="n">
        <x:v>68</x:v>
      </x:c>
      <x:c r="C92" s="95" t="n">
        <x:v>45718</x:v>
      </x:c>
      <x:c r="D92" s="86" t="str">
        <x:v>Admissão</x:v>
      </x:c>
      <x:c r="E92" s="86" t="str">
        <x:v>Nova contratação</x:v>
      </x:c>
      <x:c r="F92" s="86"/>
      <x:c r="G92" s="86" t="n">
        <x:v>4</x:v>
      </x:c>
      <x:c r="H92" s="86"/>
      <x:c r="I92" s="86" t="n">
        <x:v>4</x:v>
      </x:c>
      <x:c r="J92" s="97" t="n">
        <x:v>0</x:v>
      </x:c>
    </x:row>
    <x:row r="93">
      <x:c r="A93" s="85" t="n">
        <x:v>92</x:v>
      </x:c>
      <x:c r="B93" s="86" t="n">
        <x:v>68</x:v>
      </x:c>
      <x:c r="C93" s="95" t="n">
        <x:v>45871</x:v>
      </x:c>
      <x:c r="D93" s="86" t="str">
        <x:v>Desligamento</x:v>
      </x:c>
      <x:c r="E93" s="86" t="str">
        <x:v>Pedido do colaborador</x:v>
      </x:c>
      <x:c r="F93" s="86" t="n">
        <x:v>4</x:v>
      </x:c>
      <x:c r="G93" s="86"/>
      <x:c r="H93" s="86" t="n">
        <x:v>4</x:v>
      </x:c>
      <x:c r="I93" s="86"/>
      <x:c r="J93" s="97" t="n">
        <x:v>0</x:v>
      </x:c>
    </x:row>
    <x:row r="94">
      <x:c r="A94" s="85" t="n">
        <x:v>93</x:v>
      </x:c>
      <x:c r="B94" s="86" t="n">
        <x:v>69</x:v>
      </x:c>
      <x:c r="C94" s="95" t="n">
        <x:v>45225</x:v>
      </x:c>
      <x:c r="D94" s="86" t="str">
        <x:v>Admissão</x:v>
      </x:c>
      <x:c r="E94" s="86" t="str">
        <x:v>Nova contratação</x:v>
      </x:c>
      <x:c r="F94" s="86"/>
      <x:c r="G94" s="86" t="n">
        <x:v>10</x:v>
      </x:c>
      <x:c r="H94" s="86"/>
      <x:c r="I94" s="86" t="n">
        <x:v>10</x:v>
      </x:c>
      <x:c r="J94" s="97" t="n">
        <x:v>0</x:v>
      </x:c>
    </x:row>
    <x:row r="95">
      <x:c r="A95" s="85" t="n">
        <x:v>94</x:v>
      </x:c>
      <x:c r="B95" s="86" t="n">
        <x:v>70</x:v>
      </x:c>
      <x:c r="C95" s="95" t="n">
        <x:v>45351</x:v>
      </x:c>
      <x:c r="D95" s="86" t="str">
        <x:v>Admissão</x:v>
      </x:c>
      <x:c r="E95" s="86" t="str">
        <x:v>Nova contratação</x:v>
      </x:c>
      <x:c r="F95" s="86"/>
      <x:c r="G95" s="86" t="n">
        <x:v>3</x:v>
      </x:c>
      <x:c r="H95" s="86"/>
      <x:c r="I95" s="86" t="n">
        <x:v>3</x:v>
      </x:c>
      <x:c r="J95" s="97" t="n">
        <x:v>0</x:v>
      </x:c>
    </x:row>
    <x:row r="96">
      <x:c r="A96" s="85" t="n">
        <x:v>95</x:v>
      </x:c>
      <x:c r="B96" s="86" t="n">
        <x:v>71</x:v>
      </x:c>
      <x:c r="C96" s="95" t="n">
        <x:v>45691</x:v>
      </x:c>
      <x:c r="D96" s="86" t="str">
        <x:v>Admissão</x:v>
      </x:c>
      <x:c r="E96" s="86" t="str">
        <x:v>Nova contratação</x:v>
      </x:c>
      <x:c r="F96" s="86"/>
      <x:c r="G96" s="86" t="n">
        <x:v>8</x:v>
      </x:c>
      <x:c r="H96" s="86"/>
      <x:c r="I96" s="86" t="n">
        <x:v>8</x:v>
      </x:c>
      <x:c r="J96" s="97" t="n">
        <x:v>0</x:v>
      </x:c>
    </x:row>
    <x:row r="97">
      <x:c r="A97" s="85" t="n">
        <x:v>96</x:v>
      </x:c>
      <x:c r="B97" s="86" t="n">
        <x:v>71</x:v>
      </x:c>
      <x:c r="C97" s="95" t="n">
        <x:v>45988</x:v>
      </x:c>
      <x:c r="D97" s="86" t="str">
        <x:v>Promoção</x:v>
      </x:c>
      <x:c r="E97" s="86" t="str">
        <x:v>Evolução de carreira</x:v>
      </x:c>
      <x:c r="F97" s="86" t="n">
        <x:v>8</x:v>
      </x:c>
      <x:c r="G97" s="86" t="n">
        <x:v>8</x:v>
      </x:c>
      <x:c r="H97" s="86" t="n">
        <x:v>8</x:v>
      </x:c>
      <x:c r="I97" s="86" t="n">
        <x:v>8</x:v>
      </x:c>
      <x:c r="J97" s="97" t="n">
        <x:v>0.1795</x:v>
      </x:c>
    </x:row>
    <x:row r="98">
      <x:c r="A98" s="85" t="n">
        <x:v>97</x:v>
      </x:c>
      <x:c r="B98" s="86" t="n">
        <x:v>72</x:v>
      </x:c>
      <x:c r="C98" s="95" t="n">
        <x:v>45602</x:v>
      </x:c>
      <x:c r="D98" s="86" t="str">
        <x:v>Admissão</x:v>
      </x:c>
      <x:c r="E98" s="86" t="str">
        <x:v>Nova contratação</x:v>
      </x:c>
      <x:c r="F98" s="86"/>
      <x:c r="G98" s="86" t="n">
        <x:v>1</x:v>
      </x:c>
      <x:c r="H98" s="86"/>
      <x:c r="I98" s="86" t="n">
        <x:v>1</x:v>
      </x:c>
      <x:c r="J98" s="97" t="n">
        <x:v>0</x:v>
      </x:c>
    </x:row>
    <x:row r="99">
      <x:c r="A99" s="85" t="n">
        <x:v>98</x:v>
      </x:c>
      <x:c r="B99" s="86" t="n">
        <x:v>72</x:v>
      </x:c>
      <x:c r="C99" s="95" t="n">
        <x:v>46004</x:v>
      </x:c>
      <x:c r="D99" s="86" t="str">
        <x:v>Promoção</x:v>
      </x:c>
      <x:c r="E99" s="86" t="str">
        <x:v>Evolução de carreira</x:v>
      </x:c>
      <x:c r="F99" s="86" t="n">
        <x:v>1</x:v>
      </x:c>
      <x:c r="G99" s="86" t="n">
        <x:v>1</x:v>
      </x:c>
      <x:c r="H99" s="86" t="n">
        <x:v>1</x:v>
      </x:c>
      <x:c r="I99" s="86" t="n">
        <x:v>1</x:v>
      </x:c>
      <x:c r="J99" s="97" t="n">
        <x:v>0.1222</x:v>
      </x:c>
    </x:row>
    <x:row r="100">
      <x:c r="A100" s="85" t="n">
        <x:v>99</x:v>
      </x:c>
      <x:c r="B100" s="86" t="n">
        <x:v>73</x:v>
      </x:c>
      <x:c r="C100" s="95" t="n">
        <x:v>45905</x:v>
      </x:c>
      <x:c r="D100" s="86" t="str">
        <x:v>Admissão</x:v>
      </x:c>
      <x:c r="E100" s="86" t="str">
        <x:v>Nova contratação</x:v>
      </x:c>
      <x:c r="F100" s="86"/>
      <x:c r="G100" s="86" t="n">
        <x:v>6</x:v>
      </x:c>
      <x:c r="H100" s="86"/>
      <x:c r="I100" s="86" t="n">
        <x:v>6</x:v>
      </x:c>
      <x:c r="J100" s="97" t="n">
        <x:v>0</x:v>
      </x:c>
    </x:row>
    <x:row r="101">
      <x:c r="A101" s="85" t="n">
        <x:v>100</x:v>
      </x:c>
      <x:c r="B101" s="86" t="n">
        <x:v>74</x:v>
      </x:c>
      <x:c r="C101" s="95" t="n">
        <x:v>45797</x:v>
      </x:c>
      <x:c r="D101" s="86" t="str">
        <x:v>Admissão</x:v>
      </x:c>
      <x:c r="E101" s="86" t="str">
        <x:v>Nova contratação</x:v>
      </x:c>
      <x:c r="F101" s="86"/>
      <x:c r="G101" s="86" t="n">
        <x:v>1</x:v>
      </x:c>
      <x:c r="H101" s="86"/>
      <x:c r="I101" s="86" t="n">
        <x:v>1</x:v>
      </x:c>
      <x:c r="J101" s="97" t="n">
        <x:v>0</x:v>
      </x:c>
    </x:row>
    <x:row r="102">
      <x:c r="A102" s="85" t="n">
        <x:v>101</x:v>
      </x:c>
      <x:c r="B102" s="86" t="n">
        <x:v>74</x:v>
      </x:c>
      <x:c r="C102" s="95" t="n">
        <x:v>45966</x:v>
      </x:c>
      <x:c r="D102" s="86" t="str">
        <x:v>Desligamento</x:v>
      </x:c>
      <x:c r="E102" s="86" t="str">
        <x:v>Pedido do colaborador</x:v>
      </x:c>
      <x:c r="F102" s="86" t="n">
        <x:v>1</x:v>
      </x:c>
      <x:c r="G102" s="86"/>
      <x:c r="H102" s="86" t="n">
        <x:v>1</x:v>
      </x:c>
      <x:c r="I102" s="86"/>
      <x:c r="J102" s="97" t="n">
        <x:v>0</x:v>
      </x:c>
    </x:row>
    <x:row r="103">
      <x:c r="A103" s="85" t="n">
        <x:v>102</x:v>
      </x:c>
      <x:c r="B103" s="86" t="n">
        <x:v>75</x:v>
      </x:c>
      <x:c r="C103" s="95" t="n">
        <x:v>45409</x:v>
      </x:c>
      <x:c r="D103" s="86" t="str">
        <x:v>Admissão</x:v>
      </x:c>
      <x:c r="E103" s="86" t="str">
        <x:v>Nova contratação</x:v>
      </x:c>
      <x:c r="F103" s="86"/>
      <x:c r="G103" s="86" t="n">
        <x:v>10</x:v>
      </x:c>
      <x:c r="H103" s="86"/>
      <x:c r="I103" s="86" t="n">
        <x:v>10</x:v>
      </x:c>
      <x:c r="J103" s="97" t="n">
        <x:v>0</x:v>
      </x:c>
    </x:row>
    <x:row r="104">
      <x:c r="A104" s="85" t="n">
        <x:v>103</x:v>
      </x:c>
      <x:c r="B104" s="86" t="n">
        <x:v>76</x:v>
      </x:c>
      <x:c r="C104" s="95" t="n">
        <x:v>45034</x:v>
      </x:c>
      <x:c r="D104" s="86" t="str">
        <x:v>Admissão</x:v>
      </x:c>
      <x:c r="E104" s="86" t="str">
        <x:v>Nova contratação</x:v>
      </x:c>
      <x:c r="F104" s="86"/>
      <x:c r="G104" s="86" t="n">
        <x:v>7</x:v>
      </x:c>
      <x:c r="H104" s="86"/>
      <x:c r="I104" s="86" t="n">
        <x:v>7</x:v>
      </x:c>
      <x:c r="J104" s="97" t="n">
        <x:v>0</x:v>
      </x:c>
    </x:row>
    <x:row r="105">
      <x:c r="A105" s="85" t="n">
        <x:v>104</x:v>
      </x:c>
      <x:c r="B105" s="86" t="n">
        <x:v>77</x:v>
      </x:c>
      <x:c r="C105" s="95" t="n">
        <x:v>45198</x:v>
      </x:c>
      <x:c r="D105" s="86" t="str">
        <x:v>Admissão</x:v>
      </x:c>
      <x:c r="E105" s="86" t="str">
        <x:v>Nova contratação</x:v>
      </x:c>
      <x:c r="F105" s="86"/>
      <x:c r="G105" s="86" t="n">
        <x:v>1</x:v>
      </x:c>
      <x:c r="H105" s="86"/>
      <x:c r="I105" s="86" t="n">
        <x:v>11</x:v>
      </x:c>
      <x:c r="J105" s="97" t="n">
        <x:v>0</x:v>
      </x:c>
    </x:row>
    <x:row r="106">
      <x:c r="A106" s="85" t="n">
        <x:v>105</x:v>
      </x:c>
      <x:c r="B106" s="86" t="n">
        <x:v>78</x:v>
      </x:c>
      <x:c r="C106" s="95" t="n">
        <x:v>45958</x:v>
      </x:c>
      <x:c r="D106" s="86" t="str">
        <x:v>Admissão</x:v>
      </x:c>
      <x:c r="E106" s="86" t="str">
        <x:v>Nova contratação</x:v>
      </x:c>
      <x:c r="F106" s="86"/>
      <x:c r="G106" s="86" t="n">
        <x:v>1</x:v>
      </x:c>
      <x:c r="H106" s="86"/>
      <x:c r="I106" s="86" t="n">
        <x:v>11</x:v>
      </x:c>
      <x:c r="J106" s="97" t="n">
        <x:v>0</x:v>
      </x:c>
    </x:row>
    <x:row r="107">
      <x:c r="A107" s="85" t="n">
        <x:v>106</x:v>
      </x:c>
      <x:c r="B107" s="86" t="n">
        <x:v>79</x:v>
      </x:c>
      <x:c r="C107" s="95" t="n">
        <x:v>45390</x:v>
      </x:c>
      <x:c r="D107" s="86" t="str">
        <x:v>Admissão</x:v>
      </x:c>
      <x:c r="E107" s="86" t="str">
        <x:v>Nova contratação</x:v>
      </x:c>
      <x:c r="F107" s="86"/>
      <x:c r="G107" s="86" t="n">
        <x:v>4</x:v>
      </x:c>
      <x:c r="H107" s="86"/>
      <x:c r="I107" s="86" t="n">
        <x:v>4</x:v>
      </x:c>
      <x:c r="J107" s="97" t="n">
        <x:v>0</x:v>
      </x:c>
    </x:row>
    <x:row r="108">
      <x:c r="A108" s="85" t="n">
        <x:v>107</x:v>
      </x:c>
      <x:c r="B108" s="86" t="n">
        <x:v>80</x:v>
      </x:c>
      <x:c r="C108" s="95" t="n">
        <x:v>45687</x:v>
      </x:c>
      <x:c r="D108" s="86" t="str">
        <x:v>Admissão</x:v>
      </x:c>
      <x:c r="E108" s="86" t="str">
        <x:v>Nova contratação</x:v>
      </x:c>
      <x:c r="F108" s="86"/>
      <x:c r="G108" s="86" t="n">
        <x:v>9</x:v>
      </x:c>
      <x:c r="H108" s="86"/>
      <x:c r="I108" s="86" t="n">
        <x:v>9</x:v>
      </x:c>
      <x:c r="J108" s="97" t="n">
        <x:v>0</x:v>
      </x:c>
    </x:row>
    <x:row r="109">
      <x:c r="A109" s="85" t="n">
        <x:v>108</x:v>
      </x:c>
      <x:c r="B109" s="86" t="n">
        <x:v>80</x:v>
      </x:c>
      <x:c r="C109" s="95" t="n">
        <x:v>45960</x:v>
      </x:c>
      <x:c r="D109" s="86" t="str">
        <x:v>Desligamento</x:v>
      </x:c>
      <x:c r="E109" s="86" t="str">
        <x:v>Pedido do colaborador</x:v>
      </x:c>
      <x:c r="F109" s="86" t="n">
        <x:v>9</x:v>
      </x:c>
      <x:c r="G109" s="86"/>
      <x:c r="H109" s="86" t="n">
        <x:v>9</x:v>
      </x:c>
      <x:c r="I109" s="86"/>
      <x:c r="J109" s="97" t="n">
        <x:v>0</x:v>
      </x:c>
    </x:row>
    <x:row r="110">
      <x:c r="A110" s="85" t="n">
        <x:v>109</x:v>
      </x:c>
      <x:c r="B110" s="86" t="n">
        <x:v>81</x:v>
      </x:c>
      <x:c r="C110" s="95" t="n">
        <x:v>45234</x:v>
      </x:c>
      <x:c r="D110" s="86" t="str">
        <x:v>Admissão</x:v>
      </x:c>
      <x:c r="E110" s="86" t="str">
        <x:v>Nova contratação</x:v>
      </x:c>
      <x:c r="F110" s="86"/>
      <x:c r="G110" s="86" t="n">
        <x:v>3</x:v>
      </x:c>
      <x:c r="H110" s="86"/>
      <x:c r="I110" s="86" t="n">
        <x:v>3</x:v>
      </x:c>
      <x:c r="J110" s="97" t="n">
        <x:v>0</x:v>
      </x:c>
    </x:row>
    <x:row r="111">
      <x:c r="A111" s="85" t="n">
        <x:v>110</x:v>
      </x:c>
      <x:c r="B111" s="86" t="n">
        <x:v>81</x:v>
      </x:c>
      <x:c r="C111" s="95" t="n">
        <x:v>45975</x:v>
      </x:c>
      <x:c r="D111" s="86" t="str">
        <x:v>Desligamento</x:v>
      </x:c>
      <x:c r="E111" s="86" t="str">
        <x:v>Pedido do colaborador</x:v>
      </x:c>
      <x:c r="F111" s="86" t="n">
        <x:v>3</x:v>
      </x:c>
      <x:c r="G111" s="86"/>
      <x:c r="H111" s="86" t="n">
        <x:v>3</x:v>
      </x:c>
      <x:c r="I111" s="86"/>
      <x:c r="J111" s="97" t="n">
        <x:v>0</x:v>
      </x:c>
    </x:row>
    <x:row r="112">
      <x:c r="A112" s="85" t="n">
        <x:v>111</x:v>
      </x:c>
      <x:c r="B112" s="86" t="n">
        <x:v>82</x:v>
      </x:c>
      <x:c r="C112" s="95" t="n">
        <x:v>45169</x:v>
      </x:c>
      <x:c r="D112" s="86" t="str">
        <x:v>Admissão</x:v>
      </x:c>
      <x:c r="E112" s="86" t="str">
        <x:v>Nova contratação</x:v>
      </x:c>
      <x:c r="F112" s="86"/>
      <x:c r="G112" s="86" t="n">
        <x:v>4</x:v>
      </x:c>
      <x:c r="H112" s="86"/>
      <x:c r="I112" s="86" t="n">
        <x:v>14</x:v>
      </x:c>
      <x:c r="J112" s="97" t="n">
        <x:v>0</x:v>
      </x:c>
    </x:row>
    <x:row r="113">
      <x:c r="A113" s="85" t="n">
        <x:v>112</x:v>
      </x:c>
      <x:c r="B113" s="86" t="n">
        <x:v>82</x:v>
      </x:c>
      <x:c r="C113" s="95" t="n">
        <x:v>45415</x:v>
      </x:c>
      <x:c r="D113" s="86" t="str">
        <x:v>Promoção</x:v>
      </x:c>
      <x:c r="E113" s="86" t="str">
        <x:v>Evolução de carreira</x:v>
      </x:c>
      <x:c r="F113" s="86" t="n">
        <x:v>4</x:v>
      </x:c>
      <x:c r="G113" s="86" t="n">
        <x:v>4</x:v>
      </x:c>
      <x:c r="H113" s="86" t="n">
        <x:v>14</x:v>
      </x:c>
      <x:c r="I113" s="86" t="n">
        <x:v>14</x:v>
      </x:c>
      <x:c r="J113" s="97" t="n">
        <x:v>0.1453</x:v>
      </x:c>
    </x:row>
    <x:row r="114">
      <x:c r="A114" s="85" t="n">
        <x:v>113</x:v>
      </x:c>
      <x:c r="B114" s="86" t="n">
        <x:v>83</x:v>
      </x:c>
      <x:c r="C114" s="95" t="n">
        <x:v>45768</x:v>
      </x:c>
      <x:c r="D114" s="86" t="str">
        <x:v>Admissão</x:v>
      </x:c>
      <x:c r="E114" s="86" t="str">
        <x:v>Nova contratação</x:v>
      </x:c>
      <x:c r="F114" s="86"/>
      <x:c r="G114" s="86" t="n">
        <x:v>1</x:v>
      </x:c>
      <x:c r="H114" s="86"/>
      <x:c r="I114" s="86" t="n">
        <x:v>1</x:v>
      </x:c>
      <x:c r="J114" s="97" t="n">
        <x:v>0</x:v>
      </x:c>
    </x:row>
    <x:row r="115">
      <x:c r="A115" s="85" t="n">
        <x:v>114</x:v>
      </x:c>
      <x:c r="B115" s="86" t="n">
        <x:v>83</x:v>
      </x:c>
      <x:c r="C115" s="95" t="n">
        <x:v>45923</x:v>
      </x:c>
      <x:c r="D115" s="86" t="str">
        <x:v>Desligamento</x:v>
      </x:c>
      <x:c r="E115" s="86" t="str">
        <x:v>Desempenho</x:v>
      </x:c>
      <x:c r="F115" s="86" t="n">
        <x:v>1</x:v>
      </x:c>
      <x:c r="G115" s="86"/>
      <x:c r="H115" s="86" t="n">
        <x:v>1</x:v>
      </x:c>
      <x:c r="I115" s="86"/>
      <x:c r="J115" s="97" t="n">
        <x:v>0</x:v>
      </x:c>
    </x:row>
    <x:row r="116">
      <x:c r="A116" s="85" t="n">
        <x:v>115</x:v>
      </x:c>
      <x:c r="B116" s="86" t="n">
        <x:v>84</x:v>
      </x:c>
      <x:c r="C116" s="95" t="n">
        <x:v>45924</x:v>
      </x:c>
      <x:c r="D116" s="86" t="str">
        <x:v>Admissão</x:v>
      </x:c>
      <x:c r="E116" s="86" t="str">
        <x:v>Nova contratação</x:v>
      </x:c>
      <x:c r="F116" s="86"/>
      <x:c r="G116" s="86" t="n">
        <x:v>4</x:v>
      </x:c>
      <x:c r="H116" s="86"/>
      <x:c r="I116" s="86" t="n">
        <x:v>4</x:v>
      </x:c>
      <x:c r="J116" s="97" t="n">
        <x:v>0</x:v>
      </x:c>
    </x:row>
    <x:row r="117">
      <x:c r="A117" s="85" t="n">
        <x:v>116</x:v>
      </x:c>
      <x:c r="B117" s="86" t="n">
        <x:v>85</x:v>
      </x:c>
      <x:c r="C117" s="95" t="n">
        <x:v>45324</x:v>
      </x:c>
      <x:c r="D117" s="86" t="str">
        <x:v>Admissão</x:v>
      </x:c>
      <x:c r="E117" s="86" t="str">
        <x:v>Nova contratação</x:v>
      </x:c>
      <x:c r="F117" s="86"/>
      <x:c r="G117" s="86" t="n">
        <x:v>1</x:v>
      </x:c>
      <x:c r="H117" s="86"/>
      <x:c r="I117" s="86" t="n">
        <x:v>11</x:v>
      </x:c>
      <x:c r="J117" s="97" t="n">
        <x:v>0</x:v>
      </x:c>
    </x:row>
    <x:row r="118">
      <x:c r="A118" s="85" t="n">
        <x:v>117</x:v>
      </x:c>
      <x:c r="B118" s="86" t="n">
        <x:v>86</x:v>
      </x:c>
      <x:c r="C118" s="95" t="n">
        <x:v>45777</x:v>
      </x:c>
      <x:c r="D118" s="86" t="str">
        <x:v>Admissão</x:v>
      </x:c>
      <x:c r="E118" s="86" t="str">
        <x:v>Nova contratação</x:v>
      </x:c>
      <x:c r="F118" s="86"/>
      <x:c r="G118" s="86" t="n">
        <x:v>8</x:v>
      </x:c>
      <x:c r="H118" s="86"/>
      <x:c r="I118" s="86" t="n">
        <x:v>18</x:v>
      </x:c>
      <x:c r="J118" s="97" t="n">
        <x:v>0</x:v>
      </x:c>
    </x:row>
    <x:row r="119">
      <x:c r="A119" s="85" t="n">
        <x:v>118</x:v>
      </x:c>
      <x:c r="B119" s="86" t="n">
        <x:v>87</x:v>
      </x:c>
      <x:c r="C119" s="95" t="n">
        <x:v>45902</x:v>
      </x:c>
      <x:c r="D119" s="86" t="str">
        <x:v>Admissão</x:v>
      </x:c>
      <x:c r="E119" s="86" t="str">
        <x:v>Nova contratação</x:v>
      </x:c>
      <x:c r="F119" s="86"/>
      <x:c r="G119" s="86" t="n">
        <x:v>2</x:v>
      </x:c>
      <x:c r="H119" s="86"/>
      <x:c r="I119" s="86" t="n">
        <x:v>2</x:v>
      </x:c>
      <x:c r="J119" s="97" t="n">
        <x:v>0</x:v>
      </x:c>
    </x:row>
    <x:row r="120">
      <x:c r="A120" s="85" t="n">
        <x:v>119</x:v>
      </x:c>
      <x:c r="B120" s="86" t="n">
        <x:v>88</x:v>
      </x:c>
      <x:c r="C120" s="95" t="n">
        <x:v>45547</x:v>
      </x:c>
      <x:c r="D120" s="86" t="str">
        <x:v>Admissão</x:v>
      </x:c>
      <x:c r="E120" s="86" t="str">
        <x:v>Nova contratação</x:v>
      </x:c>
      <x:c r="F120" s="86"/>
      <x:c r="G120" s="86" t="n">
        <x:v>1</x:v>
      </x:c>
      <x:c r="H120" s="86"/>
      <x:c r="I120" s="86" t="n">
        <x:v>1</x:v>
      </x:c>
      <x:c r="J120" s="97" t="n">
        <x:v>0</x:v>
      </x:c>
    </x:row>
    <x:row r="121">
      <x:c r="A121" s="85" t="n">
        <x:v>120</x:v>
      </x:c>
      <x:c r="B121" s="86" t="n">
        <x:v>89</x:v>
      </x:c>
      <x:c r="C121" s="95" t="n">
        <x:v>45443</x:v>
      </x:c>
      <x:c r="D121" s="86" t="str">
        <x:v>Admissão</x:v>
      </x:c>
      <x:c r="E121" s="86" t="str">
        <x:v>Nova contratação</x:v>
      </x:c>
      <x:c r="F121" s="86"/>
      <x:c r="G121" s="86" t="n">
        <x:v>3</x:v>
      </x:c>
      <x:c r="H121" s="86"/>
      <x:c r="I121" s="86" t="n">
        <x:v>3</x:v>
      </x:c>
      <x:c r="J121" s="97" t="n">
        <x:v>0</x:v>
      </x:c>
    </x:row>
    <x:row r="122">
      <x:c r="A122" s="85" t="n">
        <x:v>121</x:v>
      </x:c>
      <x:c r="B122" s="86" t="n">
        <x:v>89</x:v>
      </x:c>
      <x:c r="C122" s="95" t="n">
        <x:v>45946</x:v>
      </x:c>
      <x:c r="D122" s="86" t="str">
        <x:v>Promoção</x:v>
      </x:c>
      <x:c r="E122" s="86" t="str">
        <x:v>Evolução de carreira</x:v>
      </x:c>
      <x:c r="F122" s="86" t="n">
        <x:v>3</x:v>
      </x:c>
      <x:c r="G122" s="86" t="n">
        <x:v>3</x:v>
      </x:c>
      <x:c r="H122" s="86" t="n">
        <x:v>3</x:v>
      </x:c>
      <x:c r="I122" s="86" t="n">
        <x:v>3</x:v>
      </x:c>
      <x:c r="J122" s="97" t="n">
        <x:v>0.0946</x:v>
      </x:c>
    </x:row>
    <x:row r="123">
      <x:c r="A123" s="85" t="n">
        <x:v>122</x:v>
      </x:c>
      <x:c r="B123" s="86" t="n">
        <x:v>90</x:v>
      </x:c>
      <x:c r="C123" s="95" t="n">
        <x:v>45043</x:v>
      </x:c>
      <x:c r="D123" s="86" t="str">
        <x:v>Admissão</x:v>
      </x:c>
      <x:c r="E123" s="86" t="str">
        <x:v>Nova contratação</x:v>
      </x:c>
      <x:c r="F123" s="86"/>
      <x:c r="G123" s="86" t="n">
        <x:v>6</x:v>
      </x:c>
      <x:c r="H123" s="86"/>
      <x:c r="I123" s="86" t="n">
        <x:v>6</x:v>
      </x:c>
      <x:c r="J123" s="97" t="n">
        <x:v>0</x:v>
      </x:c>
    </x:row>
    <x:row r="124">
      <x:c r="A124" s="85" t="n">
        <x:v>123</x:v>
      </x:c>
      <x:c r="B124" s="86" t="n">
        <x:v>90</x:v>
      </x:c>
      <x:c r="C124" s="95" t="n">
        <x:v>45780</x:v>
      </x:c>
      <x:c r="D124" s="86" t="str">
        <x:v>Desligamento</x:v>
      </x:c>
      <x:c r="E124" s="86" t="str">
        <x:v>Reestruturação</x:v>
      </x:c>
      <x:c r="F124" s="86" t="n">
        <x:v>6</x:v>
      </x:c>
      <x:c r="G124" s="86"/>
      <x:c r="H124" s="86" t="n">
        <x:v>6</x:v>
      </x:c>
      <x:c r="I124" s="86"/>
      <x:c r="J124" s="97" t="n">
        <x:v>0</x:v>
      </x:c>
    </x:row>
    <x:row r="125">
      <x:c r="A125" s="85" t="n">
        <x:v>124</x:v>
      </x:c>
      <x:c r="B125" s="86" t="n">
        <x:v>91</x:v>
      </x:c>
      <x:c r="C125" s="95" t="n">
        <x:v>45738</x:v>
      </x:c>
      <x:c r="D125" s="86" t="str">
        <x:v>Admissão</x:v>
      </x:c>
      <x:c r="E125" s="86" t="str">
        <x:v>Nova contratação</x:v>
      </x:c>
      <x:c r="F125" s="86"/>
      <x:c r="G125" s="86" t="n">
        <x:v>1</x:v>
      </x:c>
      <x:c r="H125" s="86"/>
      <x:c r="I125" s="86" t="n">
        <x:v>11</x:v>
      </x:c>
      <x:c r="J125" s="97" t="n">
        <x:v>0</x:v>
      </x:c>
    </x:row>
    <x:row r="126">
      <x:c r="A126" s="85" t="n">
        <x:v>125</x:v>
      </x:c>
      <x:c r="B126" s="86" t="n">
        <x:v>91</x:v>
      </x:c>
      <x:c r="C126" s="95" t="n">
        <x:v>45934</x:v>
      </x:c>
      <x:c r="D126" s="86" t="str">
        <x:v>Desligamento</x:v>
      </x:c>
      <x:c r="E126" s="86" t="str">
        <x:v>Pedido do colaborador</x:v>
      </x:c>
      <x:c r="F126" s="86" t="n">
        <x:v>1</x:v>
      </x:c>
      <x:c r="G126" s="86"/>
      <x:c r="H126" s="86" t="n">
        <x:v>11</x:v>
      </x:c>
      <x:c r="I126" s="86"/>
      <x:c r="J126" s="97" t="n">
        <x:v>0</x:v>
      </x:c>
    </x:row>
    <x:row r="127">
      <x:c r="A127" s="85" t="n">
        <x:v>126</x:v>
      </x:c>
      <x:c r="B127" s="86" t="n">
        <x:v>92</x:v>
      </x:c>
      <x:c r="C127" s="95" t="n">
        <x:v>45533</x:v>
      </x:c>
      <x:c r="D127" s="86" t="str">
        <x:v>Admissão</x:v>
      </x:c>
      <x:c r="E127" s="86" t="str">
        <x:v>Nova contratação</x:v>
      </x:c>
      <x:c r="F127" s="86"/>
      <x:c r="G127" s="86" t="n">
        <x:v>9</x:v>
      </x:c>
      <x:c r="H127" s="86"/>
      <x:c r="I127" s="86" t="n">
        <x:v>9</x:v>
      </x:c>
      <x:c r="J127" s="97" t="n">
        <x:v>0</x:v>
      </x:c>
    </x:row>
    <x:row r="128">
      <x:c r="A128" s="85" t="n">
        <x:v>127</x:v>
      </x:c>
      <x:c r="B128" s="86" t="n">
        <x:v>93</x:v>
      </x:c>
      <x:c r="C128" s="95" t="n">
        <x:v>45325</x:v>
      </x:c>
      <x:c r="D128" s="86" t="str">
        <x:v>Admissão</x:v>
      </x:c>
      <x:c r="E128" s="86" t="str">
        <x:v>Nova contratação</x:v>
      </x:c>
      <x:c r="F128" s="86"/>
      <x:c r="G128" s="86" t="n">
        <x:v>8</x:v>
      </x:c>
      <x:c r="H128" s="86"/>
      <x:c r="I128" s="86" t="n">
        <x:v>8</x:v>
      </x:c>
      <x:c r="J128" s="97" t="n">
        <x:v>0</x:v>
      </x:c>
    </x:row>
    <x:row r="129">
      <x:c r="A129" s="85" t="n">
        <x:v>128</x:v>
      </x:c>
      <x:c r="B129" s="86" t="n">
        <x:v>93</x:v>
      </x:c>
      <x:c r="C129" s="95" t="n">
        <x:v>45942</x:v>
      </x:c>
      <x:c r="D129" s="86" t="str">
        <x:v>Desligamento</x:v>
      </x:c>
      <x:c r="E129" s="86" t="str">
        <x:v>Fim de contrato</x:v>
      </x:c>
      <x:c r="F129" s="86" t="n">
        <x:v>8</x:v>
      </x:c>
      <x:c r="G129" s="86"/>
      <x:c r="H129" s="86" t="n">
        <x:v>8</x:v>
      </x:c>
      <x:c r="I129" s="86"/>
      <x:c r="J129" s="97" t="n">
        <x:v>0</x:v>
      </x:c>
    </x:row>
    <x:row r="130">
      <x:c r="A130" s="85" t="n">
        <x:v>129</x:v>
      </x:c>
      <x:c r="B130" s="86" t="n">
        <x:v>94</x:v>
      </x:c>
      <x:c r="C130" s="95" t="n">
        <x:v>45506</x:v>
      </x:c>
      <x:c r="D130" s="86" t="str">
        <x:v>Admissão</x:v>
      </x:c>
      <x:c r="E130" s="86" t="str">
        <x:v>Nova contratação</x:v>
      </x:c>
      <x:c r="F130" s="86"/>
      <x:c r="G130" s="86" t="n">
        <x:v>5</x:v>
      </x:c>
      <x:c r="H130" s="86"/>
      <x:c r="I130" s="86" t="n">
        <x:v>15</x:v>
      </x:c>
      <x:c r="J130" s="97" t="n">
        <x:v>0</x:v>
      </x:c>
    </x:row>
    <x:row r="131">
      <x:c r="A131" s="85" t="n">
        <x:v>130</x:v>
      </x:c>
      <x:c r="B131" s="86" t="n">
        <x:v>94</x:v>
      </x:c>
      <x:c r="C131" s="95" t="n">
        <x:v>45798</x:v>
      </x:c>
      <x:c r="D131" s="86" t="str">
        <x:v>Promoção</x:v>
      </x:c>
      <x:c r="E131" s="86" t="str">
        <x:v>Evolução de carreira</x:v>
      </x:c>
      <x:c r="F131" s="86" t="n">
        <x:v>5</x:v>
      </x:c>
      <x:c r="G131" s="86" t="n">
        <x:v>5</x:v>
      </x:c>
      <x:c r="H131" s="86" t="n">
        <x:v>15</x:v>
      </x:c>
      <x:c r="I131" s="86" t="n">
        <x:v>15</x:v>
      </x:c>
      <x:c r="J131" s="97" t="n">
        <x:v>0.1661</x:v>
      </x:c>
    </x:row>
    <x:row r="132">
      <x:c r="A132" s="85" t="n">
        <x:v>131</x:v>
      </x:c>
      <x:c r="B132" s="86" t="n">
        <x:v>95</x:v>
      </x:c>
      <x:c r="C132" s="95" t="n">
        <x:v>45083</x:v>
      </x:c>
      <x:c r="D132" s="86" t="str">
        <x:v>Admissão</x:v>
      </x:c>
      <x:c r="E132" s="86" t="str">
        <x:v>Nova contratação</x:v>
      </x:c>
      <x:c r="F132" s="86"/>
      <x:c r="G132" s="86" t="n">
        <x:v>1</x:v>
      </x:c>
      <x:c r="H132" s="86"/>
      <x:c r="I132" s="86" t="n">
        <x:v>1</x:v>
      </x:c>
      <x:c r="J132" s="97" t="n">
        <x:v>0</x:v>
      </x:c>
    </x:row>
    <x:row r="133">
      <x:c r="A133" s="85" t="n">
        <x:v>132</x:v>
      </x:c>
      <x:c r="B133" s="86" t="n">
        <x:v>96</x:v>
      </x:c>
      <x:c r="C133" s="95" t="n">
        <x:v>45122</x:v>
      </x:c>
      <x:c r="D133" s="86" t="str">
        <x:v>Admissão</x:v>
      </x:c>
      <x:c r="E133" s="86" t="str">
        <x:v>Nova contratação</x:v>
      </x:c>
      <x:c r="F133" s="86"/>
      <x:c r="G133" s="86" t="n">
        <x:v>1</x:v>
      </x:c>
      <x:c r="H133" s="86"/>
      <x:c r="I133" s="86" t="n">
        <x:v>1</x:v>
      </x:c>
      <x:c r="J133" s="97" t="n">
        <x:v>0</x:v>
      </x:c>
    </x:row>
    <x:row r="134">
      <x:c r="A134" s="85" t="n">
        <x:v>133</x:v>
      </x:c>
      <x:c r="B134" s="86" t="n">
        <x:v>97</x:v>
      </x:c>
      <x:c r="C134" s="95" t="n">
        <x:v>45173</x:v>
      </x:c>
      <x:c r="D134" s="86" t="str">
        <x:v>Admissão</x:v>
      </x:c>
      <x:c r="E134" s="86" t="str">
        <x:v>Nova contratação</x:v>
      </x:c>
      <x:c r="F134" s="86"/>
      <x:c r="G134" s="86" t="n">
        <x:v>7</x:v>
      </x:c>
      <x:c r="H134" s="86"/>
      <x:c r="I134" s="86" t="n">
        <x:v>7</x:v>
      </x:c>
      <x:c r="J134" s="97" t="n">
        <x:v>0</x:v>
      </x:c>
    </x:row>
    <x:row r="135">
      <x:c r="A135" s="85" t="n">
        <x:v>134</x:v>
      </x:c>
      <x:c r="B135" s="86" t="n">
        <x:v>98</x:v>
      </x:c>
      <x:c r="C135" s="95" t="n">
        <x:v>45584</x:v>
      </x:c>
      <x:c r="D135" s="86" t="str">
        <x:v>Admissão</x:v>
      </x:c>
      <x:c r="E135" s="86" t="str">
        <x:v>Nova contratação</x:v>
      </x:c>
      <x:c r="F135" s="86"/>
      <x:c r="G135" s="86" t="n">
        <x:v>1</x:v>
      </x:c>
      <x:c r="H135" s="86"/>
      <x:c r="I135" s="86" t="n">
        <x:v>11</x:v>
      </x:c>
      <x:c r="J135" s="97" t="n">
        <x:v>0</x:v>
      </x:c>
    </x:row>
    <x:row r="136">
      <x:c r="A136" s="85" t="n">
        <x:v>135</x:v>
      </x:c>
      <x:c r="B136" s="86" t="n">
        <x:v>98</x:v>
      </x:c>
      <x:c r="C136" s="95" t="n">
        <x:v>45952</x:v>
      </x:c>
      <x:c r="D136" s="86" t="str">
        <x:v>Promoção</x:v>
      </x:c>
      <x:c r="E136" s="86" t="str">
        <x:v>Evolução de carreira</x:v>
      </x:c>
      <x:c r="F136" s="86" t="n">
        <x:v>1</x:v>
      </x:c>
      <x:c r="G136" s="86" t="n">
        <x:v>1</x:v>
      </x:c>
      <x:c r="H136" s="86" t="n">
        <x:v>11</x:v>
      </x:c>
      <x:c r="I136" s="86" t="n">
        <x:v>11</x:v>
      </x:c>
      <x:c r="J136" s="97" t="n">
        <x:v>0.0829</x:v>
      </x:c>
    </x:row>
    <x:row r="137">
      <x:c r="A137" s="85" t="n">
        <x:v>136</x:v>
      </x:c>
      <x:c r="B137" s="86" t="n">
        <x:v>99</x:v>
      </x:c>
      <x:c r="C137" s="95" t="n">
        <x:v>44956</x:v>
      </x:c>
      <x:c r="D137" s="86" t="str">
        <x:v>Admissão</x:v>
      </x:c>
      <x:c r="E137" s="86" t="str">
        <x:v>Nova contratação</x:v>
      </x:c>
      <x:c r="F137" s="86"/>
      <x:c r="G137" s="86" t="n">
        <x:v>2</x:v>
      </x:c>
      <x:c r="H137" s="86"/>
      <x:c r="I137" s="86" t="n">
        <x:v>2</x:v>
      </x:c>
      <x:c r="J137" s="97" t="n">
        <x:v>0</x:v>
      </x:c>
    </x:row>
    <x:row r="138">
      <x:c r="A138" s="85" t="n">
        <x:v>137</x:v>
      </x:c>
      <x:c r="B138" s="86" t="n">
        <x:v>99</x:v>
      </x:c>
      <x:c r="C138" s="95" t="n">
        <x:v>45530</x:v>
      </x:c>
      <x:c r="D138" s="86" t="str">
        <x:v>Promoção</x:v>
      </x:c>
      <x:c r="E138" s="86" t="str">
        <x:v>Evolução de carreira</x:v>
      </x:c>
      <x:c r="F138" s="86" t="n">
        <x:v>2</x:v>
      </x:c>
      <x:c r="G138" s="86" t="n">
        <x:v>2</x:v>
      </x:c>
      <x:c r="H138" s="86" t="n">
        <x:v>2</x:v>
      </x:c>
      <x:c r="I138" s="86" t="n">
        <x:v>2</x:v>
      </x:c>
      <x:c r="J138" s="97" t="n">
        <x:v>0.0915</x:v>
      </x:c>
    </x:row>
    <x:row r="139">
      <x:c r="A139" s="85" t="n">
        <x:v>138</x:v>
      </x:c>
      <x:c r="B139" s="86" t="n">
        <x:v>100</x:v>
      </x:c>
      <x:c r="C139" s="95" t="n">
        <x:v>45719</x:v>
      </x:c>
      <x:c r="D139" s="86" t="str">
        <x:v>Admissão</x:v>
      </x:c>
      <x:c r="E139" s="86" t="str">
        <x:v>Nova contratação</x:v>
      </x:c>
      <x:c r="F139" s="86"/>
      <x:c r="G139" s="86" t="n">
        <x:v>1</x:v>
      </x:c>
      <x:c r="H139" s="86"/>
      <x:c r="I139" s="86" t="n">
        <x:v>1</x:v>
      </x:c>
      <x:c r="J139" s="97" t="n">
        <x:v>0</x:v>
      </x:c>
    </x:row>
    <x:row r="140">
      <x:c r="A140" s="85" t="n">
        <x:v>139</x:v>
      </x:c>
      <x:c r="B140" s="86" t="n">
        <x:v>100</x:v>
      </x:c>
      <x:c r="C140" s="95" t="n">
        <x:v>45952</x:v>
      </x:c>
      <x:c r="D140" s="86" t="str">
        <x:v>Promoção</x:v>
      </x:c>
      <x:c r="E140" s="86" t="str">
        <x:v>Evolução de carreira</x:v>
      </x:c>
      <x:c r="F140" s="86" t="n">
        <x:v>1</x:v>
      </x:c>
      <x:c r="G140" s="86" t="n">
        <x:v>1</x:v>
      </x:c>
      <x:c r="H140" s="86" t="n">
        <x:v>1</x:v>
      </x:c>
      <x:c r="I140" s="86" t="n">
        <x:v>1</x:v>
      </x:c>
      <x:c r="J140" s="97" t="n">
        <x:v>0.0971</x:v>
      </x:c>
    </x:row>
    <x:row r="141">
      <x:c r="A141" s="85" t="n">
        <x:v>140</x:v>
      </x:c>
      <x:c r="B141" s="86" t="n">
        <x:v>101</x:v>
      </x:c>
      <x:c r="C141" s="95" t="n">
        <x:v>45291</x:v>
      </x:c>
      <x:c r="D141" s="86" t="str">
        <x:v>Admissão</x:v>
      </x:c>
      <x:c r="E141" s="86" t="str">
        <x:v>Nova contratação</x:v>
      </x:c>
      <x:c r="F141" s="86"/>
      <x:c r="G141" s="86" t="n">
        <x:v>1</x:v>
      </x:c>
      <x:c r="H141" s="86"/>
      <x:c r="I141" s="86" t="n">
        <x:v>1</x:v>
      </x:c>
      <x:c r="J141" s="97" t="n">
        <x:v>0</x:v>
      </x:c>
    </x:row>
    <x:row r="142">
      <x:c r="A142" s="85" t="n">
        <x:v>141</x:v>
      </x:c>
      <x:c r="B142" s="86" t="n">
        <x:v>102</x:v>
      </x:c>
      <x:c r="C142" s="95" t="n">
        <x:v>45225</x:v>
      </x:c>
      <x:c r="D142" s="86" t="str">
        <x:v>Admissão</x:v>
      </x:c>
      <x:c r="E142" s="86" t="str">
        <x:v>Nova contratação</x:v>
      </x:c>
      <x:c r="F142" s="86"/>
      <x:c r="G142" s="86" t="n">
        <x:v>4</x:v>
      </x:c>
      <x:c r="H142" s="86"/>
      <x:c r="I142" s="86" t="n">
        <x:v>4</x:v>
      </x:c>
      <x:c r="J142" s="97" t="n">
        <x:v>0</x:v>
      </x:c>
    </x:row>
    <x:row r="143">
      <x:c r="A143" s="85" t="n">
        <x:v>142</x:v>
      </x:c>
      <x:c r="B143" s="86" t="n">
        <x:v>102</x:v>
      </x:c>
      <x:c r="C143" s="95" t="n">
        <x:v>45459</x:v>
      </x:c>
      <x:c r="D143" s="86" t="str">
        <x:v>Promoção</x:v>
      </x:c>
      <x:c r="E143" s="86" t="str">
        <x:v>Evolução de carreira</x:v>
      </x:c>
      <x:c r="F143" s="86" t="n">
        <x:v>4</x:v>
      </x:c>
      <x:c r="G143" s="86" t="n">
        <x:v>4</x:v>
      </x:c>
      <x:c r="H143" s="86" t="n">
        <x:v>4</x:v>
      </x:c>
      <x:c r="I143" s="86" t="n">
        <x:v>4</x:v>
      </x:c>
      <x:c r="J143" s="97" t="n">
        <x:v>0.0807</x:v>
      </x:c>
    </x:row>
    <x:row r="144">
      <x:c r="A144" s="85" t="n">
        <x:v>143</x:v>
      </x:c>
      <x:c r="B144" s="86" t="n">
        <x:v>103</x:v>
      </x:c>
      <x:c r="C144" s="95" t="n">
        <x:v>45929</x:v>
      </x:c>
      <x:c r="D144" s="86" t="str">
        <x:v>Admissão</x:v>
      </x:c>
      <x:c r="E144" s="86" t="str">
        <x:v>Nova contratação</x:v>
      </x:c>
      <x:c r="F144" s="86"/>
      <x:c r="G144" s="86" t="n">
        <x:v>5</x:v>
      </x:c>
      <x:c r="H144" s="86"/>
      <x:c r="I144" s="86" t="n">
        <x:v>5</x:v>
      </x:c>
      <x:c r="J144" s="97" t="n">
        <x:v>0</x:v>
      </x:c>
    </x:row>
    <x:row r="145">
      <x:c r="A145" s="85" t="n">
        <x:v>144</x:v>
      </x:c>
      <x:c r="B145" s="86" t="n">
        <x:v>104</x:v>
      </x:c>
      <x:c r="C145" s="95" t="n">
        <x:v>45549</x:v>
      </x:c>
      <x:c r="D145" s="86" t="str">
        <x:v>Admissão</x:v>
      </x:c>
      <x:c r="E145" s="86" t="str">
        <x:v>Nova contratação</x:v>
      </x:c>
      <x:c r="F145" s="86"/>
      <x:c r="G145" s="86" t="n">
        <x:v>2</x:v>
      </x:c>
      <x:c r="H145" s="86"/>
      <x:c r="I145" s="86" t="n">
        <x:v>12</x:v>
      </x:c>
      <x:c r="J145" s="97" t="n">
        <x:v>0</x:v>
      </x:c>
    </x:row>
    <x:row r="146">
      <x:c r="A146" s="85" t="n">
        <x:v>145</x:v>
      </x:c>
      <x:c r="B146" s="86" t="n">
        <x:v>105</x:v>
      </x:c>
      <x:c r="C146" s="95" t="n">
        <x:v>45061</x:v>
      </x:c>
      <x:c r="D146" s="86" t="str">
        <x:v>Admissão</x:v>
      </x:c>
      <x:c r="E146" s="86" t="str">
        <x:v>Nova contratação</x:v>
      </x:c>
      <x:c r="F146" s="86"/>
      <x:c r="G146" s="86" t="n">
        <x:v>2</x:v>
      </x:c>
      <x:c r="H146" s="86"/>
      <x:c r="I146" s="86" t="n">
        <x:v>2</x:v>
      </x:c>
      <x:c r="J146" s="97" t="n">
        <x:v>0</x:v>
      </x:c>
    </x:row>
    <x:row r="147">
      <x:c r="A147" s="85" t="n">
        <x:v>146</x:v>
      </x:c>
      <x:c r="B147" s="86" t="n">
        <x:v>106</x:v>
      </x:c>
      <x:c r="C147" s="95" t="n">
        <x:v>44998</x:v>
      </x:c>
      <x:c r="D147" s="86" t="str">
        <x:v>Admissão</x:v>
      </x:c>
      <x:c r="E147" s="86" t="str">
        <x:v>Nova contratação</x:v>
      </x:c>
      <x:c r="F147" s="86"/>
      <x:c r="G147" s="86" t="n">
        <x:v>4</x:v>
      </x:c>
      <x:c r="H147" s="86"/>
      <x:c r="I147" s="86" t="n">
        <x:v>4</x:v>
      </x:c>
      <x:c r="J147" s="97" t="n">
        <x:v>0</x:v>
      </x:c>
    </x:row>
    <x:row r="148">
      <x:c r="A148" s="85" t="n">
        <x:v>147</x:v>
      </x:c>
      <x:c r="B148" s="86" t="n">
        <x:v>107</x:v>
      </x:c>
      <x:c r="C148" s="95" t="n">
        <x:v>44990</x:v>
      </x:c>
      <x:c r="D148" s="86" t="str">
        <x:v>Admissão</x:v>
      </x:c>
      <x:c r="E148" s="86" t="str">
        <x:v>Nova contratação</x:v>
      </x:c>
      <x:c r="F148" s="86"/>
      <x:c r="G148" s="86" t="n">
        <x:v>7</x:v>
      </x:c>
      <x:c r="H148" s="86"/>
      <x:c r="I148" s="86" t="n">
        <x:v>7</x:v>
      </x:c>
      <x:c r="J148" s="97" t="n">
        <x:v>0</x:v>
      </x:c>
    </x:row>
    <x:row r="149">
      <x:c r="A149" s="85" t="n">
        <x:v>148</x:v>
      </x:c>
      <x:c r="B149" s="86" t="n">
        <x:v>108</x:v>
      </x:c>
      <x:c r="C149" s="95" t="n">
        <x:v>45431</x:v>
      </x:c>
      <x:c r="D149" s="86" t="str">
        <x:v>Admissão</x:v>
      </x:c>
      <x:c r="E149" s="86" t="str">
        <x:v>Nova contratação</x:v>
      </x:c>
      <x:c r="F149" s="86"/>
      <x:c r="G149" s="86" t="n">
        <x:v>1</x:v>
      </x:c>
      <x:c r="H149" s="86"/>
      <x:c r="I149" s="86" t="n">
        <x:v>1</x:v>
      </x:c>
      <x:c r="J149" s="97" t="n">
        <x:v>0</x:v>
      </x:c>
    </x:row>
    <x:row r="150">
      <x:c r="A150" s="85" t="n">
        <x:v>149</x:v>
      </x:c>
      <x:c r="B150" s="86" t="n">
        <x:v>108</x:v>
      </x:c>
      <x:c r="C150" s="95" t="n">
        <x:v>45974</x:v>
      </x:c>
      <x:c r="D150" s="86" t="str">
        <x:v>Desligamento</x:v>
      </x:c>
      <x:c r="E150" s="86" t="str">
        <x:v>Fim de contrato</x:v>
      </x:c>
      <x:c r="F150" s="86" t="n">
        <x:v>1</x:v>
      </x:c>
      <x:c r="G150" s="86"/>
      <x:c r="H150" s="86" t="n">
        <x:v>1</x:v>
      </x:c>
      <x:c r="I150" s="86"/>
      <x:c r="J150" s="97" t="n">
        <x:v>0</x:v>
      </x:c>
    </x:row>
    <x:row r="151">
      <x:c r="A151" s="85" t="n">
        <x:v>150</x:v>
      </x:c>
      <x:c r="B151" s="86" t="n">
        <x:v>109</x:v>
      </x:c>
      <x:c r="C151" s="95" t="n">
        <x:v>45382</x:v>
      </x:c>
      <x:c r="D151" s="86" t="str">
        <x:v>Admissão</x:v>
      </x:c>
      <x:c r="E151" s="86" t="str">
        <x:v>Nova contratação</x:v>
      </x:c>
      <x:c r="F151" s="86"/>
      <x:c r="G151" s="86" t="n">
        <x:v>8</x:v>
      </x:c>
      <x:c r="H151" s="86"/>
      <x:c r="I151" s="86" t="n">
        <x:v>18</x:v>
      </x:c>
      <x:c r="J151" s="97" t="n">
        <x:v>0</x:v>
      </x:c>
    </x:row>
    <x:row r="152">
      <x:c r="A152" s="85" t="n">
        <x:v>151</x:v>
      </x:c>
      <x:c r="B152" s="86" t="n">
        <x:v>110</x:v>
      </x:c>
      <x:c r="C152" s="95" t="n">
        <x:v>45588</x:v>
      </x:c>
      <x:c r="D152" s="86" t="str">
        <x:v>Admissão</x:v>
      </x:c>
      <x:c r="E152" s="86" t="str">
        <x:v>Nova contratação</x:v>
      </x:c>
      <x:c r="F152" s="86"/>
      <x:c r="G152" s="86" t="n">
        <x:v>8</x:v>
      </x:c>
      <x:c r="H152" s="86"/>
      <x:c r="I152" s="86" t="n">
        <x:v>18</x:v>
      </x:c>
      <x:c r="J152" s="97" t="n">
        <x:v>0</x:v>
      </x:c>
    </x:row>
    <x:row r="153">
      <x:c r="A153" s="85" t="n">
        <x:v>152</x:v>
      </x:c>
      <x:c r="B153" s="86" t="n">
        <x:v>110</x:v>
      </x:c>
      <x:c r="C153" s="95" t="n">
        <x:v>45656</x:v>
      </x:c>
      <x:c r="D153" s="86" t="str">
        <x:v>Desligamento</x:v>
      </x:c>
      <x:c r="E153" s="86" t="str">
        <x:v>Desempenho</x:v>
      </x:c>
      <x:c r="F153" s="86" t="n">
        <x:v>8</x:v>
      </x:c>
      <x:c r="G153" s="86"/>
      <x:c r="H153" s="86" t="n">
        <x:v>18</x:v>
      </x:c>
      <x:c r="I153" s="86"/>
      <x:c r="J153" s="97" t="n">
        <x:v>0</x:v>
      </x:c>
    </x:row>
    <x:row r="154">
      <x:c r="A154" s="85" t="n">
        <x:v>153</x:v>
      </x:c>
      <x:c r="B154" s="86" t="n">
        <x:v>111</x:v>
      </x:c>
      <x:c r="C154" s="95" t="n">
        <x:v>45391</x:v>
      </x:c>
      <x:c r="D154" s="86" t="str">
        <x:v>Admissão</x:v>
      </x:c>
      <x:c r="E154" s="86" t="str">
        <x:v>Nova contratação</x:v>
      </x:c>
      <x:c r="F154" s="86"/>
      <x:c r="G154" s="86" t="n">
        <x:v>2</x:v>
      </x:c>
      <x:c r="H154" s="86"/>
      <x:c r="I154" s="86" t="n">
        <x:v>12</x:v>
      </x:c>
      <x:c r="J154" s="97" t="n">
        <x:v>0</x:v>
      </x:c>
    </x:row>
    <x:row r="155">
      <x:c r="A155" s="85" t="n">
        <x:v>154</x:v>
      </x:c>
      <x:c r="B155" s="86" t="n">
        <x:v>112</x:v>
      </x:c>
      <x:c r="C155" s="95" t="n">
        <x:v>45649</x:v>
      </x:c>
      <x:c r="D155" s="86" t="str">
        <x:v>Admissão</x:v>
      </x:c>
      <x:c r="E155" s="86" t="str">
        <x:v>Nova contratação</x:v>
      </x:c>
      <x:c r="F155" s="86"/>
      <x:c r="G155" s="86" t="n">
        <x:v>2</x:v>
      </x:c>
      <x:c r="H155" s="86"/>
      <x:c r="I155" s="86" t="n">
        <x:v>2</x:v>
      </x:c>
      <x:c r="J155" s="97" t="n">
        <x:v>0</x:v>
      </x:c>
    </x:row>
    <x:row r="156">
      <x:c r="A156" s="85" t="n">
        <x:v>155</x:v>
      </x:c>
      <x:c r="B156" s="86" t="n">
        <x:v>112</x:v>
      </x:c>
      <x:c r="C156" s="95" t="n">
        <x:v>45973</x:v>
      </x:c>
      <x:c r="D156" s="86" t="str">
        <x:v>Promoção</x:v>
      </x:c>
      <x:c r="E156" s="86" t="str">
        <x:v>Evolução de carreira</x:v>
      </x:c>
      <x:c r="F156" s="86" t="n">
        <x:v>2</x:v>
      </x:c>
      <x:c r="G156" s="86" t="n">
        <x:v>2</x:v>
      </x:c>
      <x:c r="H156" s="86" t="n">
        <x:v>2</x:v>
      </x:c>
      <x:c r="I156" s="86" t="n">
        <x:v>2</x:v>
      </x:c>
      <x:c r="J156" s="97" t="n">
        <x:v>0.1203</x:v>
      </x:c>
    </x:row>
    <x:row r="157">
      <x:c r="A157" s="85" t="n">
        <x:v>156</x:v>
      </x:c>
      <x:c r="B157" s="86" t="n">
        <x:v>113</x:v>
      </x:c>
      <x:c r="C157" s="95" t="n">
        <x:v>45503</x:v>
      </x:c>
      <x:c r="D157" s="86" t="str">
        <x:v>Admissão</x:v>
      </x:c>
      <x:c r="E157" s="86" t="str">
        <x:v>Nova contratação</x:v>
      </x:c>
      <x:c r="F157" s="86"/>
      <x:c r="G157" s="86" t="n">
        <x:v>1</x:v>
      </x:c>
      <x:c r="H157" s="86"/>
      <x:c r="I157" s="86" t="n">
        <x:v>1</x:v>
      </x:c>
      <x:c r="J157" s="97" t="n">
        <x:v>0</x:v>
      </x:c>
    </x:row>
    <x:row r="158">
      <x:c r="A158" s="85" t="n">
        <x:v>157</x:v>
      </x:c>
      <x:c r="B158" s="86" t="n">
        <x:v>113</x:v>
      </x:c>
      <x:c r="C158" s="95" t="n">
        <x:v>45898</x:v>
      </x:c>
      <x:c r="D158" s="86" t="str">
        <x:v>Desligamento</x:v>
      </x:c>
      <x:c r="E158" s="86" t="str">
        <x:v>Fim de contrato</x:v>
      </x:c>
      <x:c r="F158" s="86" t="n">
        <x:v>1</x:v>
      </x:c>
      <x:c r="G158" s="86"/>
      <x:c r="H158" s="86" t="n">
        <x:v>1</x:v>
      </x:c>
      <x:c r="I158" s="86"/>
      <x:c r="J158" s="97" t="n">
        <x:v>0</x:v>
      </x:c>
    </x:row>
    <x:row r="159">
      <x:c r="A159" s="85" t="n">
        <x:v>158</x:v>
      </x:c>
      <x:c r="B159" s="86" t="n">
        <x:v>114</x:v>
      </x:c>
      <x:c r="C159" s="95" t="n">
        <x:v>45030</x:v>
      </x:c>
      <x:c r="D159" s="86" t="str">
        <x:v>Admissão</x:v>
      </x:c>
      <x:c r="E159" s="86" t="str">
        <x:v>Nova contratação</x:v>
      </x:c>
      <x:c r="F159" s="86"/>
      <x:c r="G159" s="86" t="n">
        <x:v>7</x:v>
      </x:c>
      <x:c r="H159" s="86"/>
      <x:c r="I159" s="86" t="n">
        <x:v>7</x:v>
      </x:c>
      <x:c r="J159" s="97" t="n">
        <x:v>0</x:v>
      </x:c>
    </x:row>
    <x:row r="160">
      <x:c r="A160" s="85" t="n">
        <x:v>159</x:v>
      </x:c>
      <x:c r="B160" s="86" t="n">
        <x:v>114</x:v>
      </x:c>
      <x:c r="C160" s="95" t="n">
        <x:v>45605</x:v>
      </x:c>
      <x:c r="D160" s="86" t="str">
        <x:v>Promoção</x:v>
      </x:c>
      <x:c r="E160" s="86" t="str">
        <x:v>Evolução de carreira</x:v>
      </x:c>
      <x:c r="F160" s="86" t="n">
        <x:v>7</x:v>
      </x:c>
      <x:c r="G160" s="86" t="n">
        <x:v>7</x:v>
      </x:c>
      <x:c r="H160" s="86" t="n">
        <x:v>7</x:v>
      </x:c>
      <x:c r="I160" s="86" t="n">
        <x:v>7</x:v>
      </x:c>
      <x:c r="J160" s="97" t="n">
        <x:v>0.1168</x:v>
      </x:c>
    </x:row>
    <x:row r="161">
      <x:c r="A161" s="85" t="n">
        <x:v>160</x:v>
      </x:c>
      <x:c r="B161" s="86" t="n">
        <x:v>115</x:v>
      </x:c>
      <x:c r="C161" s="95" t="n">
        <x:v>45491</x:v>
      </x:c>
      <x:c r="D161" s="86" t="str">
        <x:v>Admissão</x:v>
      </x:c>
      <x:c r="E161" s="86" t="str">
        <x:v>Nova contratação</x:v>
      </x:c>
      <x:c r="F161" s="86"/>
      <x:c r="G161" s="86" t="n">
        <x:v>4</x:v>
      </x:c>
      <x:c r="H161" s="86"/>
      <x:c r="I161" s="86" t="n">
        <x:v>4</x:v>
      </x:c>
      <x:c r="J161" s="97" t="n">
        <x:v>0</x:v>
      </x:c>
    </x:row>
    <x:row r="162">
      <x:c r="A162" s="85" t="n">
        <x:v>161</x:v>
      </x:c>
      <x:c r="B162" s="86" t="n">
        <x:v>116</x:v>
      </x:c>
      <x:c r="C162" s="95" t="n">
        <x:v>45185</x:v>
      </x:c>
      <x:c r="D162" s="86" t="str">
        <x:v>Admissão</x:v>
      </x:c>
      <x:c r="E162" s="86" t="str">
        <x:v>Nova contratação</x:v>
      </x:c>
      <x:c r="F162" s="86"/>
      <x:c r="G162" s="86" t="n">
        <x:v>6</x:v>
      </x:c>
      <x:c r="H162" s="86"/>
      <x:c r="I162" s="86" t="n">
        <x:v>16</x:v>
      </x:c>
      <x:c r="J162" s="97" t="n">
        <x:v>0</x:v>
      </x:c>
    </x:row>
    <x:row r="163">
      <x:c r="A163" s="85" t="n">
        <x:v>162</x:v>
      </x:c>
      <x:c r="B163" s="86" t="n">
        <x:v>116</x:v>
      </x:c>
      <x:c r="C163" s="95" t="n">
        <x:v>46007</x:v>
      </x:c>
      <x:c r="D163" s="86" t="str">
        <x:v>Promoção</x:v>
      </x:c>
      <x:c r="E163" s="86" t="str">
        <x:v>Evolução de carreira</x:v>
      </x:c>
      <x:c r="F163" s="86" t="n">
        <x:v>6</x:v>
      </x:c>
      <x:c r="G163" s="86" t="n">
        <x:v>6</x:v>
      </x:c>
      <x:c r="H163" s="86" t="n">
        <x:v>16</x:v>
      </x:c>
      <x:c r="I163" s="86" t="n">
        <x:v>16</x:v>
      </x:c>
      <x:c r="J163" s="97" t="n">
        <x:v>0.1632</x:v>
      </x:c>
    </x:row>
    <x:row r="164">
      <x:c r="A164" s="85" t="n">
        <x:v>163</x:v>
      </x:c>
      <x:c r="B164" s="86" t="n">
        <x:v>117</x:v>
      </x:c>
      <x:c r="C164" s="95" t="n">
        <x:v>45480</x:v>
      </x:c>
      <x:c r="D164" s="86" t="str">
        <x:v>Admissão</x:v>
      </x:c>
      <x:c r="E164" s="86" t="str">
        <x:v>Nova contratação</x:v>
      </x:c>
      <x:c r="F164" s="86"/>
      <x:c r="G164" s="86" t="n">
        <x:v>5</x:v>
      </x:c>
      <x:c r="H164" s="86"/>
      <x:c r="I164" s="86" t="n">
        <x:v>5</x:v>
      </x:c>
      <x:c r="J164" s="97" t="n">
        <x:v>0</x:v>
      </x:c>
    </x:row>
    <x:row r="165">
      <x:c r="A165" s="85" t="n">
        <x:v>164</x:v>
      </x:c>
      <x:c r="B165" s="86" t="n">
        <x:v>118</x:v>
      </x:c>
      <x:c r="C165" s="95" t="n">
        <x:v>45564</x:v>
      </x:c>
      <x:c r="D165" s="86" t="str">
        <x:v>Admissão</x:v>
      </x:c>
      <x:c r="E165" s="86" t="str">
        <x:v>Nova contratação</x:v>
      </x:c>
      <x:c r="F165" s="86"/>
      <x:c r="G165" s="86" t="n">
        <x:v>1</x:v>
      </x:c>
      <x:c r="H165" s="86"/>
      <x:c r="I165" s="86" t="n">
        <x:v>1</x:v>
      </x:c>
      <x:c r="J165" s="97" t="n">
        <x:v>0</x:v>
      </x:c>
    </x:row>
    <x:row r="166">
      <x:c r="A166" s="85" t="n">
        <x:v>165</x:v>
      </x:c>
      <x:c r="B166" s="86" t="n">
        <x:v>118</x:v>
      </x:c>
      <x:c r="C166" s="95" t="n">
        <x:v>45823</x:v>
      </x:c>
      <x:c r="D166" s="86" t="str">
        <x:v>Desligamento</x:v>
      </x:c>
      <x:c r="E166" s="86" t="str">
        <x:v>Reestruturação</x:v>
      </x:c>
      <x:c r="F166" s="86" t="n">
        <x:v>1</x:v>
      </x:c>
      <x:c r="G166" s="86"/>
      <x:c r="H166" s="86" t="n">
        <x:v>1</x:v>
      </x:c>
      <x:c r="I166" s="86"/>
      <x:c r="J166" s="97" t="n">
        <x:v>0</x:v>
      </x:c>
    </x:row>
    <x:row r="167">
      <x:c r="A167" s="85" t="n">
        <x:v>166</x:v>
      </x:c>
      <x:c r="B167" s="86" t="n">
        <x:v>119</x:v>
      </x:c>
      <x:c r="C167" s="95" t="n">
        <x:v>45496</x:v>
      </x:c>
      <x:c r="D167" s="86" t="str">
        <x:v>Admissão</x:v>
      </x:c>
      <x:c r="E167" s="86" t="str">
        <x:v>Nova contratação</x:v>
      </x:c>
      <x:c r="F167" s="86"/>
      <x:c r="G167" s="86" t="n">
        <x:v>8</x:v>
      </x:c>
      <x:c r="H167" s="86"/>
      <x:c r="I167" s="86" t="n">
        <x:v>8</x:v>
      </x:c>
      <x:c r="J167" s="97" t="n">
        <x:v>0</x:v>
      </x:c>
    </x:row>
    <x:row r="168">
      <x:c r="A168" s="85" t="n">
        <x:v>167</x:v>
      </x:c>
      <x:c r="B168" s="86" t="n">
        <x:v>119</x:v>
      </x:c>
      <x:c r="C168" s="95" t="n">
        <x:v>45818</x:v>
      </x:c>
      <x:c r="D168" s="86" t="str">
        <x:v>Promoção</x:v>
      </x:c>
      <x:c r="E168" s="86" t="str">
        <x:v>Evolução de carreira</x:v>
      </x:c>
      <x:c r="F168" s="86" t="n">
        <x:v>8</x:v>
      </x:c>
      <x:c r="G168" s="86" t="n">
        <x:v>8</x:v>
      </x:c>
      <x:c r="H168" s="86" t="n">
        <x:v>8</x:v>
      </x:c>
      <x:c r="I168" s="86" t="n">
        <x:v>8</x:v>
      </x:c>
      <x:c r="J168" s="97" t="n">
        <x:v>0.0635</x:v>
      </x:c>
    </x:row>
    <x:row r="169">
      <x:c r="A169" s="85" t="n">
        <x:v>168</x:v>
      </x:c>
      <x:c r="B169" s="86" t="n">
        <x:v>120</x:v>
      </x:c>
      <x:c r="C169" s="95" t="n">
        <x:v>45740</x:v>
      </x:c>
      <x:c r="D169" s="86" t="str">
        <x:v>Admissão</x:v>
      </x:c>
      <x:c r="E169" s="86" t="str">
        <x:v>Nova contratação</x:v>
      </x:c>
      <x:c r="F169" s="86"/>
      <x:c r="G169" s="86" t="n">
        <x:v>5</x:v>
      </x:c>
      <x:c r="H169" s="86"/>
      <x:c r="I169" s="86" t="n">
        <x:v>5</x:v>
      </x:c>
      <x:c r="J169" s="97" t="n">
        <x:v>0</x:v>
      </x:c>
    </x:row>
    <x:row r="170">
      <x:c r="A170" s="85" t="n">
        <x:v>169</x:v>
      </x:c>
      <x:c r="B170" s="86" t="n">
        <x:v>120</x:v>
      </x:c>
      <x:c r="C170" s="95" t="n">
        <x:v>45822</x:v>
      </x:c>
      <x:c r="D170" s="86" t="str">
        <x:v>Desligamento</x:v>
      </x:c>
      <x:c r="E170" s="86" t="str">
        <x:v>Desempenho</x:v>
      </x:c>
      <x:c r="F170" s="86" t="n">
        <x:v>5</x:v>
      </x:c>
      <x:c r="G170" s="86"/>
      <x:c r="H170" s="86" t="n">
        <x:v>5</x:v>
      </x:c>
      <x:c r="I170" s="86"/>
      <x:c r="J170" s="97" t="n">
        <x:v>0</x:v>
      </x:c>
    </x:row>
    <x:row r="171">
      <x:c r="A171" s="85" t="n">
        <x:v>170</x:v>
      </x:c>
      <x:c r="B171" s="86" t="n">
        <x:v>121</x:v>
      </x:c>
      <x:c r="C171" s="95" t="n">
        <x:v>45529</x:v>
      </x:c>
      <x:c r="D171" s="86" t="str">
        <x:v>Admissão</x:v>
      </x:c>
      <x:c r="E171" s="86" t="str">
        <x:v>Nova contratação</x:v>
      </x:c>
      <x:c r="F171" s="86"/>
      <x:c r="G171" s="86" t="n">
        <x:v>4</x:v>
      </x:c>
      <x:c r="H171" s="86"/>
      <x:c r="I171" s="86" t="n">
        <x:v>4</x:v>
      </x:c>
      <x:c r="J171" s="97" t="n">
        <x:v>0</x:v>
      </x:c>
    </x:row>
    <x:row r="172">
      <x:c r="A172" s="85" t="n">
        <x:v>171</x:v>
      </x:c>
      <x:c r="B172" s="86" t="n">
        <x:v>122</x:v>
      </x:c>
      <x:c r="C172" s="95" t="n">
        <x:v>45634</x:v>
      </x:c>
      <x:c r="D172" s="86" t="str">
        <x:v>Admissão</x:v>
      </x:c>
      <x:c r="E172" s="86" t="str">
        <x:v>Nova contratação</x:v>
      </x:c>
      <x:c r="F172" s="86"/>
      <x:c r="G172" s="86" t="n">
        <x:v>1</x:v>
      </x:c>
      <x:c r="H172" s="86"/>
      <x:c r="I172" s="86" t="n">
        <x:v>1</x:v>
      </x:c>
      <x:c r="J172" s="97" t="n">
        <x:v>0</x:v>
      </x:c>
    </x:row>
    <x:row r="173">
      <x:c r="A173" s="85" t="n">
        <x:v>172</x:v>
      </x:c>
      <x:c r="B173" s="86" t="n">
        <x:v>122</x:v>
      </x:c>
      <x:c r="C173" s="95" t="n">
        <x:v>45969</x:v>
      </x:c>
      <x:c r="D173" s="86" t="str">
        <x:v>Desligamento</x:v>
      </x:c>
      <x:c r="E173" s="86" t="str">
        <x:v>Desempenho</x:v>
      </x:c>
      <x:c r="F173" s="86" t="n">
        <x:v>1</x:v>
      </x:c>
      <x:c r="G173" s="86"/>
      <x:c r="H173" s="86" t="n">
        <x:v>1</x:v>
      </x:c>
      <x:c r="I173" s="86"/>
      <x:c r="J173" s="97" t="n">
        <x:v>0</x:v>
      </x:c>
    </x:row>
    <x:row r="174">
      <x:c r="A174" s="85" t="n">
        <x:v>173</x:v>
      </x:c>
      <x:c r="B174" s="86" t="n">
        <x:v>123</x:v>
      </x:c>
      <x:c r="C174" s="95" t="n">
        <x:v>45099</x:v>
      </x:c>
      <x:c r="D174" s="86" t="str">
        <x:v>Admissão</x:v>
      </x:c>
      <x:c r="E174" s="86" t="str">
        <x:v>Nova contratação</x:v>
      </x:c>
      <x:c r="F174" s="86"/>
      <x:c r="G174" s="86" t="n">
        <x:v>1</x:v>
      </x:c>
      <x:c r="H174" s="86"/>
      <x:c r="I174" s="86" t="n">
        <x:v>1</x:v>
      </x:c>
      <x:c r="J174" s="97" t="n">
        <x:v>0</x:v>
      </x:c>
    </x:row>
    <x:row r="175">
      <x:c r="A175" s="85" t="n">
        <x:v>174</x:v>
      </x:c>
      <x:c r="B175" s="86" t="n">
        <x:v>124</x:v>
      </x:c>
      <x:c r="C175" s="95" t="n">
        <x:v>45352</x:v>
      </x:c>
      <x:c r="D175" s="86" t="str">
        <x:v>Admissão</x:v>
      </x:c>
      <x:c r="E175" s="86" t="str">
        <x:v>Nova contratação</x:v>
      </x:c>
      <x:c r="F175" s="86"/>
      <x:c r="G175" s="86" t="n">
        <x:v>6</x:v>
      </x:c>
      <x:c r="H175" s="86"/>
      <x:c r="I175" s="86" t="n">
        <x:v>6</x:v>
      </x:c>
      <x:c r="J175" s="97" t="n">
        <x:v>0</x:v>
      </x:c>
    </x:row>
    <x:row r="176">
      <x:c r="A176" s="85" t="n">
        <x:v>175</x:v>
      </x:c>
      <x:c r="B176" s="86" t="n">
        <x:v>125</x:v>
      </x:c>
      <x:c r="C176" s="95" t="n">
        <x:v>45243</x:v>
      </x:c>
      <x:c r="D176" s="86" t="str">
        <x:v>Admissão</x:v>
      </x:c>
      <x:c r="E176" s="86" t="str">
        <x:v>Nova contratação</x:v>
      </x:c>
      <x:c r="F176" s="86"/>
      <x:c r="G176" s="86" t="n">
        <x:v>1</x:v>
      </x:c>
      <x:c r="H176" s="86"/>
      <x:c r="I176" s="86" t="n">
        <x:v>1</x:v>
      </x:c>
      <x:c r="J176" s="97" t="n">
        <x:v>0</x:v>
      </x:c>
    </x:row>
    <x:row r="177">
      <x:c r="A177" s="85" t="n">
        <x:v>176</x:v>
      </x:c>
      <x:c r="B177" s="86" t="n">
        <x:v>125</x:v>
      </x:c>
      <x:c r="C177" s="95" t="n">
        <x:v>45887</x:v>
      </x:c>
      <x:c r="D177" s="86" t="str">
        <x:v>Promoção</x:v>
      </x:c>
      <x:c r="E177" s="86" t="str">
        <x:v>Evolução de carreira</x:v>
      </x:c>
      <x:c r="F177" s="86" t="n">
        <x:v>1</x:v>
      </x:c>
      <x:c r="G177" s="86" t="n">
        <x:v>1</x:v>
      </x:c>
      <x:c r="H177" s="86" t="n">
        <x:v>1</x:v>
      </x:c>
      <x:c r="I177" s="86" t="n">
        <x:v>1</x:v>
      </x:c>
      <x:c r="J177" s="97" t="n">
        <x:v>0.1092</x:v>
      </x:c>
    </x:row>
    <x:row r="178">
      <x:c r="A178" s="85" t="n">
        <x:v>177</x:v>
      </x:c>
      <x:c r="B178" s="86" t="n">
        <x:v>126</x:v>
      </x:c>
      <x:c r="C178" s="95" t="n">
        <x:v>45825</x:v>
      </x:c>
      <x:c r="D178" s="86" t="str">
        <x:v>Admissão</x:v>
      </x:c>
      <x:c r="E178" s="86" t="str">
        <x:v>Nova contratação</x:v>
      </x:c>
      <x:c r="F178" s="86"/>
      <x:c r="G178" s="86" t="n">
        <x:v>3</x:v>
      </x:c>
      <x:c r="H178" s="86"/>
      <x:c r="I178" s="86" t="n">
        <x:v>13</x:v>
      </x:c>
      <x:c r="J178" s="97" t="n">
        <x:v>0</x:v>
      </x:c>
    </x:row>
    <x:row r="179">
      <x:c r="A179" s="85" t="n">
        <x:v>178</x:v>
      </x:c>
      <x:c r="B179" s="86" t="n">
        <x:v>126</x:v>
      </x:c>
      <x:c r="C179" s="95" t="n">
        <x:v>45991</x:v>
      </x:c>
      <x:c r="D179" s="86" t="str">
        <x:v>Desligamento</x:v>
      </x:c>
      <x:c r="E179" s="86" t="str">
        <x:v>Pedido do colaborador</x:v>
      </x:c>
      <x:c r="F179" s="86" t="n">
        <x:v>3</x:v>
      </x:c>
      <x:c r="G179" s="86"/>
      <x:c r="H179" s="86" t="n">
        <x:v>13</x:v>
      </x:c>
      <x:c r="I179" s="86"/>
      <x:c r="J179" s="97" t="n">
        <x:v>0</x:v>
      </x:c>
    </x:row>
    <x:row r="180">
      <x:c r="A180" s="85" t="n">
        <x:v>179</x:v>
      </x:c>
      <x:c r="B180" s="86" t="n">
        <x:v>127</x:v>
      </x:c>
      <x:c r="C180" s="95" t="n">
        <x:v>45956</x:v>
      </x:c>
      <x:c r="D180" s="86" t="str">
        <x:v>Admissão</x:v>
      </x:c>
      <x:c r="E180" s="86" t="str">
        <x:v>Nova contratação</x:v>
      </x:c>
      <x:c r="F180" s="86"/>
      <x:c r="G180" s="86" t="n">
        <x:v>5</x:v>
      </x:c>
      <x:c r="H180" s="86"/>
      <x:c r="I180" s="86" t="n">
        <x:v>5</x:v>
      </x:c>
      <x:c r="J180" s="97" t="n">
        <x:v>0</x:v>
      </x:c>
    </x:row>
    <x:row r="181">
      <x:c r="A181" s="85" t="n">
        <x:v>180</x:v>
      </x:c>
      <x:c r="B181" s="86" t="n">
        <x:v>128</x:v>
      </x:c>
      <x:c r="C181" s="95" t="n">
        <x:v>45083</x:v>
      </x:c>
      <x:c r="D181" s="86" t="str">
        <x:v>Admissão</x:v>
      </x:c>
      <x:c r="E181" s="86" t="str">
        <x:v>Nova contratação</x:v>
      </x:c>
      <x:c r="F181" s="86"/>
      <x:c r="G181" s="86" t="n">
        <x:v>1</x:v>
      </x:c>
      <x:c r="H181" s="86"/>
      <x:c r="I181" s="86" t="n">
        <x:v>1</x:v>
      </x:c>
      <x:c r="J181" s="97" t="n">
        <x:v>0</x:v>
      </x:c>
    </x:row>
    <x:row r="182">
      <x:c r="A182" s="85" t="n">
        <x:v>181</x:v>
      </x:c>
      <x:c r="B182" s="86" t="n">
        <x:v>129</x:v>
      </x:c>
      <x:c r="C182" s="95" t="n">
        <x:v>45953</x:v>
      </x:c>
      <x:c r="D182" s="86" t="str">
        <x:v>Admissão</x:v>
      </x:c>
      <x:c r="E182" s="86" t="str">
        <x:v>Nova contratação</x:v>
      </x:c>
      <x:c r="F182" s="86"/>
      <x:c r="G182" s="86" t="n">
        <x:v>1</x:v>
      </x:c>
      <x:c r="H182" s="86"/>
      <x:c r="I182" s="86" t="n">
        <x:v>1</x:v>
      </x:c>
      <x:c r="J182" s="97" t="n">
        <x:v>0</x:v>
      </x:c>
    </x:row>
    <x:row r="183">
      <x:c r="A183" s="85" t="n">
        <x:v>182</x:v>
      </x:c>
      <x:c r="B183" s="86" t="n">
        <x:v>130</x:v>
      </x:c>
      <x:c r="C183" s="95" t="n">
        <x:v>45277</x:v>
      </x:c>
      <x:c r="D183" s="86" t="str">
        <x:v>Admissão</x:v>
      </x:c>
      <x:c r="E183" s="86" t="str">
        <x:v>Nova contratação</x:v>
      </x:c>
      <x:c r="F183" s="86"/>
      <x:c r="G183" s="86" t="n">
        <x:v>10</x:v>
      </x:c>
      <x:c r="H183" s="86"/>
      <x:c r="I183" s="86" t="n">
        <x:v>10</x:v>
      </x:c>
      <x:c r="J183" s="97" t="n">
        <x:v>0</x:v>
      </x:c>
    </x:row>
    <x:row r="184">
      <x:c r="A184" s="85" t="n">
        <x:v>183</x:v>
      </x:c>
      <x:c r="B184" s="86" t="n">
        <x:v>130</x:v>
      </x:c>
      <x:c r="C184" s="95" t="n">
        <x:v>45888</x:v>
      </x:c>
      <x:c r="D184" s="86" t="str">
        <x:v>Desligamento</x:v>
      </x:c>
      <x:c r="E184" s="86" t="str">
        <x:v>Pedido do colaborador</x:v>
      </x:c>
      <x:c r="F184" s="86" t="n">
        <x:v>10</x:v>
      </x:c>
      <x:c r="G184" s="86"/>
      <x:c r="H184" s="86" t="n">
        <x:v>10</x:v>
      </x:c>
      <x:c r="I184" s="86"/>
      <x:c r="J184" s="97" t="n">
        <x:v>0</x:v>
      </x:c>
    </x:row>
    <x:row r="185">
      <x:c r="A185" s="85" t="n">
        <x:v>184</x:v>
      </x:c>
      <x:c r="B185" s="86" t="n">
        <x:v>131</x:v>
      </x:c>
      <x:c r="C185" s="95" t="n">
        <x:v>45160</x:v>
      </x:c>
      <x:c r="D185" s="86" t="str">
        <x:v>Admissão</x:v>
      </x:c>
      <x:c r="E185" s="86" t="str">
        <x:v>Nova contratação</x:v>
      </x:c>
      <x:c r="F185" s="86"/>
      <x:c r="G185" s="86" t="n">
        <x:v>8</x:v>
      </x:c>
      <x:c r="H185" s="86"/>
      <x:c r="I185" s="86" t="n">
        <x:v>8</x:v>
      </x:c>
      <x:c r="J185" s="97" t="n">
        <x:v>0</x:v>
      </x:c>
    </x:row>
    <x:row r="186">
      <x:c r="A186" s="85" t="n">
        <x:v>185</x:v>
      </x:c>
      <x:c r="B186" s="86" t="n">
        <x:v>132</x:v>
      </x:c>
      <x:c r="C186" s="95" t="n">
        <x:v>45854</x:v>
      </x:c>
      <x:c r="D186" s="86" t="str">
        <x:v>Admissão</x:v>
      </x:c>
      <x:c r="E186" s="86" t="str">
        <x:v>Nova contratação</x:v>
      </x:c>
      <x:c r="F186" s="86"/>
      <x:c r="G186" s="86" t="n">
        <x:v>4</x:v>
      </x:c>
      <x:c r="H186" s="86"/>
      <x:c r="I186" s="86" t="n">
        <x:v>4</x:v>
      </x:c>
      <x:c r="J186" s="97" t="n">
        <x:v>0</x:v>
      </x:c>
    </x:row>
    <x:row r="187">
      <x:c r="A187" s="85" t="n">
        <x:v>186</x:v>
      </x:c>
      <x:c r="B187" s="86" t="n">
        <x:v>133</x:v>
      </x:c>
      <x:c r="C187" s="95" t="n">
        <x:v>45761</x:v>
      </x:c>
      <x:c r="D187" s="86" t="str">
        <x:v>Admissão</x:v>
      </x:c>
      <x:c r="E187" s="86" t="str">
        <x:v>Nova contratação</x:v>
      </x:c>
      <x:c r="F187" s="86"/>
      <x:c r="G187" s="86" t="n">
        <x:v>6</x:v>
      </x:c>
      <x:c r="H187" s="86"/>
      <x:c r="I187" s="86" t="n">
        <x:v>6</x:v>
      </x:c>
      <x:c r="J187" s="97" t="n">
        <x:v>0</x:v>
      </x:c>
    </x:row>
    <x:row r="188">
      <x:c r="A188" s="85" t="n">
        <x:v>187</x:v>
      </x:c>
      <x:c r="B188" s="86" t="n">
        <x:v>134</x:v>
      </x:c>
      <x:c r="C188" s="95" t="n">
        <x:v>45440</x:v>
      </x:c>
      <x:c r="D188" s="86" t="str">
        <x:v>Admissão</x:v>
      </x:c>
      <x:c r="E188" s="86" t="str">
        <x:v>Nova contratação</x:v>
      </x:c>
      <x:c r="F188" s="86"/>
      <x:c r="G188" s="86" t="n">
        <x:v>5</x:v>
      </x:c>
      <x:c r="H188" s="86"/>
      <x:c r="I188" s="86" t="n">
        <x:v>5</x:v>
      </x:c>
      <x:c r="J188" s="97" t="n">
        <x:v>0</x:v>
      </x:c>
    </x:row>
    <x:row r="189">
      <x:c r="A189" s="85" t="n">
        <x:v>188</x:v>
      </x:c>
      <x:c r="B189" s="86" t="n">
        <x:v>134</x:v>
      </x:c>
      <x:c r="C189" s="95" t="n">
        <x:v>45833</x:v>
      </x:c>
      <x:c r="D189" s="86" t="str">
        <x:v>Promoção</x:v>
      </x:c>
      <x:c r="E189" s="86" t="str">
        <x:v>Evolução de carreira</x:v>
      </x:c>
      <x:c r="F189" s="86" t="n">
        <x:v>5</x:v>
      </x:c>
      <x:c r="G189" s="86" t="n">
        <x:v>5</x:v>
      </x:c>
      <x:c r="H189" s="86" t="n">
        <x:v>5</x:v>
      </x:c>
      <x:c r="I189" s="86" t="n">
        <x:v>5</x:v>
      </x:c>
      <x:c r="J189" s="97" t="n">
        <x:v>0.116</x:v>
      </x:c>
    </x:row>
    <x:row r="190">
      <x:c r="A190" s="85" t="n">
        <x:v>189</x:v>
      </x:c>
      <x:c r="B190" s="86" t="n">
        <x:v>135</x:v>
      </x:c>
      <x:c r="C190" s="95" t="n">
        <x:v>45656</x:v>
      </x:c>
      <x:c r="D190" s="86" t="str">
        <x:v>Admissão</x:v>
      </x:c>
      <x:c r="E190" s="86" t="str">
        <x:v>Nova contratação</x:v>
      </x:c>
      <x:c r="F190" s="86"/>
      <x:c r="G190" s="86" t="n">
        <x:v>10</x:v>
      </x:c>
      <x:c r="H190" s="86"/>
      <x:c r="I190" s="86" t="n">
        <x:v>20</x:v>
      </x:c>
      <x:c r="J190" s="97" t="n">
        <x:v>0</x:v>
      </x:c>
    </x:row>
    <x:row r="191">
      <x:c r="A191" s="85" t="n">
        <x:v>190</x:v>
      </x:c>
      <x:c r="B191" s="86" t="n">
        <x:v>135</x:v>
      </x:c>
      <x:c r="C191" s="95" t="n">
        <x:v>45906</x:v>
      </x:c>
      <x:c r="D191" s="86" t="str">
        <x:v>Promoção</x:v>
      </x:c>
      <x:c r="E191" s="86" t="str">
        <x:v>Evolução de carreira</x:v>
      </x:c>
      <x:c r="F191" s="86" t="n">
        <x:v>10</x:v>
      </x:c>
      <x:c r="G191" s="86" t="n">
        <x:v>10</x:v>
      </x:c>
      <x:c r="H191" s="86" t="n">
        <x:v>20</x:v>
      </x:c>
      <x:c r="I191" s="86" t="n">
        <x:v>20</x:v>
      </x:c>
      <x:c r="J191" s="97" t="n">
        <x:v>0.0801</x:v>
      </x:c>
    </x:row>
    <x:row r="192">
      <x:c r="A192" s="85" t="n">
        <x:v>191</x:v>
      </x:c>
      <x:c r="B192" s="86" t="n">
        <x:v>136</x:v>
      </x:c>
      <x:c r="C192" s="95" t="n">
        <x:v>45015</x:v>
      </x:c>
      <x:c r="D192" s="86" t="str">
        <x:v>Admissão</x:v>
      </x:c>
      <x:c r="E192" s="86" t="str">
        <x:v>Nova contratação</x:v>
      </x:c>
      <x:c r="F192" s="86"/>
      <x:c r="G192" s="86" t="n">
        <x:v>1</x:v>
      </x:c>
      <x:c r="H192" s="86"/>
      <x:c r="I192" s="86" t="n">
        <x:v>1</x:v>
      </x:c>
      <x:c r="J192" s="97" t="n">
        <x:v>0</x:v>
      </x:c>
    </x:row>
    <x:row r="193">
      <x:c r="A193" s="85" t="n">
        <x:v>192</x:v>
      </x:c>
      <x:c r="B193" s="86" t="n">
        <x:v>136</x:v>
      </x:c>
      <x:c r="C193" s="95" t="n">
        <x:v>45294</x:v>
      </x:c>
      <x:c r="D193" s="86" t="str">
        <x:v>Promoção</x:v>
      </x:c>
      <x:c r="E193" s="86" t="str">
        <x:v>Evolução de carreira</x:v>
      </x:c>
      <x:c r="F193" s="86" t="n">
        <x:v>1</x:v>
      </x:c>
      <x:c r="G193" s="86" t="n">
        <x:v>1</x:v>
      </x:c>
      <x:c r="H193" s="86" t="n">
        <x:v>1</x:v>
      </x:c>
      <x:c r="I193" s="86" t="n">
        <x:v>1</x:v>
      </x:c>
      <x:c r="J193" s="97" t="n">
        <x:v>0.0937</x:v>
      </x:c>
    </x:row>
    <x:row r="194">
      <x:c r="A194" s="85" t="n">
        <x:v>193</x:v>
      </x:c>
      <x:c r="B194" s="86" t="n">
        <x:v>137</x:v>
      </x:c>
      <x:c r="C194" s="95" t="n">
        <x:v>45890</x:v>
      </x:c>
      <x:c r="D194" s="86" t="str">
        <x:v>Admissão</x:v>
      </x:c>
      <x:c r="E194" s="86" t="str">
        <x:v>Nova contratação</x:v>
      </x:c>
      <x:c r="F194" s="86"/>
      <x:c r="G194" s="86" t="n">
        <x:v>10</x:v>
      </x:c>
      <x:c r="H194" s="86"/>
      <x:c r="I194" s="86" t="n">
        <x:v>10</x:v>
      </x:c>
      <x:c r="J194" s="97" t="n">
        <x:v>0</x:v>
      </x:c>
    </x:row>
    <x:row r="195">
      <x:c r="A195" s="85" t="n">
        <x:v>194</x:v>
      </x:c>
      <x:c r="B195" s="86" t="n">
        <x:v>138</x:v>
      </x:c>
      <x:c r="C195" s="95" t="n">
        <x:v>45227</x:v>
      </x:c>
      <x:c r="D195" s="86" t="str">
        <x:v>Admissão</x:v>
      </x:c>
      <x:c r="E195" s="86" t="str">
        <x:v>Nova contratação</x:v>
      </x:c>
      <x:c r="F195" s="86"/>
      <x:c r="G195" s="86" t="n">
        <x:v>7</x:v>
      </x:c>
      <x:c r="H195" s="86"/>
      <x:c r="I195" s="86" t="n">
        <x:v>7</x:v>
      </x:c>
      <x:c r="J195" s="97" t="n">
        <x:v>0</x:v>
      </x:c>
    </x:row>
    <x:row r="196">
      <x:c r="A196" s="85" t="n">
        <x:v>195</x:v>
      </x:c>
      <x:c r="B196" s="86" t="n">
        <x:v>139</x:v>
      </x:c>
      <x:c r="C196" s="95" t="n">
        <x:v>45272</x:v>
      </x:c>
      <x:c r="D196" s="86" t="str">
        <x:v>Admissão</x:v>
      </x:c>
      <x:c r="E196" s="86" t="str">
        <x:v>Nova contratação</x:v>
      </x:c>
      <x:c r="F196" s="86"/>
      <x:c r="G196" s="86" t="n">
        <x:v>10</x:v>
      </x:c>
      <x:c r="H196" s="86"/>
      <x:c r="I196" s="86" t="n">
        <x:v>10</x:v>
      </x:c>
      <x:c r="J196" s="97" t="n">
        <x:v>0</x:v>
      </x:c>
    </x:row>
    <x:row r="197">
      <x:c r="A197" s="85" t="n">
        <x:v>196</x:v>
      </x:c>
      <x:c r="B197" s="86" t="n">
        <x:v>140</x:v>
      </x:c>
      <x:c r="C197" s="95" t="n">
        <x:v>45730</x:v>
      </x:c>
      <x:c r="D197" s="86" t="str">
        <x:v>Admissão</x:v>
      </x:c>
      <x:c r="E197" s="86" t="str">
        <x:v>Nova contratação</x:v>
      </x:c>
      <x:c r="F197" s="86"/>
      <x:c r="G197" s="86" t="n">
        <x:v>7</x:v>
      </x:c>
      <x:c r="H197" s="86"/>
      <x:c r="I197" s="86" t="n">
        <x:v>20</x:v>
      </x:c>
      <x:c r="J197" s="97" t="n">
        <x:v>0</x:v>
      </x:c>
    </x:row>
    <x:row r="198">
      <x:c r="A198" s="85" t="n">
        <x:v>197</x:v>
      </x:c>
      <x:c r="B198" s="86" t="n">
        <x:v>140</x:v>
      </x:c>
      <x:c r="C198" s="95" t="n">
        <x:v>46000</x:v>
      </x:c>
      <x:c r="D198" s="86" t="str">
        <x:v>Desligamento</x:v>
      </x:c>
      <x:c r="E198" s="86" t="str">
        <x:v>Pedido do colaborador</x:v>
      </x:c>
      <x:c r="F198" s="86" t="n">
        <x:v>7</x:v>
      </x:c>
      <x:c r="G198" s="86"/>
      <x:c r="H198" s="86" t="n">
        <x:v>20</x:v>
      </x:c>
      <x:c r="I198" s="86"/>
      <x:c r="J198" s="97" t="n">
        <x:v>0</x:v>
      </x:c>
    </x:row>
    <x:row r="199">
      <x:c r="A199" s="85" t="n">
        <x:v>198</x:v>
      </x:c>
      <x:c r="B199" s="86" t="n">
        <x:v>141</x:v>
      </x:c>
      <x:c r="C199" s="95" t="n">
        <x:v>45854</x:v>
      </x:c>
      <x:c r="D199" s="86" t="str">
        <x:v>Admissão</x:v>
      </x:c>
      <x:c r="E199" s="86" t="str">
        <x:v>Nova contratação</x:v>
      </x:c>
      <x:c r="F199" s="86"/>
      <x:c r="G199" s="86" t="n">
        <x:v>4</x:v>
      </x:c>
      <x:c r="H199" s="86"/>
      <x:c r="I199" s="86" t="n">
        <x:v>4</x:v>
      </x:c>
      <x:c r="J199" s="97" t="n">
        <x:v>0</x:v>
      </x:c>
    </x:row>
    <x:row r="200">
      <x:c r="A200" s="85" t="n">
        <x:v>199</x:v>
      </x:c>
      <x:c r="B200" s="86" t="n">
        <x:v>142</x:v>
      </x:c>
      <x:c r="C200" s="95" t="n">
        <x:v>45579</x:v>
      </x:c>
      <x:c r="D200" s="86" t="str">
        <x:v>Admissão</x:v>
      </x:c>
      <x:c r="E200" s="86" t="str">
        <x:v>Nova contratação</x:v>
      </x:c>
      <x:c r="F200" s="86"/>
      <x:c r="G200" s="86" t="n">
        <x:v>4</x:v>
      </x:c>
      <x:c r="H200" s="86"/>
      <x:c r="I200" s="86" t="n">
        <x:v>4</x:v>
      </x:c>
      <x:c r="J200" s="97" t="n">
        <x:v>0</x:v>
      </x:c>
    </x:row>
    <x:row r="201">
      <x:c r="A201" s="85" t="n">
        <x:v>200</x:v>
      </x:c>
      <x:c r="B201" s="86" t="n">
        <x:v>143</x:v>
      </x:c>
      <x:c r="C201" s="95" t="n">
        <x:v>45759</x:v>
      </x:c>
      <x:c r="D201" s="86" t="str">
        <x:v>Admissão</x:v>
      </x:c>
      <x:c r="E201" s="86" t="str">
        <x:v>Nova contratação</x:v>
      </x:c>
      <x:c r="F201" s="86"/>
      <x:c r="G201" s="86" t="n">
        <x:v>4</x:v>
      </x:c>
      <x:c r="H201" s="86"/>
      <x:c r="I201" s="86" t="n">
        <x:v>4</x:v>
      </x:c>
      <x:c r="J201" s="97" t="n">
        <x:v>0</x:v>
      </x:c>
    </x:row>
    <x:row r="202">
      <x:c r="A202" s="85" t="n">
        <x:v>201</x:v>
      </x:c>
      <x:c r="B202" s="86" t="n">
        <x:v>144</x:v>
      </x:c>
      <x:c r="C202" s="95" t="n">
        <x:v>45892</x:v>
      </x:c>
      <x:c r="D202" s="86" t="str">
        <x:v>Admissão</x:v>
      </x:c>
      <x:c r="E202" s="86" t="str">
        <x:v>Nova contratação</x:v>
      </x:c>
      <x:c r="F202" s="86"/>
      <x:c r="G202" s="86" t="n">
        <x:v>4</x:v>
      </x:c>
      <x:c r="H202" s="86"/>
      <x:c r="I202" s="86" t="n">
        <x:v>4</x:v>
      </x:c>
      <x:c r="J202" s="97" t="n">
        <x:v>0</x:v>
      </x:c>
    </x:row>
    <x:row r="203">
      <x:c r="A203" s="85" t="n">
        <x:v>202</x:v>
      </x:c>
      <x:c r="B203" s="86" t="n">
        <x:v>145</x:v>
      </x:c>
      <x:c r="C203" s="95" t="n">
        <x:v>45849</x:v>
      </x:c>
      <x:c r="D203" s="86" t="str">
        <x:v>Admissão</x:v>
      </x:c>
      <x:c r="E203" s="86" t="str">
        <x:v>Nova contratação</x:v>
      </x:c>
      <x:c r="F203" s="86"/>
      <x:c r="G203" s="86" t="n">
        <x:v>2</x:v>
      </x:c>
      <x:c r="H203" s="86"/>
      <x:c r="I203" s="86" t="n">
        <x:v>2</x:v>
      </x:c>
      <x:c r="J203" s="97" t="n">
        <x:v>0</x:v>
      </x:c>
    </x:row>
    <x:row r="204">
      <x:c r="A204" s="85" t="n">
        <x:v>203</x:v>
      </x:c>
      <x:c r="B204" s="86" t="n">
        <x:v>146</x:v>
      </x:c>
      <x:c r="C204" s="95" t="n">
        <x:v>45724</x:v>
      </x:c>
      <x:c r="D204" s="86" t="str">
        <x:v>Admissão</x:v>
      </x:c>
      <x:c r="E204" s="86" t="str">
        <x:v>Nova contratação</x:v>
      </x:c>
      <x:c r="F204" s="86"/>
      <x:c r="G204" s="86" t="n">
        <x:v>9</x:v>
      </x:c>
      <x:c r="H204" s="86"/>
      <x:c r="I204" s="86" t="n">
        <x:v>9</x:v>
      </x:c>
      <x:c r="J204" s="97" t="n">
        <x:v>0</x:v>
      </x:c>
    </x:row>
    <x:row r="205">
      <x:c r="A205" s="85" t="n">
        <x:v>204</x:v>
      </x:c>
      <x:c r="B205" s="86" t="n">
        <x:v>146</x:v>
      </x:c>
      <x:c r="C205" s="95" t="n">
        <x:v>45921</x:v>
      </x:c>
      <x:c r="D205" s="86" t="str">
        <x:v>Promoção</x:v>
      </x:c>
      <x:c r="E205" s="86" t="str">
        <x:v>Evolução de carreira</x:v>
      </x:c>
      <x:c r="F205" s="86" t="n">
        <x:v>9</x:v>
      </x:c>
      <x:c r="G205" s="86" t="n">
        <x:v>9</x:v>
      </x:c>
      <x:c r="H205" s="86" t="n">
        <x:v>9</x:v>
      </x:c>
      <x:c r="I205" s="86" t="n">
        <x:v>9</x:v>
      </x:c>
      <x:c r="J205" s="97" t="n">
        <x:v>0.068</x:v>
      </x:c>
    </x:row>
    <x:row r="206">
      <x:c r="A206" s="85" t="n">
        <x:v>205</x:v>
      </x:c>
      <x:c r="B206" s="86" t="n">
        <x:v>147</x:v>
      </x:c>
      <x:c r="C206" s="95" t="n">
        <x:v>45886</x:v>
      </x:c>
      <x:c r="D206" s="86" t="str">
        <x:v>Admissão</x:v>
      </x:c>
      <x:c r="E206" s="86" t="str">
        <x:v>Nova contratação</x:v>
      </x:c>
      <x:c r="F206" s="86"/>
      <x:c r="G206" s="86" t="n">
        <x:v>7</x:v>
      </x:c>
      <x:c r="H206" s="86"/>
      <x:c r="I206" s="86" t="n">
        <x:v>17</x:v>
      </x:c>
      <x:c r="J206" s="97" t="n">
        <x:v>0</x:v>
      </x:c>
    </x:row>
    <x:row r="207">
      <x:c r="A207" s="85" t="n">
        <x:v>206</x:v>
      </x:c>
      <x:c r="B207" s="86" t="n">
        <x:v>148</x:v>
      </x:c>
      <x:c r="C207" s="95" t="n">
        <x:v>45119</x:v>
      </x:c>
      <x:c r="D207" s="86" t="str">
        <x:v>Admissão</x:v>
      </x:c>
      <x:c r="E207" s="86" t="str">
        <x:v>Nova contratação</x:v>
      </x:c>
      <x:c r="F207" s="86"/>
      <x:c r="G207" s="86" t="n">
        <x:v>2</x:v>
      </x:c>
      <x:c r="H207" s="86"/>
      <x:c r="I207" s="86" t="n">
        <x:v>12</x:v>
      </x:c>
      <x:c r="J207" s="97" t="n">
        <x:v>0</x:v>
      </x:c>
    </x:row>
    <x:row r="208">
      <x:c r="A208" s="85" t="n">
        <x:v>207</x:v>
      </x:c>
      <x:c r="B208" s="86" t="n">
        <x:v>149</x:v>
      </x:c>
      <x:c r="C208" s="95" t="n">
        <x:v>45043</x:v>
      </x:c>
      <x:c r="D208" s="86" t="str">
        <x:v>Admissão</x:v>
      </x:c>
      <x:c r="E208" s="86" t="str">
        <x:v>Nova contratação</x:v>
      </x:c>
      <x:c r="F208" s="86"/>
      <x:c r="G208" s="86" t="n">
        <x:v>6</x:v>
      </x:c>
      <x:c r="H208" s="86"/>
      <x:c r="I208" s="86" t="n">
        <x:v>6</x:v>
      </x:c>
      <x:c r="J208" s="97" t="n">
        <x:v>0</x:v>
      </x:c>
    </x:row>
    <x:row r="209">
      <x:c r="A209" s="85" t="n">
        <x:v>208</x:v>
      </x:c>
      <x:c r="B209" s="86" t="n">
        <x:v>150</x:v>
      </x:c>
      <x:c r="C209" s="95" t="n">
        <x:v>45825</x:v>
      </x:c>
      <x:c r="D209" s="86" t="str">
        <x:v>Admissão</x:v>
      </x:c>
      <x:c r="E209" s="86" t="str">
        <x:v>Nova contratação</x:v>
      </x:c>
      <x:c r="F209" s="86"/>
      <x:c r="G209" s="86" t="n">
        <x:v>1</x:v>
      </x:c>
      <x:c r="H209" s="86"/>
      <x:c r="I209" s="86" t="n">
        <x:v>1</x:v>
      </x:c>
      <x:c r="J209" s="97" t="n">
        <x:v>0</x:v>
      </x:c>
    </x:row>
    <x:row r="210">
      <x:c r="A210" s="85" t="n">
        <x:v>209</x:v>
      </x:c>
      <x:c r="B210" s="86" t="n">
        <x:v>150</x:v>
      </x:c>
      <x:c r="C210" s="95" t="n">
        <x:v>46017</x:v>
      </x:c>
      <x:c r="D210" s="86" t="str">
        <x:v>Promoção</x:v>
      </x:c>
      <x:c r="E210" s="86" t="str">
        <x:v>Evolução de carreira</x:v>
      </x:c>
      <x:c r="F210" s="86" t="n">
        <x:v>1</x:v>
      </x:c>
      <x:c r="G210" s="86" t="n">
        <x:v>1</x:v>
      </x:c>
      <x:c r="H210" s="86" t="n">
        <x:v>1</x:v>
      </x:c>
      <x:c r="I210" s="86" t="n">
        <x:v>1</x:v>
      </x:c>
      <x:c r="J210" s="97" t="n">
        <x:v>0.0743</x:v>
      </x:c>
    </x:row>
    <x:row r="211">
      <x:c r="A211" s="85" t="n">
        <x:v>210</x:v>
      </x:c>
      <x:c r="B211" s="86" t="n">
        <x:v>151</x:v>
      </x:c>
      <x:c r="C211" s="95" t="n">
        <x:v>45488</x:v>
      </x:c>
      <x:c r="D211" s="86" t="str">
        <x:v>Admissão</x:v>
      </x:c>
      <x:c r="E211" s="86" t="str">
        <x:v>Nova contratação</x:v>
      </x:c>
      <x:c r="F211" s="86"/>
      <x:c r="G211" s="86" t="n">
        <x:v>2</x:v>
      </x:c>
      <x:c r="H211" s="86"/>
      <x:c r="I211" s="86" t="n">
        <x:v>2</x:v>
      </x:c>
      <x:c r="J211" s="97" t="n">
        <x:v>0</x:v>
      </x:c>
    </x:row>
    <x:row r="212">
      <x:c r="A212" s="85" t="n">
        <x:v>211</x:v>
      </x:c>
      <x:c r="B212" s="86" t="n">
        <x:v>152</x:v>
      </x:c>
      <x:c r="C212" s="95" t="n">
        <x:v>45929</x:v>
      </x:c>
      <x:c r="D212" s="86" t="str">
        <x:v>Admissão</x:v>
      </x:c>
      <x:c r="E212" s="86" t="str">
        <x:v>Nova contratação</x:v>
      </x:c>
      <x:c r="F212" s="86"/>
      <x:c r="G212" s="86" t="n">
        <x:v>1</x:v>
      </x:c>
      <x:c r="H212" s="86"/>
      <x:c r="I212" s="86" t="n">
        <x:v>1</x:v>
      </x:c>
      <x:c r="J212" s="97" t="n">
        <x:v>0</x:v>
      </x:c>
    </x:row>
    <x:row r="213">
      <x:c r="A213" s="85" t="n">
        <x:v>212</x:v>
      </x:c>
      <x:c r="B213" s="86" t="n">
        <x:v>153</x:v>
      </x:c>
      <x:c r="C213" s="95" t="n">
        <x:v>45137</x:v>
      </x:c>
      <x:c r="D213" s="86" t="str">
        <x:v>Admissão</x:v>
      </x:c>
      <x:c r="E213" s="86" t="str">
        <x:v>Nova contratação</x:v>
      </x:c>
      <x:c r="F213" s="86"/>
      <x:c r="G213" s="86" t="n">
        <x:v>4</x:v>
      </x:c>
      <x:c r="H213" s="86"/>
      <x:c r="I213" s="86" t="n">
        <x:v>4</x:v>
      </x:c>
      <x:c r="J213" s="97" t="n">
        <x:v>0</x:v>
      </x:c>
    </x:row>
    <x:row r="214">
      <x:c r="A214" s="85" t="n">
        <x:v>213</x:v>
      </x:c>
      <x:c r="B214" s="86" t="n">
        <x:v>153</x:v>
      </x:c>
      <x:c r="C214" s="95" t="n">
        <x:v>45930</x:v>
      </x:c>
      <x:c r="D214" s="86" t="str">
        <x:v>Promoção</x:v>
      </x:c>
      <x:c r="E214" s="86" t="str">
        <x:v>Evolução de carreira</x:v>
      </x:c>
      <x:c r="F214" s="86" t="n">
        <x:v>4</x:v>
      </x:c>
      <x:c r="G214" s="86" t="n">
        <x:v>4</x:v>
      </x:c>
      <x:c r="H214" s="86" t="n">
        <x:v>4</x:v>
      </x:c>
      <x:c r="I214" s="86" t="n">
        <x:v>4</x:v>
      </x:c>
      <x:c r="J214" s="97" t="n">
        <x:v>0.0684</x:v>
      </x:c>
    </x:row>
    <x:row r="215">
      <x:c r="A215" s="85" t="n">
        <x:v>214</x:v>
      </x:c>
      <x:c r="B215" s="86" t="n">
        <x:v>154</x:v>
      </x:c>
      <x:c r="C215" s="95" t="n">
        <x:v>45406</x:v>
      </x:c>
      <x:c r="D215" s="86" t="str">
        <x:v>Admissão</x:v>
      </x:c>
      <x:c r="E215" s="86" t="str">
        <x:v>Nova contratação</x:v>
      </x:c>
      <x:c r="F215" s="86"/>
      <x:c r="G215" s="86" t="n">
        <x:v>7</x:v>
      </x:c>
      <x:c r="H215" s="86"/>
      <x:c r="I215" s="86" t="n">
        <x:v>7</x:v>
      </x:c>
      <x:c r="J215" s="97" t="n">
        <x:v>0</x:v>
      </x:c>
    </x:row>
    <x:row r="216">
      <x:c r="A216" s="85" t="n">
        <x:v>215</x:v>
      </x:c>
      <x:c r="B216" s="86" t="n">
        <x:v>155</x:v>
      </x:c>
      <x:c r="C216" s="95" t="n">
        <x:v>45369</x:v>
      </x:c>
      <x:c r="D216" s="86" t="str">
        <x:v>Admissão</x:v>
      </x:c>
      <x:c r="E216" s="86" t="str">
        <x:v>Nova contratação</x:v>
      </x:c>
      <x:c r="F216" s="86"/>
      <x:c r="G216" s="86" t="n">
        <x:v>1</x:v>
      </x:c>
      <x:c r="H216" s="86"/>
      <x:c r="I216" s="86" t="n">
        <x:v>1</x:v>
      </x:c>
      <x:c r="J216" s="97" t="n">
        <x:v>0</x:v>
      </x:c>
    </x:row>
    <x:row r="217">
      <x:c r="A217" s="85" t="n">
        <x:v>216</x:v>
      </x:c>
      <x:c r="B217" s="86" t="n">
        <x:v>155</x:v>
      </x:c>
      <x:c r="C217" s="95" t="n">
        <x:v>46007</x:v>
      </x:c>
      <x:c r="D217" s="86" t="str">
        <x:v>Promoção</x:v>
      </x:c>
      <x:c r="E217" s="86" t="str">
        <x:v>Evolução de carreira</x:v>
      </x:c>
      <x:c r="F217" s="86" t="n">
        <x:v>1</x:v>
      </x:c>
      <x:c r="G217" s="86" t="n">
        <x:v>1</x:v>
      </x:c>
      <x:c r="H217" s="86" t="n">
        <x:v>1</x:v>
      </x:c>
      <x:c r="I217" s="86" t="n">
        <x:v>1</x:v>
      </x:c>
      <x:c r="J217" s="97" t="n">
        <x:v>0.1245</x:v>
      </x:c>
    </x:row>
    <x:row r="218">
      <x:c r="A218" s="85" t="n">
        <x:v>217</x:v>
      </x:c>
      <x:c r="B218" s="86" t="n">
        <x:v>156</x:v>
      </x:c>
      <x:c r="C218" s="95" t="n">
        <x:v>45244</x:v>
      </x:c>
      <x:c r="D218" s="86" t="str">
        <x:v>Admissão</x:v>
      </x:c>
      <x:c r="E218" s="86" t="str">
        <x:v>Nova contratação</x:v>
      </x:c>
      <x:c r="F218" s="86"/>
      <x:c r="G218" s="86" t="n">
        <x:v>7</x:v>
      </x:c>
      <x:c r="H218" s="86"/>
      <x:c r="I218" s="86" t="n">
        <x:v>17</x:v>
      </x:c>
      <x:c r="J218" s="97" t="n">
        <x:v>0</x:v>
      </x:c>
    </x:row>
    <x:row r="219">
      <x:c r="A219" s="85" t="n">
        <x:v>218</x:v>
      </x:c>
      <x:c r="B219" s="86" t="n">
        <x:v>157</x:v>
      </x:c>
      <x:c r="C219" s="95" t="n">
        <x:v>45045</x:v>
      </x:c>
      <x:c r="D219" s="86" t="str">
        <x:v>Admissão</x:v>
      </x:c>
      <x:c r="E219" s="86" t="str">
        <x:v>Nova contratação</x:v>
      </x:c>
      <x:c r="F219" s="86"/>
      <x:c r="G219" s="86" t="n">
        <x:v>7</x:v>
      </x:c>
      <x:c r="H219" s="86"/>
      <x:c r="I219" s="86" t="n">
        <x:v>7</x:v>
      </x:c>
      <x:c r="J219" s="97" t="n">
        <x:v>0</x:v>
      </x:c>
    </x:row>
    <x:row r="220">
      <x:c r="A220" s="85" t="n">
        <x:v>219</x:v>
      </x:c>
      <x:c r="B220" s="86" t="n">
        <x:v>157</x:v>
      </x:c>
      <x:c r="C220" s="95" t="n">
        <x:v>45847</x:v>
      </x:c>
      <x:c r="D220" s="86" t="str">
        <x:v>Desligamento</x:v>
      </x:c>
      <x:c r="E220" s="86" t="str">
        <x:v>Pedido do colaborador</x:v>
      </x:c>
      <x:c r="F220" s="86" t="n">
        <x:v>7</x:v>
      </x:c>
      <x:c r="G220" s="86"/>
      <x:c r="H220" s="86" t="n">
        <x:v>7</x:v>
      </x:c>
      <x:c r="I220" s="86"/>
      <x:c r="J220" s="97" t="n">
        <x:v>0</x:v>
      </x:c>
    </x:row>
    <x:row r="221">
      <x:c r="A221" s="85" t="n">
        <x:v>220</x:v>
      </x:c>
      <x:c r="B221" s="86" t="n">
        <x:v>158</x:v>
      </x:c>
      <x:c r="C221" s="95" t="n">
        <x:v>45346</x:v>
      </x:c>
      <x:c r="D221" s="86" t="str">
        <x:v>Admissão</x:v>
      </x:c>
      <x:c r="E221" s="86" t="str">
        <x:v>Nova contratação</x:v>
      </x:c>
      <x:c r="F221" s="86"/>
      <x:c r="G221" s="86" t="n">
        <x:v>10</x:v>
      </x:c>
      <x:c r="H221" s="86"/>
      <x:c r="I221" s="86" t="n">
        <x:v>10</x:v>
      </x:c>
      <x:c r="J221" s="97" t="n">
        <x:v>0</x:v>
      </x:c>
    </x:row>
    <x:row r="222">
      <x:c r="A222" s="85" t="n">
        <x:v>221</x:v>
      </x:c>
      <x:c r="B222" s="86" t="n">
        <x:v>158</x:v>
      </x:c>
      <x:c r="C222" s="95" t="n">
        <x:v>45807</x:v>
      </x:c>
      <x:c r="D222" s="86" t="str">
        <x:v>Promoção</x:v>
      </x:c>
      <x:c r="E222" s="86" t="str">
        <x:v>Evolução de carreira</x:v>
      </x:c>
      <x:c r="F222" s="86" t="n">
        <x:v>10</x:v>
      </x:c>
      <x:c r="G222" s="86" t="n">
        <x:v>10</x:v>
      </x:c>
      <x:c r="H222" s="86" t="n">
        <x:v>10</x:v>
      </x:c>
      <x:c r="I222" s="86" t="n">
        <x:v>10</x:v>
      </x:c>
      <x:c r="J222" s="97" t="n">
        <x:v>0.0689</x:v>
      </x:c>
    </x:row>
    <x:row r="223">
      <x:c r="A223" s="85" t="n">
        <x:v>222</x:v>
      </x:c>
      <x:c r="B223" s="86" t="n">
        <x:v>159</x:v>
      </x:c>
      <x:c r="C223" s="95" t="n">
        <x:v>45015</x:v>
      </x:c>
      <x:c r="D223" s="86" t="str">
        <x:v>Admissão</x:v>
      </x:c>
      <x:c r="E223" s="86" t="str">
        <x:v>Nova contratação</x:v>
      </x:c>
      <x:c r="F223" s="86"/>
      <x:c r="G223" s="86" t="n">
        <x:v>10</x:v>
      </x:c>
      <x:c r="H223" s="86"/>
      <x:c r="I223" s="86" t="n">
        <x:v>10</x:v>
      </x:c>
      <x:c r="J223" s="97" t="n">
        <x:v>0</x:v>
      </x:c>
    </x:row>
    <x:row r="224">
      <x:c r="A224" s="85" t="n">
        <x:v>223</x:v>
      </x:c>
      <x:c r="B224" s="86" t="n">
        <x:v>160</x:v>
      </x:c>
      <x:c r="C224" s="95" t="n">
        <x:v>45120</x:v>
      </x:c>
      <x:c r="D224" s="86" t="str">
        <x:v>Admissão</x:v>
      </x:c>
      <x:c r="E224" s="86" t="str">
        <x:v>Nova contratação</x:v>
      </x:c>
      <x:c r="F224" s="86"/>
      <x:c r="G224" s="86" t="n">
        <x:v>8</x:v>
      </x:c>
      <x:c r="H224" s="86"/>
      <x:c r="I224" s="86" t="n">
        <x:v>20</x:v>
      </x:c>
      <x:c r="J224" s="97" t="n">
        <x:v>0</x:v>
      </x:c>
    </x:row>
    <x:row r="225">
      <x:c r="A225" s="85" t="n">
        <x:v>224</x:v>
      </x:c>
      <x:c r="B225" s="86" t="n">
        <x:v>160</x:v>
      </x:c>
      <x:c r="C225" s="95" t="n">
        <x:v>45359</x:v>
      </x:c>
      <x:c r="D225" s="86" t="str">
        <x:v>Promoção</x:v>
      </x:c>
      <x:c r="E225" s="86" t="str">
        <x:v>Evolução de carreira</x:v>
      </x:c>
      <x:c r="F225" s="86" t="n">
        <x:v>8</x:v>
      </x:c>
      <x:c r="G225" s="86" t="n">
        <x:v>8</x:v>
      </x:c>
      <x:c r="H225" s="86" t="n">
        <x:v>20</x:v>
      </x:c>
      <x:c r="I225" s="86" t="n">
        <x:v>20</x:v>
      </x:c>
      <x:c r="J225" s="97" t="n">
        <x:v>0.1723</x:v>
      </x:c>
    </x:row>
    <x:row r="226">
      <x:c r="A226" s="85" t="n">
        <x:v>225</x:v>
      </x:c>
      <x:c r="B226" s="86" t="n">
        <x:v>161</x:v>
      </x:c>
      <x:c r="C226" s="95" t="n">
        <x:v>45070</x:v>
      </x:c>
      <x:c r="D226" s="86" t="str">
        <x:v>Admissão</x:v>
      </x:c>
      <x:c r="E226" s="86" t="str">
        <x:v>Nova contratação</x:v>
      </x:c>
      <x:c r="F226" s="86"/>
      <x:c r="G226" s="86" t="n">
        <x:v>1</x:v>
      </x:c>
      <x:c r="H226" s="86"/>
      <x:c r="I226" s="86" t="n">
        <x:v>1</x:v>
      </x:c>
      <x:c r="J226" s="97" t="n">
        <x:v>0</x:v>
      </x:c>
    </x:row>
    <x:row r="227">
      <x:c r="A227" s="85" t="n">
        <x:v>226</x:v>
      </x:c>
      <x:c r="B227" s="86" t="n">
        <x:v>162</x:v>
      </x:c>
      <x:c r="C227" s="95" t="n">
        <x:v>45401</x:v>
      </x:c>
      <x:c r="D227" s="86" t="str">
        <x:v>Admissão</x:v>
      </x:c>
      <x:c r="E227" s="86" t="str">
        <x:v>Nova contratação</x:v>
      </x:c>
      <x:c r="F227" s="86"/>
      <x:c r="G227" s="86" t="n">
        <x:v>10</x:v>
      </x:c>
      <x:c r="H227" s="86"/>
      <x:c r="I227" s="86" t="n">
        <x:v>10</x:v>
      </x:c>
      <x:c r="J227" s="97" t="n">
        <x:v>0</x:v>
      </x:c>
    </x:row>
    <x:row r="228">
      <x:c r="A228" s="85" t="n">
        <x:v>227</x:v>
      </x:c>
      <x:c r="B228" s="86" t="n">
        <x:v>162</x:v>
      </x:c>
      <x:c r="C228" s="95" t="n">
        <x:v>45919</x:v>
      </x:c>
      <x:c r="D228" s="86" t="str">
        <x:v>Desligamento</x:v>
      </x:c>
      <x:c r="E228" s="86" t="str">
        <x:v>Reestruturação</x:v>
      </x:c>
      <x:c r="F228" s="86" t="n">
        <x:v>10</x:v>
      </x:c>
      <x:c r="G228" s="86"/>
      <x:c r="H228" s="86" t="n">
        <x:v>10</x:v>
      </x:c>
      <x:c r="I228" s="86"/>
      <x:c r="J228" s="97" t="n">
        <x:v>0</x:v>
      </x:c>
    </x:row>
    <x:row r="229">
      <x:c r="A229" s="85" t="n">
        <x:v>228</x:v>
      </x:c>
      <x:c r="B229" s="86" t="n">
        <x:v>163</x:v>
      </x:c>
      <x:c r="C229" s="95" t="n">
        <x:v>45398</x:v>
      </x:c>
      <x:c r="D229" s="86" t="str">
        <x:v>Admissão</x:v>
      </x:c>
      <x:c r="E229" s="86" t="str">
        <x:v>Nova contratação</x:v>
      </x:c>
      <x:c r="F229" s="86"/>
      <x:c r="G229" s="86" t="n">
        <x:v>3</x:v>
      </x:c>
      <x:c r="H229" s="86"/>
      <x:c r="I229" s="86" t="n">
        <x:v>3</x:v>
      </x:c>
      <x:c r="J229" s="97" t="n">
        <x:v>0</x:v>
      </x:c>
    </x:row>
    <x:row r="230">
      <x:c r="A230" s="85" t="n">
        <x:v>229</x:v>
      </x:c>
      <x:c r="B230" s="86" t="n">
        <x:v>164</x:v>
      </x:c>
      <x:c r="C230" s="95" t="n">
        <x:v>45936</x:v>
      </x:c>
      <x:c r="D230" s="86" t="str">
        <x:v>Admissão</x:v>
      </x:c>
      <x:c r="E230" s="86" t="str">
        <x:v>Nova contratação</x:v>
      </x:c>
      <x:c r="F230" s="86"/>
      <x:c r="G230" s="86" t="n">
        <x:v>10</x:v>
      </x:c>
      <x:c r="H230" s="86"/>
      <x:c r="I230" s="86" t="n">
        <x:v>10</x:v>
      </x:c>
      <x:c r="J230" s="97" t="n">
        <x:v>0</x:v>
      </x:c>
    </x:row>
    <x:row r="231">
      <x:c r="A231" s="85" t="n">
        <x:v>230</x:v>
      </x:c>
      <x:c r="B231" s="86" t="n">
        <x:v>165</x:v>
      </x:c>
      <x:c r="C231" s="95" t="n">
        <x:v>45932</x:v>
      </x:c>
      <x:c r="D231" s="86" t="str">
        <x:v>Admissão</x:v>
      </x:c>
      <x:c r="E231" s="86" t="str">
        <x:v>Nova contratação</x:v>
      </x:c>
      <x:c r="F231" s="86"/>
      <x:c r="G231" s="86" t="n">
        <x:v>4</x:v>
      </x:c>
      <x:c r="H231" s="86"/>
      <x:c r="I231" s="86" t="n">
        <x:v>4</x:v>
      </x:c>
      <x:c r="J231" s="97" t="n">
        <x:v>0</x:v>
      </x:c>
    </x:row>
    <x:row r="232">
      <x:c r="A232" s="85" t="n">
        <x:v>231</x:v>
      </x:c>
      <x:c r="B232" s="86" t="n">
        <x:v>166</x:v>
      </x:c>
      <x:c r="C232" s="95" t="n">
        <x:v>45887</x:v>
      </x:c>
      <x:c r="D232" s="86" t="str">
        <x:v>Admissão</x:v>
      </x:c>
      <x:c r="E232" s="86" t="str">
        <x:v>Nova contratação</x:v>
      </x:c>
      <x:c r="F232" s="86"/>
      <x:c r="G232" s="86" t="n">
        <x:v>1</x:v>
      </x:c>
      <x:c r="H232" s="86"/>
      <x:c r="I232" s="86" t="n">
        <x:v>1</x:v>
      </x:c>
      <x:c r="J232" s="97" t="n">
        <x:v>0</x:v>
      </x:c>
    </x:row>
    <x:row r="233">
      <x:c r="A233" s="85" t="n">
        <x:v>232</x:v>
      </x:c>
      <x:c r="B233" s="86" t="n">
        <x:v>167</x:v>
      </x:c>
      <x:c r="C233" s="95" t="n">
        <x:v>45891</x:v>
      </x:c>
      <x:c r="D233" s="86" t="str">
        <x:v>Admissão</x:v>
      </x:c>
      <x:c r="E233" s="86" t="str">
        <x:v>Nova contratação</x:v>
      </x:c>
      <x:c r="F233" s="86"/>
      <x:c r="G233" s="86" t="n">
        <x:v>10</x:v>
      </x:c>
      <x:c r="H233" s="86"/>
      <x:c r="I233" s="86" t="n">
        <x:v>20</x:v>
      </x:c>
      <x:c r="J233" s="97" t="n">
        <x:v>0</x:v>
      </x:c>
    </x:row>
    <x:row r="234">
      <x:c r="A234" s="85" t="n">
        <x:v>233</x:v>
      </x:c>
      <x:c r="B234" s="86" t="n">
        <x:v>167</x:v>
      </x:c>
      <x:c r="C234" s="95" t="n">
        <x:v>45993</x:v>
      </x:c>
      <x:c r="D234" s="86" t="str">
        <x:v>Desligamento</x:v>
      </x:c>
      <x:c r="E234" s="86" t="str">
        <x:v>Fim de contrato</x:v>
      </x:c>
      <x:c r="F234" s="86" t="n">
        <x:v>10</x:v>
      </x:c>
      <x:c r="G234" s="86"/>
      <x:c r="H234" s="86" t="n">
        <x:v>20</x:v>
      </x:c>
      <x:c r="I234" s="86"/>
      <x:c r="J234" s="97" t="n">
        <x:v>0</x:v>
      </x:c>
    </x:row>
    <x:row r="235">
      <x:c r="A235" s="85" t="n">
        <x:v>234</x:v>
      </x:c>
      <x:c r="B235" s="86" t="n">
        <x:v>168</x:v>
      </x:c>
      <x:c r="C235" s="95" t="n">
        <x:v>45413</x:v>
      </x:c>
      <x:c r="D235" s="86" t="str">
        <x:v>Admissão</x:v>
      </x:c>
      <x:c r="E235" s="86" t="str">
        <x:v>Nova contratação</x:v>
      </x:c>
      <x:c r="F235" s="86"/>
      <x:c r="G235" s="86" t="n">
        <x:v>8</x:v>
      </x:c>
      <x:c r="H235" s="86"/>
      <x:c r="I235" s="86" t="n">
        <x:v>8</x:v>
      </x:c>
      <x:c r="J235" s="97" t="n">
        <x:v>0</x:v>
      </x:c>
    </x:row>
    <x:row r="236">
      <x:c r="A236" s="85" t="n">
        <x:v>235</x:v>
      </x:c>
      <x:c r="B236" s="86" t="n">
        <x:v>169</x:v>
      </x:c>
      <x:c r="C236" s="95" t="n">
        <x:v>45688</x:v>
      </x:c>
      <x:c r="D236" s="86" t="str">
        <x:v>Admissão</x:v>
      </x:c>
      <x:c r="E236" s="86" t="str">
        <x:v>Nova contratação</x:v>
      </x:c>
      <x:c r="F236" s="86"/>
      <x:c r="G236" s="86" t="n">
        <x:v>10</x:v>
      </x:c>
      <x:c r="H236" s="86"/>
      <x:c r="I236" s="86" t="n">
        <x:v>10</x:v>
      </x:c>
      <x:c r="J236" s="97" t="n">
        <x:v>0</x:v>
      </x:c>
    </x:row>
    <x:row r="237">
      <x:c r="A237" s="85" t="n">
        <x:v>236</x:v>
      </x:c>
      <x:c r="B237" s="86" t="n">
        <x:v>169</x:v>
      </x:c>
      <x:c r="C237" s="95" t="n">
        <x:v>45991</x:v>
      </x:c>
      <x:c r="D237" s="86" t="str">
        <x:v>Desligamento</x:v>
      </x:c>
      <x:c r="E237" s="86" t="str">
        <x:v>Reestruturação</x:v>
      </x:c>
      <x:c r="F237" s="86" t="n">
        <x:v>10</x:v>
      </x:c>
      <x:c r="G237" s="86"/>
      <x:c r="H237" s="86" t="n">
        <x:v>10</x:v>
      </x:c>
      <x:c r="I237" s="86"/>
      <x:c r="J237" s="97" t="n">
        <x:v>0</x:v>
      </x:c>
    </x:row>
    <x:row r="238">
      <x:c r="A238" s="85" t="n">
        <x:v>237</x:v>
      </x:c>
      <x:c r="B238" s="86" t="n">
        <x:v>170</x:v>
      </x:c>
      <x:c r="C238" s="95" t="n">
        <x:v>45219</x:v>
      </x:c>
      <x:c r="D238" s="86" t="str">
        <x:v>Admissão</x:v>
      </x:c>
      <x:c r="E238" s="86" t="str">
        <x:v>Nova contratação</x:v>
      </x:c>
      <x:c r="F238" s="86"/>
      <x:c r="G238" s="86" t="n">
        <x:v>4</x:v>
      </x:c>
      <x:c r="H238" s="86"/>
      <x:c r="I238" s="86" t="n">
        <x:v>4</x:v>
      </x:c>
      <x:c r="J238" s="97" t="n">
        <x:v>0</x:v>
      </x:c>
    </x:row>
    <x:row r="239">
      <x:c r="A239" s="85" t="n">
        <x:v>238</x:v>
      </x:c>
      <x:c r="B239" s="86" t="n">
        <x:v>171</x:v>
      </x:c>
      <x:c r="C239" s="95" t="n">
        <x:v>45600</x:v>
      </x:c>
      <x:c r="D239" s="86" t="str">
        <x:v>Admissão</x:v>
      </x:c>
      <x:c r="E239" s="86" t="str">
        <x:v>Nova contratação</x:v>
      </x:c>
      <x:c r="F239" s="86"/>
      <x:c r="G239" s="86" t="n">
        <x:v>10</x:v>
      </x:c>
      <x:c r="H239" s="86"/>
      <x:c r="I239" s="86" t="n">
        <x:v>10</x:v>
      </x:c>
      <x:c r="J239" s="97" t="n">
        <x:v>0</x:v>
      </x:c>
    </x:row>
    <x:row r="240">
      <x:c r="A240" s="85" t="n">
        <x:v>239</x:v>
      </x:c>
      <x:c r="B240" s="86" t="n">
        <x:v>171</x:v>
      </x:c>
      <x:c r="C240" s="95" t="n">
        <x:v>45806</x:v>
      </x:c>
      <x:c r="D240" s="86" t="str">
        <x:v>Desligamento</x:v>
      </x:c>
      <x:c r="E240" s="86" t="str">
        <x:v>Pedido do colaborador</x:v>
      </x:c>
      <x:c r="F240" s="86" t="n">
        <x:v>10</x:v>
      </x:c>
      <x:c r="G240" s="86"/>
      <x:c r="H240" s="86" t="n">
        <x:v>10</x:v>
      </x:c>
      <x:c r="I240" s="86"/>
      <x:c r="J240" s="97" t="n">
        <x:v>0</x:v>
      </x:c>
    </x:row>
    <x:row r="241">
      <x:c r="A241" s="85" t="n">
        <x:v>240</x:v>
      </x:c>
      <x:c r="B241" s="86" t="n">
        <x:v>172</x:v>
      </x:c>
      <x:c r="C241" s="95" t="n">
        <x:v>45054</x:v>
      </x:c>
      <x:c r="D241" s="86" t="str">
        <x:v>Admissão</x:v>
      </x:c>
      <x:c r="E241" s="86" t="str">
        <x:v>Nova contratação</x:v>
      </x:c>
      <x:c r="F241" s="86"/>
      <x:c r="G241" s="86" t="n">
        <x:v>1</x:v>
      </x:c>
      <x:c r="H241" s="86"/>
      <x:c r="I241" s="86" t="n">
        <x:v>1</x:v>
      </x:c>
      <x:c r="J241" s="97" t="n">
        <x:v>0</x:v>
      </x:c>
    </x:row>
    <x:row r="242">
      <x:c r="A242" s="85" t="n">
        <x:v>241</x:v>
      </x:c>
      <x:c r="B242" s="86" t="n">
        <x:v>172</x:v>
      </x:c>
      <x:c r="C242" s="95" t="n">
        <x:v>45949</x:v>
      </x:c>
      <x:c r="D242" s="86" t="str">
        <x:v>Desligamento</x:v>
      </x:c>
      <x:c r="E242" s="86" t="str">
        <x:v>Reestruturação</x:v>
      </x:c>
      <x:c r="F242" s="86" t="n">
        <x:v>1</x:v>
      </x:c>
      <x:c r="G242" s="86"/>
      <x:c r="H242" s="86" t="n">
        <x:v>1</x:v>
      </x:c>
      <x:c r="I242" s="86"/>
      <x:c r="J242" s="97" t="n">
        <x:v>0</x:v>
      </x:c>
    </x:row>
    <x:row r="243">
      <x:c r="A243" s="85" t="n">
        <x:v>242</x:v>
      </x:c>
      <x:c r="B243" s="86" t="n">
        <x:v>173</x:v>
      </x:c>
      <x:c r="C243" s="95" t="n">
        <x:v>45270</x:v>
      </x:c>
      <x:c r="D243" s="86" t="str">
        <x:v>Admissão</x:v>
      </x:c>
      <x:c r="E243" s="86" t="str">
        <x:v>Nova contratação</x:v>
      </x:c>
      <x:c r="F243" s="86"/>
      <x:c r="G243" s="86" t="n">
        <x:v>8</x:v>
      </x:c>
      <x:c r="H243" s="86"/>
      <x:c r="I243" s="86" t="n">
        <x:v>8</x:v>
      </x:c>
      <x:c r="J243" s="97" t="n">
        <x:v>0</x:v>
      </x:c>
    </x:row>
    <x:row r="244">
      <x:c r="A244" s="85" t="n">
        <x:v>243</x:v>
      </x:c>
      <x:c r="B244" s="86" t="n">
        <x:v>174</x:v>
      </x:c>
      <x:c r="C244" s="95" t="n">
        <x:v>45164</x:v>
      </x:c>
      <x:c r="D244" s="86" t="str">
        <x:v>Admissão</x:v>
      </x:c>
      <x:c r="E244" s="86" t="str">
        <x:v>Nova contratação</x:v>
      </x:c>
      <x:c r="F244" s="86"/>
      <x:c r="G244" s="86" t="n">
        <x:v>2</x:v>
      </x:c>
      <x:c r="H244" s="86"/>
      <x:c r="I244" s="86" t="n">
        <x:v>2</x:v>
      </x:c>
      <x:c r="J244" s="97" t="n">
        <x:v>0</x:v>
      </x:c>
    </x:row>
    <x:row r="245">
      <x:c r="A245" s="85" t="n">
        <x:v>244</x:v>
      </x:c>
      <x:c r="B245" s="86" t="n">
        <x:v>174</x:v>
      </x:c>
      <x:c r="C245" s="95" t="n">
        <x:v>45806</x:v>
      </x:c>
      <x:c r="D245" s="86" t="str">
        <x:v>Promoção</x:v>
      </x:c>
      <x:c r="E245" s="86" t="str">
        <x:v>Evolução de carreira</x:v>
      </x:c>
      <x:c r="F245" s="86" t="n">
        <x:v>2</x:v>
      </x:c>
      <x:c r="G245" s="86" t="n">
        <x:v>2</x:v>
      </x:c>
      <x:c r="H245" s="86" t="n">
        <x:v>2</x:v>
      </x:c>
      <x:c r="I245" s="86" t="n">
        <x:v>2</x:v>
      </x:c>
      <x:c r="J245" s="97" t="n">
        <x:v>0.1354</x:v>
      </x:c>
    </x:row>
    <x:row r="246">
      <x:c r="A246" s="85" t="n">
        <x:v>245</x:v>
      </x:c>
      <x:c r="B246" s="86" t="n">
        <x:v>175</x:v>
      </x:c>
      <x:c r="C246" s="95" t="n">
        <x:v>45862</x:v>
      </x:c>
      <x:c r="D246" s="86" t="str">
        <x:v>Admissão</x:v>
      </x:c>
      <x:c r="E246" s="86" t="str">
        <x:v>Nova contratação</x:v>
      </x:c>
      <x:c r="F246" s="86"/>
      <x:c r="G246" s="86" t="n">
        <x:v>9</x:v>
      </x:c>
      <x:c r="H246" s="86"/>
      <x:c r="I246" s="86" t="n">
        <x:v>9</x:v>
      </x:c>
      <x:c r="J246" s="97" t="n">
        <x:v>0</x:v>
      </x:c>
    </x:row>
    <x:row r="247">
      <x:c r="A247" s="85" t="n">
        <x:v>246</x:v>
      </x:c>
      <x:c r="B247" s="86" t="n">
        <x:v>176</x:v>
      </x:c>
      <x:c r="C247" s="95" t="n">
        <x:v>45838</x:v>
      </x:c>
      <x:c r="D247" s="86" t="str">
        <x:v>Admissão</x:v>
      </x:c>
      <x:c r="E247" s="86" t="str">
        <x:v>Nova contratação</x:v>
      </x:c>
      <x:c r="F247" s="86"/>
      <x:c r="G247" s="86" t="n">
        <x:v>10</x:v>
      </x:c>
      <x:c r="H247" s="86"/>
      <x:c r="I247" s="86" t="n">
        <x:v>10</x:v>
      </x:c>
      <x:c r="J247" s="97" t="n">
        <x:v>0</x:v>
      </x:c>
    </x:row>
    <x:row r="248">
      <x:c r="A248" s="85" t="n">
        <x:v>247</x:v>
      </x:c>
      <x:c r="B248" s="86" t="n">
        <x:v>177</x:v>
      </x:c>
      <x:c r="C248" s="95" t="n">
        <x:v>45606</x:v>
      </x:c>
      <x:c r="D248" s="86" t="str">
        <x:v>Admissão</x:v>
      </x:c>
      <x:c r="E248" s="86" t="str">
        <x:v>Nova contratação</x:v>
      </x:c>
      <x:c r="F248" s="86"/>
      <x:c r="G248" s="86" t="n">
        <x:v>3</x:v>
      </x:c>
      <x:c r="H248" s="86"/>
      <x:c r="I248" s="86" t="n">
        <x:v>13</x:v>
      </x:c>
      <x:c r="J248" s="97" t="n">
        <x:v>0</x:v>
      </x:c>
    </x:row>
    <x:row r="249">
      <x:c r="A249" s="85" t="n">
        <x:v>248</x:v>
      </x:c>
      <x:c r="B249" s="86" t="n">
        <x:v>178</x:v>
      </x:c>
      <x:c r="C249" s="95" t="n">
        <x:v>45584</x:v>
      </x:c>
      <x:c r="D249" s="86" t="str">
        <x:v>Admissão</x:v>
      </x:c>
      <x:c r="E249" s="86" t="str">
        <x:v>Nova contratação</x:v>
      </x:c>
      <x:c r="F249" s="86"/>
      <x:c r="G249" s="86" t="n">
        <x:v>2</x:v>
      </x:c>
      <x:c r="H249" s="86"/>
      <x:c r="I249" s="86" t="n">
        <x:v>2</x:v>
      </x:c>
      <x:c r="J249" s="97" t="n">
        <x:v>0</x:v>
      </x:c>
    </x:row>
    <x:row r="250">
      <x:c r="A250" s="85" t="n">
        <x:v>249</x:v>
      </x:c>
      <x:c r="B250" s="86" t="n">
        <x:v>179</x:v>
      </x:c>
      <x:c r="C250" s="95" t="n">
        <x:v>45735</x:v>
      </x:c>
      <x:c r="D250" s="86" t="str">
        <x:v>Admissão</x:v>
      </x:c>
      <x:c r="E250" s="86" t="str">
        <x:v>Nova contratação</x:v>
      </x:c>
      <x:c r="F250" s="86"/>
      <x:c r="G250" s="86" t="n">
        <x:v>8</x:v>
      </x:c>
      <x:c r="H250" s="86"/>
      <x:c r="I250" s="86" t="n">
        <x:v>8</x:v>
      </x:c>
      <x:c r="J250" s="97" t="n">
        <x:v>0</x:v>
      </x:c>
    </x:row>
    <x:row r="251">
      <x:c r="A251" s="85" t="n">
        <x:v>250</x:v>
      </x:c>
      <x:c r="B251" s="86" t="n">
        <x:v>180</x:v>
      </x:c>
      <x:c r="C251" s="95" t="n">
        <x:v>45323</x:v>
      </x:c>
      <x:c r="D251" s="86" t="str">
        <x:v>Admissão</x:v>
      </x:c>
      <x:c r="E251" s="86" t="str">
        <x:v>Nova contratação</x:v>
      </x:c>
      <x:c r="F251" s="86"/>
      <x:c r="G251" s="86" t="n">
        <x:v>10</x:v>
      </x:c>
      <x:c r="H251" s="86"/>
      <x:c r="I251" s="86" t="n">
        <x:v>10</x:v>
      </x:c>
      <x:c r="J251" s="97" t="n">
        <x:v>0</x:v>
      </x:c>
    </x:row>
    <x:row r="252">
      <x:c r="A252" s="85" t="n">
        <x:v>251</x:v>
      </x:c>
      <x:c r="B252" s="86" t="n">
        <x:v>181</x:v>
      </x:c>
      <x:c r="C252" s="95" t="n">
        <x:v>45790</x:v>
      </x:c>
      <x:c r="D252" s="86" t="str">
        <x:v>Admissão</x:v>
      </x:c>
      <x:c r="E252" s="86" t="str">
        <x:v>Nova contratação</x:v>
      </x:c>
      <x:c r="F252" s="86"/>
      <x:c r="G252" s="86" t="n">
        <x:v>6</x:v>
      </x:c>
      <x:c r="H252" s="86"/>
      <x:c r="I252" s="86" t="n">
        <x:v>6</x:v>
      </x:c>
      <x:c r="J252" s="97" t="n">
        <x:v>0</x:v>
      </x:c>
    </x:row>
    <x:row r="253">
      <x:c r="A253" s="85" t="n">
        <x:v>252</x:v>
      </x:c>
      <x:c r="B253" s="86" t="n">
        <x:v>181</x:v>
      </x:c>
      <x:c r="C253" s="95" t="n">
        <x:v>46017</x:v>
      </x:c>
      <x:c r="D253" s="86" t="str">
        <x:v>Promoção</x:v>
      </x:c>
      <x:c r="E253" s="86" t="str">
        <x:v>Evolução de carreira</x:v>
      </x:c>
      <x:c r="F253" s="86" t="n">
        <x:v>6</x:v>
      </x:c>
      <x:c r="G253" s="86" t="n">
        <x:v>6</x:v>
      </x:c>
      <x:c r="H253" s="86" t="n">
        <x:v>6</x:v>
      </x:c>
      <x:c r="I253" s="86" t="n">
        <x:v>6</x:v>
      </x:c>
      <x:c r="J253" s="97" t="n">
        <x:v>0.071</x:v>
      </x:c>
    </x:row>
    <x:row r="254">
      <x:c r="A254" s="85" t="n">
        <x:v>253</x:v>
      </x:c>
      <x:c r="B254" s="86" t="n">
        <x:v>182</x:v>
      </x:c>
      <x:c r="C254" s="95" t="n">
        <x:v>45192</x:v>
      </x:c>
      <x:c r="D254" s="86" t="str">
        <x:v>Admissão</x:v>
      </x:c>
      <x:c r="E254" s="86" t="str">
        <x:v>Nova contratação</x:v>
      </x:c>
      <x:c r="F254" s="86"/>
      <x:c r="G254" s="86" t="n">
        <x:v>1</x:v>
      </x:c>
      <x:c r="H254" s="86"/>
      <x:c r="I254" s="86" t="n">
        <x:v>1</x:v>
      </x:c>
      <x:c r="J254" s="97" t="n">
        <x:v>0</x:v>
      </x:c>
    </x:row>
    <x:row r="255">
      <x:c r="A255" s="85" t="n">
        <x:v>254</x:v>
      </x:c>
      <x:c r="B255" s="86" t="n">
        <x:v>182</x:v>
      </x:c>
      <x:c r="C255" s="95" t="n">
        <x:v>45491</x:v>
      </x:c>
      <x:c r="D255" s="86" t="str">
        <x:v>Promoção</x:v>
      </x:c>
      <x:c r="E255" s="86" t="str">
        <x:v>Evolução de carreira</x:v>
      </x:c>
      <x:c r="F255" s="86" t="n">
        <x:v>1</x:v>
      </x:c>
      <x:c r="G255" s="86" t="n">
        <x:v>1</x:v>
      </x:c>
      <x:c r="H255" s="86" t="n">
        <x:v>1</x:v>
      </x:c>
      <x:c r="I255" s="86" t="n">
        <x:v>1</x:v>
      </x:c>
      <x:c r="J255" s="97" t="n">
        <x:v>0.1407</x:v>
      </x:c>
    </x:row>
    <x:row r="256">
      <x:c r="A256" s="85" t="n">
        <x:v>255</x:v>
      </x:c>
      <x:c r="B256" s="86" t="n">
        <x:v>183</x:v>
      </x:c>
      <x:c r="C256" s="95" t="n">
        <x:v>45076</x:v>
      </x:c>
      <x:c r="D256" s="86" t="str">
        <x:v>Admissão</x:v>
      </x:c>
      <x:c r="E256" s="86" t="str">
        <x:v>Nova contratação</x:v>
      </x:c>
      <x:c r="F256" s="86"/>
      <x:c r="G256" s="86" t="n">
        <x:v>1</x:v>
      </x:c>
      <x:c r="H256" s="86"/>
      <x:c r="I256" s="86" t="n">
        <x:v>1</x:v>
      </x:c>
      <x:c r="J256" s="97" t="n">
        <x:v>0</x:v>
      </x:c>
    </x:row>
    <x:row r="257">
      <x:c r="A257" s="85" t="n">
        <x:v>256</x:v>
      </x:c>
      <x:c r="B257" s="86" t="n">
        <x:v>184</x:v>
      </x:c>
      <x:c r="C257" s="95" t="n">
        <x:v>45332</x:v>
      </x:c>
      <x:c r="D257" s="86" t="str">
        <x:v>Admissão</x:v>
      </x:c>
      <x:c r="E257" s="86" t="str">
        <x:v>Nova contratação</x:v>
      </x:c>
      <x:c r="F257" s="86"/>
      <x:c r="G257" s="86" t="n">
        <x:v>1</x:v>
      </x:c>
      <x:c r="H257" s="86"/>
      <x:c r="I257" s="86" t="n">
        <x:v>1</x:v>
      </x:c>
      <x:c r="J257" s="97" t="n">
        <x:v>0</x:v>
      </x:c>
    </x:row>
    <x:row r="258">
      <x:c r="A258" s="85" t="n">
        <x:v>257</x:v>
      </x:c>
      <x:c r="B258" s="86" t="n">
        <x:v>185</x:v>
      </x:c>
      <x:c r="C258" s="95" t="n">
        <x:v>45460</x:v>
      </x:c>
      <x:c r="D258" s="86" t="str">
        <x:v>Admissão</x:v>
      </x:c>
      <x:c r="E258" s="86" t="str">
        <x:v>Nova contratação</x:v>
      </x:c>
      <x:c r="F258" s="86"/>
      <x:c r="G258" s="86" t="n">
        <x:v>1</x:v>
      </x:c>
      <x:c r="H258" s="86"/>
      <x:c r="I258" s="86" t="n">
        <x:v>11</x:v>
      </x:c>
      <x:c r="J258" s="97" t="n">
        <x:v>0</x:v>
      </x:c>
    </x:row>
    <x:row r="259">
      <x:c r="A259" s="85" t="n">
        <x:v>258</x:v>
      </x:c>
      <x:c r="B259" s="86" t="n">
        <x:v>186</x:v>
      </x:c>
      <x:c r="C259" s="95" t="n">
        <x:v>45080</x:v>
      </x:c>
      <x:c r="D259" s="86" t="str">
        <x:v>Admissão</x:v>
      </x:c>
      <x:c r="E259" s="86" t="str">
        <x:v>Nova contratação</x:v>
      </x:c>
      <x:c r="F259" s="86"/>
      <x:c r="G259" s="86" t="n">
        <x:v>2</x:v>
      </x:c>
      <x:c r="H259" s="86"/>
      <x:c r="I259" s="86" t="n">
        <x:v>2</x:v>
      </x:c>
      <x:c r="J259" s="97" t="n">
        <x:v>0</x:v>
      </x:c>
    </x:row>
    <x:row r="260">
      <x:c r="A260" s="85" t="n">
        <x:v>259</x:v>
      </x:c>
      <x:c r="B260" s="86" t="n">
        <x:v>186</x:v>
      </x:c>
      <x:c r="C260" s="95" t="n">
        <x:v>45154</x:v>
      </x:c>
      <x:c r="D260" s="86" t="str">
        <x:v>Desligamento</x:v>
      </x:c>
      <x:c r="E260" s="86" t="str">
        <x:v>Desempenho</x:v>
      </x:c>
      <x:c r="F260" s="86" t="n">
        <x:v>2</x:v>
      </x:c>
      <x:c r="G260" s="86"/>
      <x:c r="H260" s="86" t="n">
        <x:v>2</x:v>
      </x:c>
      <x:c r="I260" s="86"/>
      <x:c r="J260" s="97" t="n">
        <x:v>0</x:v>
      </x:c>
    </x:row>
    <x:row r="261">
      <x:c r="A261" s="85" t="n">
        <x:v>260</x:v>
      </x:c>
      <x:c r="B261" s="86" t="n">
        <x:v>187</x:v>
      </x:c>
      <x:c r="C261" s="95" t="n">
        <x:v>45906</x:v>
      </x:c>
      <x:c r="D261" s="86" t="str">
        <x:v>Admissão</x:v>
      </x:c>
      <x:c r="E261" s="86" t="str">
        <x:v>Nova contratação</x:v>
      </x:c>
      <x:c r="F261" s="86"/>
      <x:c r="G261" s="86" t="n">
        <x:v>8</x:v>
      </x:c>
      <x:c r="H261" s="86"/>
      <x:c r="I261" s="86" t="n">
        <x:v>8</x:v>
      </x:c>
      <x:c r="J261" s="97" t="n">
        <x:v>0</x:v>
      </x:c>
    </x:row>
    <x:row r="262">
      <x:c r="A262" s="85" t="n">
        <x:v>261</x:v>
      </x:c>
      <x:c r="B262" s="86" t="n">
        <x:v>188</x:v>
      </x:c>
      <x:c r="C262" s="95" t="n">
        <x:v>45287</x:v>
      </x:c>
      <x:c r="D262" s="86" t="str">
        <x:v>Admissão</x:v>
      </x:c>
      <x:c r="E262" s="86" t="str">
        <x:v>Nova contratação</x:v>
      </x:c>
      <x:c r="F262" s="86"/>
      <x:c r="G262" s="86" t="n">
        <x:v>1</x:v>
      </x:c>
      <x:c r="H262" s="86"/>
      <x:c r="I262" s="86" t="n">
        <x:v>1</x:v>
      </x:c>
      <x:c r="J262" s="97" t="n">
        <x:v>0</x:v>
      </x:c>
    </x:row>
    <x:row r="263">
      <x:c r="A263" s="85" t="n">
        <x:v>262</x:v>
      </x:c>
      <x:c r="B263" s="86" t="n">
        <x:v>189</x:v>
      </x:c>
      <x:c r="C263" s="95" t="n">
        <x:v>45870</x:v>
      </x:c>
      <x:c r="D263" s="86" t="str">
        <x:v>Admissão</x:v>
      </x:c>
      <x:c r="E263" s="86" t="str">
        <x:v>Nova contratação</x:v>
      </x:c>
      <x:c r="F263" s="86"/>
      <x:c r="G263" s="86" t="n">
        <x:v>9</x:v>
      </x:c>
      <x:c r="H263" s="86"/>
      <x:c r="I263" s="86" t="n">
        <x:v>19</x:v>
      </x:c>
      <x:c r="J263" s="97" t="n">
        <x:v>0</x:v>
      </x:c>
    </x:row>
    <x:row r="264">
      <x:c r="A264" s="85" t="n">
        <x:v>263</x:v>
      </x:c>
      <x:c r="B264" s="86" t="n">
        <x:v>190</x:v>
      </x:c>
      <x:c r="C264" s="95" t="n">
        <x:v>45910</x:v>
      </x:c>
      <x:c r="D264" s="86" t="str">
        <x:v>Admissão</x:v>
      </x:c>
      <x:c r="E264" s="86" t="str">
        <x:v>Nova contratação</x:v>
      </x:c>
      <x:c r="F264" s="86"/>
      <x:c r="G264" s="86" t="n">
        <x:v>9</x:v>
      </x:c>
      <x:c r="H264" s="86"/>
      <x:c r="I264" s="86" t="n">
        <x:v>9</x:v>
      </x:c>
      <x:c r="J264" s="97" t="n">
        <x:v>0</x:v>
      </x:c>
    </x:row>
    <x:row r="265">
      <x:c r="A265" s="85" t="n">
        <x:v>264</x:v>
      </x:c>
      <x:c r="B265" s="86" t="n">
        <x:v>191</x:v>
      </x:c>
      <x:c r="C265" s="95" t="n">
        <x:v>45033</x:v>
      </x:c>
      <x:c r="D265" s="86" t="str">
        <x:v>Admissão</x:v>
      </x:c>
      <x:c r="E265" s="86" t="str">
        <x:v>Nova contratação</x:v>
      </x:c>
      <x:c r="F265" s="86"/>
      <x:c r="G265" s="86" t="n">
        <x:v>10</x:v>
      </x:c>
      <x:c r="H265" s="86"/>
      <x:c r="I265" s="86" t="n">
        <x:v>10</x:v>
      </x:c>
      <x:c r="J265" s="97" t="n">
        <x:v>0</x:v>
      </x:c>
    </x:row>
    <x:row r="266">
      <x:c r="A266" s="85" t="n">
        <x:v>265</x:v>
      </x:c>
      <x:c r="B266" s="86" t="n">
        <x:v>191</x:v>
      </x:c>
      <x:c r="C266" s="95" t="n">
        <x:v>45811</x:v>
      </x:c>
      <x:c r="D266" s="86" t="str">
        <x:v>Promoção</x:v>
      </x:c>
      <x:c r="E266" s="86" t="str">
        <x:v>Evolução de carreira</x:v>
      </x:c>
      <x:c r="F266" s="86" t="n">
        <x:v>10</x:v>
      </x:c>
      <x:c r="G266" s="86" t="n">
        <x:v>10</x:v>
      </x:c>
      <x:c r="H266" s="86" t="n">
        <x:v>10</x:v>
      </x:c>
      <x:c r="I266" s="86" t="n">
        <x:v>10</x:v>
      </x:c>
      <x:c r="J266" s="97" t="n">
        <x:v>0.0908</x:v>
      </x:c>
    </x:row>
    <x:row r="267">
      <x:c r="A267" s="85" t="n">
        <x:v>266</x:v>
      </x:c>
      <x:c r="B267" s="86" t="n">
        <x:v>192</x:v>
      </x:c>
      <x:c r="C267" s="95" t="n">
        <x:v>45065</x:v>
      </x:c>
      <x:c r="D267" s="86" t="str">
        <x:v>Admissão</x:v>
      </x:c>
      <x:c r="E267" s="86" t="str">
        <x:v>Nova contratação</x:v>
      </x:c>
      <x:c r="F267" s="86"/>
      <x:c r="G267" s="86" t="n">
        <x:v>9</x:v>
      </x:c>
      <x:c r="H267" s="86"/>
      <x:c r="I267" s="86" t="n">
        <x:v>9</x:v>
      </x:c>
      <x:c r="J267" s="97" t="n">
        <x:v>0</x:v>
      </x:c>
    </x:row>
    <x:row r="268">
      <x:c r="A268" s="85" t="n">
        <x:v>267</x:v>
      </x:c>
      <x:c r="B268" s="86" t="n">
        <x:v>193</x:v>
      </x:c>
      <x:c r="C268" s="95" t="n">
        <x:v>45787</x:v>
      </x:c>
      <x:c r="D268" s="86" t="str">
        <x:v>Admissão</x:v>
      </x:c>
      <x:c r="E268" s="86" t="str">
        <x:v>Nova contratação</x:v>
      </x:c>
      <x:c r="F268" s="86"/>
      <x:c r="G268" s="86" t="n">
        <x:v>6</x:v>
      </x:c>
      <x:c r="H268" s="86"/>
      <x:c r="I268" s="86" t="n">
        <x:v>6</x:v>
      </x:c>
      <x:c r="J268" s="97" t="n">
        <x:v>0</x:v>
      </x:c>
    </x:row>
    <x:row r="269">
      <x:c r="A269" s="85" t="n">
        <x:v>268</x:v>
      </x:c>
      <x:c r="B269" s="86" t="n">
        <x:v>194</x:v>
      </x:c>
      <x:c r="C269" s="95" t="n">
        <x:v>45332</x:v>
      </x:c>
      <x:c r="D269" s="86" t="str">
        <x:v>Admissão</x:v>
      </x:c>
      <x:c r="E269" s="86" t="str">
        <x:v>Nova contratação</x:v>
      </x:c>
      <x:c r="F269" s="86"/>
      <x:c r="G269" s="86" t="n">
        <x:v>1</x:v>
      </x:c>
      <x:c r="H269" s="86"/>
      <x:c r="I269" s="86" t="n">
        <x:v>1</x:v>
      </x:c>
      <x:c r="J269" s="97" t="n">
        <x:v>0</x:v>
      </x:c>
    </x:row>
    <x:row r="270">
      <x:c r="A270" s="85" t="n">
        <x:v>269</x:v>
      </x:c>
      <x:c r="B270" s="86" t="n">
        <x:v>194</x:v>
      </x:c>
      <x:c r="C270" s="95" t="n">
        <x:v>45703</x:v>
      </x:c>
      <x:c r="D270" s="86" t="str">
        <x:v>Promoção</x:v>
      </x:c>
      <x:c r="E270" s="86" t="str">
        <x:v>Evolução de carreira</x:v>
      </x:c>
      <x:c r="F270" s="86" t="n">
        <x:v>1</x:v>
      </x:c>
      <x:c r="G270" s="86" t="n">
        <x:v>1</x:v>
      </x:c>
      <x:c r="H270" s="86" t="n">
        <x:v>1</x:v>
      </x:c>
      <x:c r="I270" s="86" t="n">
        <x:v>1</x:v>
      </x:c>
      <x:c r="J270" s="97" t="n">
        <x:v>0.1375</x:v>
      </x:c>
    </x:row>
    <x:row r="271">
      <x:c r="A271" s="85" t="n">
        <x:v>270</x:v>
      </x:c>
      <x:c r="B271" s="86" t="n">
        <x:v>195</x:v>
      </x:c>
      <x:c r="C271" s="95" t="n">
        <x:v>45712</x:v>
      </x:c>
      <x:c r="D271" s="86" t="str">
        <x:v>Admissão</x:v>
      </x:c>
      <x:c r="E271" s="86" t="str">
        <x:v>Nova contratação</x:v>
      </x:c>
      <x:c r="F271" s="86"/>
      <x:c r="G271" s="86" t="n">
        <x:v>4</x:v>
      </x:c>
      <x:c r="H271" s="86"/>
      <x:c r="I271" s="86" t="n">
        <x:v>4</x:v>
      </x:c>
      <x:c r="J271" s="97" t="n">
        <x:v>0</x:v>
      </x:c>
    </x:row>
    <x:row r="272">
      <x:c r="A272" s="85" t="n">
        <x:v>271</x:v>
      </x:c>
      <x:c r="B272" s="86" t="n">
        <x:v>196</x:v>
      </x:c>
      <x:c r="C272" s="95" t="n">
        <x:v>45247</x:v>
      </x:c>
      <x:c r="D272" s="86" t="str">
        <x:v>Admissão</x:v>
      </x:c>
      <x:c r="E272" s="86" t="str">
        <x:v>Nova contratação</x:v>
      </x:c>
      <x:c r="F272" s="86"/>
      <x:c r="G272" s="86" t="n">
        <x:v>2</x:v>
      </x:c>
      <x:c r="H272" s="86"/>
      <x:c r="I272" s="86" t="n">
        <x:v>2</x:v>
      </x:c>
      <x:c r="J272" s="97" t="n">
        <x:v>0</x:v>
      </x:c>
    </x:row>
    <x:row r="273">
      <x:c r="A273" s="85" t="n">
        <x:v>272</x:v>
      </x:c>
      <x:c r="B273" s="86" t="n">
        <x:v>197</x:v>
      </x:c>
      <x:c r="C273" s="95" t="n">
        <x:v>45536</x:v>
      </x:c>
      <x:c r="D273" s="86" t="str">
        <x:v>Admissão</x:v>
      </x:c>
      <x:c r="E273" s="86" t="str">
        <x:v>Nova contratação</x:v>
      </x:c>
      <x:c r="F273" s="86"/>
      <x:c r="G273" s="86" t="n">
        <x:v>1</x:v>
      </x:c>
      <x:c r="H273" s="86"/>
      <x:c r="I273" s="86" t="n">
        <x:v>1</x:v>
      </x:c>
      <x:c r="J273" s="97" t="n">
        <x:v>0</x:v>
      </x:c>
    </x:row>
    <x:row r="274">
      <x:c r="A274" s="85" t="n">
        <x:v>273</x:v>
      </x:c>
      <x:c r="B274" s="86" t="n">
        <x:v>197</x:v>
      </x:c>
      <x:c r="C274" s="95" t="n">
        <x:v>45773</x:v>
      </x:c>
      <x:c r="D274" s="86" t="str">
        <x:v>Promoção</x:v>
      </x:c>
      <x:c r="E274" s="86" t="str">
        <x:v>Evolução de carreira</x:v>
      </x:c>
      <x:c r="F274" s="86" t="n">
        <x:v>1</x:v>
      </x:c>
      <x:c r="G274" s="86" t="n">
        <x:v>1</x:v>
      </x:c>
      <x:c r="H274" s="86" t="n">
        <x:v>1</x:v>
      </x:c>
      <x:c r="I274" s="86" t="n">
        <x:v>1</x:v>
      </x:c>
      <x:c r="J274" s="97" t="n">
        <x:v>0.1504</x:v>
      </x:c>
    </x:row>
    <x:row r="275">
      <x:c r="A275" s="85" t="n">
        <x:v>274</x:v>
      </x:c>
      <x:c r="B275" s="86" t="n">
        <x:v>198</x:v>
      </x:c>
      <x:c r="C275" s="95" t="n">
        <x:v>45002</x:v>
      </x:c>
      <x:c r="D275" s="86" t="str">
        <x:v>Admissão</x:v>
      </x:c>
      <x:c r="E275" s="86" t="str">
        <x:v>Nova contratação</x:v>
      </x:c>
      <x:c r="F275" s="86"/>
      <x:c r="G275" s="86" t="n">
        <x:v>5</x:v>
      </x:c>
      <x:c r="H275" s="86"/>
      <x:c r="I275" s="86" t="n">
        <x:v>5</x:v>
      </x:c>
      <x:c r="J275" s="97" t="n">
        <x:v>0</x:v>
      </x:c>
    </x:row>
    <x:row r="276">
      <x:c r="A276" s="85" t="n">
        <x:v>275</x:v>
      </x:c>
      <x:c r="B276" s="86" t="n">
        <x:v>199</x:v>
      </x:c>
      <x:c r="C276" s="95" t="n">
        <x:v>45191</x:v>
      </x:c>
      <x:c r="D276" s="86" t="str">
        <x:v>Admissão</x:v>
      </x:c>
      <x:c r="E276" s="86" t="str">
        <x:v>Nova contratação</x:v>
      </x:c>
      <x:c r="F276" s="86"/>
      <x:c r="G276" s="86" t="n">
        <x:v>9</x:v>
      </x:c>
      <x:c r="H276" s="86"/>
      <x:c r="I276" s="86" t="n">
        <x:v>9</x:v>
      </x:c>
      <x:c r="J276" s="97" t="n">
        <x:v>0</x:v>
      </x:c>
    </x:row>
    <x:row r="277">
      <x:c r="A277" s="85" t="n">
        <x:v>276</x:v>
      </x:c>
      <x:c r="B277" s="86" t="n">
        <x:v>199</x:v>
      </x:c>
      <x:c r="C277" s="95" t="n">
        <x:v>45524</x:v>
      </x:c>
      <x:c r="D277" s="86" t="str">
        <x:v>Promoção</x:v>
      </x:c>
      <x:c r="E277" s="86" t="str">
        <x:v>Evolução de carreira</x:v>
      </x:c>
      <x:c r="F277" s="86" t="n">
        <x:v>9</x:v>
      </x:c>
      <x:c r="G277" s="86" t="n">
        <x:v>9</x:v>
      </x:c>
      <x:c r="H277" s="86" t="n">
        <x:v>9</x:v>
      </x:c>
      <x:c r="I277" s="86" t="n">
        <x:v>9</x:v>
      </x:c>
      <x:c r="J277" s="97" t="n">
        <x:v>0.0788</x:v>
      </x:c>
    </x:row>
    <x:row r="278">
      <x:c r="A278" s="85" t="n">
        <x:v>277</x:v>
      </x:c>
      <x:c r="B278" s="86" t="n">
        <x:v>200</x:v>
      </x:c>
      <x:c r="C278" s="95" t="n">
        <x:v>44931</x:v>
      </x:c>
      <x:c r="D278" s="86" t="str">
        <x:v>Admissão</x:v>
      </x:c>
      <x:c r="E278" s="86" t="str">
        <x:v>Nova contratação</x:v>
      </x:c>
      <x:c r="F278" s="86"/>
      <x:c r="G278" s="86" t="n">
        <x:v>8</x:v>
      </x:c>
      <x:c r="H278" s="86"/>
      <x:c r="I278" s="86" t="n">
        <x:v>8</x:v>
      </x:c>
      <x:c r="J278" s="97" t="n">
        <x:v>0</x:v>
      </x:c>
    </x:row>
    <x:row r="279">
      <x:c r="A279" s="85" t="n">
        <x:v>278</x:v>
      </x:c>
      <x:c r="B279" s="86" t="n">
        <x:v>201</x:v>
      </x:c>
      <x:c r="C279" s="95" t="n">
        <x:v>45503</x:v>
      </x:c>
      <x:c r="D279" s="86" t="str">
        <x:v>Admissão</x:v>
      </x:c>
      <x:c r="E279" s="86" t="str">
        <x:v>Nova contratação</x:v>
      </x:c>
      <x:c r="F279" s="86"/>
      <x:c r="G279" s="86" t="n">
        <x:v>1</x:v>
      </x:c>
      <x:c r="H279" s="86"/>
      <x:c r="I279" s="86" t="n">
        <x:v>1</x:v>
      </x:c>
      <x:c r="J279" s="97" t="n">
        <x:v>0</x:v>
      </x:c>
    </x:row>
    <x:row r="280">
      <x:c r="A280" s="85" t="n">
        <x:v>279</x:v>
      </x:c>
      <x:c r="B280" s="86" t="n">
        <x:v>202</x:v>
      </x:c>
      <x:c r="C280" s="95" t="n">
        <x:v>45454</x:v>
      </x:c>
      <x:c r="D280" s="86" t="str">
        <x:v>Admissão</x:v>
      </x:c>
      <x:c r="E280" s="86" t="str">
        <x:v>Nova contratação</x:v>
      </x:c>
      <x:c r="F280" s="86"/>
      <x:c r="G280" s="86" t="n">
        <x:v>1</x:v>
      </x:c>
      <x:c r="H280" s="86"/>
      <x:c r="I280" s="86" t="n">
        <x:v>11</x:v>
      </x:c>
      <x:c r="J280" s="97" t="n">
        <x:v>0</x:v>
      </x:c>
    </x:row>
    <x:row r="281">
      <x:c r="A281" s="85" t="n">
        <x:v>280</x:v>
      </x:c>
      <x:c r="B281" s="86" t="n">
        <x:v>203</x:v>
      </x:c>
      <x:c r="C281" s="95" t="n">
        <x:v>45130</x:v>
      </x:c>
      <x:c r="D281" s="86" t="str">
        <x:v>Admissão</x:v>
      </x:c>
      <x:c r="E281" s="86" t="str">
        <x:v>Nova contratação</x:v>
      </x:c>
      <x:c r="F281" s="86"/>
      <x:c r="G281" s="86" t="n">
        <x:v>8</x:v>
      </x:c>
      <x:c r="H281" s="86"/>
      <x:c r="I281" s="86" t="n">
        <x:v>8</x:v>
      </x:c>
      <x:c r="J281" s="97" t="n">
        <x:v>0</x:v>
      </x:c>
    </x:row>
    <x:row r="282">
      <x:c r="A282" s="85" t="n">
        <x:v>281</x:v>
      </x:c>
      <x:c r="B282" s="86" t="n">
        <x:v>203</x:v>
      </x:c>
      <x:c r="C282" s="95" t="n">
        <x:v>45640</x:v>
      </x:c>
      <x:c r="D282" s="86" t="str">
        <x:v>Desligamento</x:v>
      </x:c>
      <x:c r="E282" s="86" t="str">
        <x:v>Pedido do colaborador</x:v>
      </x:c>
      <x:c r="F282" s="86" t="n">
        <x:v>8</x:v>
      </x:c>
      <x:c r="G282" s="86"/>
      <x:c r="H282" s="86" t="n">
        <x:v>8</x:v>
      </x:c>
      <x:c r="I282" s="86"/>
      <x:c r="J282" s="97" t="n">
        <x:v>0</x:v>
      </x:c>
    </x:row>
    <x:row r="283">
      <x:c r="A283" s="85" t="n">
        <x:v>282</x:v>
      </x:c>
      <x:c r="B283" s="86" t="n">
        <x:v>204</x:v>
      </x:c>
      <x:c r="C283" s="95" t="n">
        <x:v>45592</x:v>
      </x:c>
      <x:c r="D283" s="86" t="str">
        <x:v>Admissão</x:v>
      </x:c>
      <x:c r="E283" s="86" t="str">
        <x:v>Nova contratação</x:v>
      </x:c>
      <x:c r="F283" s="86"/>
      <x:c r="G283" s="86" t="n">
        <x:v>6</x:v>
      </x:c>
      <x:c r="H283" s="86"/>
      <x:c r="I283" s="86" t="n">
        <x:v>6</x:v>
      </x:c>
      <x:c r="J283" s="97" t="n">
        <x:v>0</x:v>
      </x:c>
    </x:row>
    <x:row r="284">
      <x:c r="A284" s="85" t="n">
        <x:v>283</x:v>
      </x:c>
      <x:c r="B284" s="86" t="n">
        <x:v>205</x:v>
      </x:c>
      <x:c r="C284" s="95" t="n">
        <x:v>45952</x:v>
      </x:c>
      <x:c r="D284" s="86" t="str">
        <x:v>Admissão</x:v>
      </x:c>
      <x:c r="E284" s="86" t="str">
        <x:v>Nova contratação</x:v>
      </x:c>
      <x:c r="F284" s="86"/>
      <x:c r="G284" s="86" t="n">
        <x:v>4</x:v>
      </x:c>
      <x:c r="H284" s="86"/>
      <x:c r="I284" s="86" t="n">
        <x:v>4</x:v>
      </x:c>
      <x:c r="J284" s="97" t="n">
        <x:v>0</x:v>
      </x:c>
    </x:row>
    <x:row r="285">
      <x:c r="A285" s="85" t="n">
        <x:v>284</x:v>
      </x:c>
      <x:c r="B285" s="86" t="n">
        <x:v>206</x:v>
      </x:c>
      <x:c r="C285" s="95" t="n">
        <x:v>45344</x:v>
      </x:c>
      <x:c r="D285" s="86" t="str">
        <x:v>Admissão</x:v>
      </x:c>
      <x:c r="E285" s="86" t="str">
        <x:v>Nova contratação</x:v>
      </x:c>
      <x:c r="F285" s="86"/>
      <x:c r="G285" s="86" t="n">
        <x:v>6</x:v>
      </x:c>
      <x:c r="H285" s="86"/>
      <x:c r="I285" s="86" t="n">
        <x:v>6</x:v>
      </x:c>
      <x:c r="J285" s="97" t="n">
        <x:v>0</x:v>
      </x:c>
    </x:row>
    <x:row r="286">
      <x:c r="A286" s="85" t="n">
        <x:v>285</x:v>
      </x:c>
      <x:c r="B286" s="86" t="n">
        <x:v>207</x:v>
      </x:c>
      <x:c r="C286" s="95" t="n">
        <x:v>45423</x:v>
      </x:c>
      <x:c r="D286" s="86" t="str">
        <x:v>Admissão</x:v>
      </x:c>
      <x:c r="E286" s="86" t="str">
        <x:v>Nova contratação</x:v>
      </x:c>
      <x:c r="F286" s="86"/>
      <x:c r="G286" s="86" t="n">
        <x:v>1</x:v>
      </x:c>
      <x:c r="H286" s="86"/>
      <x:c r="I286" s="86" t="n">
        <x:v>1</x:v>
      </x:c>
      <x:c r="J286" s="97" t="n">
        <x:v>0</x:v>
      </x:c>
    </x:row>
    <x:row r="287">
      <x:c r="A287" s="85" t="n">
        <x:v>286</x:v>
      </x:c>
      <x:c r="B287" s="86" t="n">
        <x:v>207</x:v>
      </x:c>
      <x:c r="C287" s="95" t="n">
        <x:v>45711</x:v>
      </x:c>
      <x:c r="D287" s="86" t="str">
        <x:v>Promoção</x:v>
      </x:c>
      <x:c r="E287" s="86" t="str">
        <x:v>Evolução de carreira</x:v>
      </x:c>
      <x:c r="F287" s="86" t="n">
        <x:v>1</x:v>
      </x:c>
      <x:c r="G287" s="86" t="n">
        <x:v>1</x:v>
      </x:c>
      <x:c r="H287" s="86" t="n">
        <x:v>1</x:v>
      </x:c>
      <x:c r="I287" s="86" t="n">
        <x:v>1</x:v>
      </x:c>
      <x:c r="J287" s="97" t="n">
        <x:v>0.0899</x:v>
      </x:c>
    </x:row>
    <x:row r="288">
      <x:c r="A288" s="85" t="n">
        <x:v>287</x:v>
      </x:c>
      <x:c r="B288" s="86" t="n">
        <x:v>208</x:v>
      </x:c>
      <x:c r="C288" s="95" t="n">
        <x:v>45571</x:v>
      </x:c>
      <x:c r="D288" s="86" t="str">
        <x:v>Admissão</x:v>
      </x:c>
      <x:c r="E288" s="86" t="str">
        <x:v>Nova contratação</x:v>
      </x:c>
      <x:c r="F288" s="86"/>
      <x:c r="G288" s="86" t="n">
        <x:v>9</x:v>
      </x:c>
      <x:c r="H288" s="86"/>
      <x:c r="I288" s="86" t="n">
        <x:v>9</x:v>
      </x:c>
      <x:c r="J288" s="97" t="n">
        <x:v>0</x:v>
      </x:c>
    </x:row>
    <x:row r="289">
      <x:c r="A289" s="85" t="n">
        <x:v>288</x:v>
      </x:c>
      <x:c r="B289" s="86" t="n">
        <x:v>209</x:v>
      </x:c>
      <x:c r="C289" s="95" t="n">
        <x:v>45045</x:v>
      </x:c>
      <x:c r="D289" s="86" t="str">
        <x:v>Admissão</x:v>
      </x:c>
      <x:c r="E289" s="86" t="str">
        <x:v>Nova contratação</x:v>
      </x:c>
      <x:c r="F289" s="86"/>
      <x:c r="G289" s="86" t="n">
        <x:v>7</x:v>
      </x:c>
      <x:c r="H289" s="86"/>
      <x:c r="I289" s="86" t="n">
        <x:v>7</x:v>
      </x:c>
      <x:c r="J289" s="97" t="n">
        <x:v>0</x:v>
      </x:c>
    </x:row>
    <x:row r="290">
      <x:c r="A290" s="85" t="n">
        <x:v>289</x:v>
      </x:c>
      <x:c r="B290" s="86" t="n">
        <x:v>209</x:v>
      </x:c>
      <x:c r="C290" s="95" t="n">
        <x:v>45597</x:v>
      </x:c>
      <x:c r="D290" s="86" t="str">
        <x:v>Promoção</x:v>
      </x:c>
      <x:c r="E290" s="86" t="str">
        <x:v>Evolução de carreira</x:v>
      </x:c>
      <x:c r="F290" s="86" t="n">
        <x:v>7</x:v>
      </x:c>
      <x:c r="G290" s="86" t="n">
        <x:v>7</x:v>
      </x:c>
      <x:c r="H290" s="86" t="n">
        <x:v>7</x:v>
      </x:c>
      <x:c r="I290" s="86" t="n">
        <x:v>7</x:v>
      </x:c>
      <x:c r="J290" s="97" t="n">
        <x:v>0.0918</x:v>
      </x:c>
    </x:row>
    <x:row r="291">
      <x:c r="A291" s="85" t="n">
        <x:v>290</x:v>
      </x:c>
      <x:c r="B291" s="86" t="n">
        <x:v>210</x:v>
      </x:c>
      <x:c r="C291" s="95" t="n">
        <x:v>45826</x:v>
      </x:c>
      <x:c r="D291" s="86" t="str">
        <x:v>Admissão</x:v>
      </x:c>
      <x:c r="E291" s="86" t="str">
        <x:v>Nova contratação</x:v>
      </x:c>
      <x:c r="F291" s="86"/>
      <x:c r="G291" s="86" t="n">
        <x:v>1</x:v>
      </x:c>
      <x:c r="H291" s="86"/>
      <x:c r="I291" s="86" t="n">
        <x:v>1</x:v>
      </x:c>
      <x:c r="J291" s="97" t="n">
        <x:v>0</x:v>
      </x:c>
    </x:row>
    <x:row r="292">
      <x:c r="A292" s="85" t="n">
        <x:v>291</x:v>
      </x:c>
      <x:c r="B292" s="86" t="n">
        <x:v>211</x:v>
      </x:c>
      <x:c r="C292" s="95" t="n">
        <x:v>45712</x:v>
      </x:c>
      <x:c r="D292" s="86" t="str">
        <x:v>Admissão</x:v>
      </x:c>
      <x:c r="E292" s="86" t="str">
        <x:v>Nova contratação</x:v>
      </x:c>
      <x:c r="F292" s="86"/>
      <x:c r="G292" s="86" t="n">
        <x:v>1</x:v>
      </x:c>
      <x:c r="H292" s="86"/>
      <x:c r="I292" s="86" t="n">
        <x:v>1</x:v>
      </x:c>
      <x:c r="J292" s="97" t="n">
        <x:v>0</x:v>
      </x:c>
    </x:row>
    <x:row r="293">
      <x:c r="A293" s="85" t="n">
        <x:v>292</x:v>
      </x:c>
      <x:c r="B293" s="86" t="n">
        <x:v>211</x:v>
      </x:c>
      <x:c r="C293" s="95" t="n">
        <x:v>45996</x:v>
      </x:c>
      <x:c r="D293" s="86" t="str">
        <x:v>Desligamento</x:v>
      </x:c>
      <x:c r="E293" s="86" t="str">
        <x:v>Pedido do colaborador</x:v>
      </x:c>
      <x:c r="F293" s="86" t="n">
        <x:v>1</x:v>
      </x:c>
      <x:c r="G293" s="86"/>
      <x:c r="H293" s="86" t="n">
        <x:v>1</x:v>
      </x:c>
      <x:c r="I293" s="86"/>
      <x:c r="J293" s="97" t="n">
        <x:v>0</x:v>
      </x:c>
    </x:row>
    <x:row r="294">
      <x:c r="A294" s="85" t="n">
        <x:v>293</x:v>
      </x:c>
      <x:c r="B294" s="86" t="n">
        <x:v>212</x:v>
      </x:c>
      <x:c r="C294" s="95" t="n">
        <x:v>45291</x:v>
      </x:c>
      <x:c r="D294" s="86" t="str">
        <x:v>Admissão</x:v>
      </x:c>
      <x:c r="E294" s="86" t="str">
        <x:v>Nova contratação</x:v>
      </x:c>
      <x:c r="F294" s="86"/>
      <x:c r="G294" s="86" t="n">
        <x:v>3</x:v>
      </x:c>
      <x:c r="H294" s="86"/>
      <x:c r="I294" s="86" t="n">
        <x:v>3</x:v>
      </x:c>
      <x:c r="J294" s="97" t="n">
        <x:v>0</x:v>
      </x:c>
    </x:row>
    <x:row r="295">
      <x:c r="A295" s="85" t="n">
        <x:v>294</x:v>
      </x:c>
      <x:c r="B295" s="86" t="n">
        <x:v>213</x:v>
      </x:c>
      <x:c r="C295" s="95" t="n">
        <x:v>45589</x:v>
      </x:c>
      <x:c r="D295" s="86" t="str">
        <x:v>Admissão</x:v>
      </x:c>
      <x:c r="E295" s="86" t="str">
        <x:v>Nova contratação</x:v>
      </x:c>
      <x:c r="F295" s="86"/>
      <x:c r="G295" s="86" t="n">
        <x:v>2</x:v>
      </x:c>
      <x:c r="H295" s="86"/>
      <x:c r="I295" s="86" t="n">
        <x:v>2</x:v>
      </x:c>
      <x:c r="J295" s="97" t="n">
        <x:v>0</x:v>
      </x:c>
    </x:row>
    <x:row r="296">
      <x:c r="A296" s="85" t="n">
        <x:v>295</x:v>
      </x:c>
      <x:c r="B296" s="86" t="n">
        <x:v>214</x:v>
      </x:c>
      <x:c r="C296" s="95" t="n">
        <x:v>45878</x:v>
      </x:c>
      <x:c r="D296" s="86" t="str">
        <x:v>Admissão</x:v>
      </x:c>
      <x:c r="E296" s="86" t="str">
        <x:v>Nova contratação</x:v>
      </x:c>
      <x:c r="F296" s="86"/>
      <x:c r="G296" s="86" t="n">
        <x:v>8</x:v>
      </x:c>
      <x:c r="H296" s="86"/>
      <x:c r="I296" s="86" t="n">
        <x:v>8</x:v>
      </x:c>
      <x:c r="J296" s="97" t="n">
        <x:v>0</x:v>
      </x:c>
    </x:row>
    <x:row r="297">
      <x:c r="A297" s="85" t="n">
        <x:v>296</x:v>
      </x:c>
      <x:c r="B297" s="86" t="n">
        <x:v>215</x:v>
      </x:c>
      <x:c r="C297" s="95" t="n">
        <x:v>45197</x:v>
      </x:c>
      <x:c r="D297" s="86" t="str">
        <x:v>Admissão</x:v>
      </x:c>
      <x:c r="E297" s="86" t="str">
        <x:v>Nova contratação</x:v>
      </x:c>
      <x:c r="F297" s="86"/>
      <x:c r="G297" s="86" t="n">
        <x:v>6</x:v>
      </x:c>
      <x:c r="H297" s="86"/>
      <x:c r="I297" s="86" t="n">
        <x:v>6</x:v>
      </x:c>
      <x:c r="J297" s="97" t="n">
        <x:v>0</x:v>
      </x:c>
    </x:row>
    <x:row r="298">
      <x:c r="A298" s="85" t="n">
        <x:v>297</x:v>
      </x:c>
      <x:c r="B298" s="86" t="n">
        <x:v>215</x:v>
      </x:c>
      <x:c r="C298" s="95" t="n">
        <x:v>45670</x:v>
      </x:c>
      <x:c r="D298" s="86" t="str">
        <x:v>Promoção</x:v>
      </x:c>
      <x:c r="E298" s="86" t="str">
        <x:v>Evolução de carreira</x:v>
      </x:c>
      <x:c r="F298" s="86" t="n">
        <x:v>6</x:v>
      </x:c>
      <x:c r="G298" s="86" t="n">
        <x:v>6</x:v>
      </x:c>
      <x:c r="H298" s="86" t="n">
        <x:v>6</x:v>
      </x:c>
      <x:c r="I298" s="86" t="n">
        <x:v>6</x:v>
      </x:c>
      <x:c r="J298" s="97" t="n">
        <x:v>0.0779</x:v>
      </x:c>
    </x:row>
    <x:row r="299">
      <x:c r="A299" s="85" t="n">
        <x:v>298</x:v>
      </x:c>
      <x:c r="B299" s="86" t="n">
        <x:v>216</x:v>
      </x:c>
      <x:c r="C299" s="95" t="n">
        <x:v>45618</x:v>
      </x:c>
      <x:c r="D299" s="86" t="str">
        <x:v>Admissão</x:v>
      </x:c>
      <x:c r="E299" s="86" t="str">
        <x:v>Nova contratação</x:v>
      </x:c>
      <x:c r="F299" s="86"/>
      <x:c r="G299" s="86" t="n">
        <x:v>8</x:v>
      </x:c>
      <x:c r="H299" s="86"/>
      <x:c r="I299" s="86" t="n">
        <x:v>8</x:v>
      </x:c>
      <x:c r="J299" s="97" t="n">
        <x:v>0</x:v>
      </x:c>
    </x:row>
    <x:row r="300">
      <x:c r="A300" s="85" t="n">
        <x:v>299</x:v>
      </x:c>
      <x:c r="B300" s="86" t="n">
        <x:v>217</x:v>
      </x:c>
      <x:c r="C300" s="95" t="n">
        <x:v>45445</x:v>
      </x:c>
      <x:c r="D300" s="86" t="str">
        <x:v>Admissão</x:v>
      </x:c>
      <x:c r="E300" s="86" t="str">
        <x:v>Nova contratação</x:v>
      </x:c>
      <x:c r="F300" s="86"/>
      <x:c r="G300" s="86" t="n">
        <x:v>9</x:v>
      </x:c>
      <x:c r="H300" s="86"/>
      <x:c r="I300" s="86" t="n">
        <x:v>9</x:v>
      </x:c>
      <x:c r="J300" s="97" t="n">
        <x:v>0</x:v>
      </x:c>
    </x:row>
    <x:row r="301">
      <x:c r="A301" s="85" t="n">
        <x:v>300</x:v>
      </x:c>
      <x:c r="B301" s="86" t="n">
        <x:v>218</x:v>
      </x:c>
      <x:c r="C301" s="95" t="n">
        <x:v>45241</x:v>
      </x:c>
      <x:c r="D301" s="86" t="str">
        <x:v>Admissão</x:v>
      </x:c>
      <x:c r="E301" s="86" t="str">
        <x:v>Nova contratação</x:v>
      </x:c>
      <x:c r="F301" s="86"/>
      <x:c r="G301" s="86" t="n">
        <x:v>5</x:v>
      </x:c>
      <x:c r="H301" s="86"/>
      <x:c r="I301" s="86" t="n">
        <x:v>5</x:v>
      </x:c>
      <x:c r="J301" s="97" t="n">
        <x:v>0</x:v>
      </x:c>
    </x:row>
    <x:row r="302">
      <x:c r="A302" s="85" t="n">
        <x:v>301</x:v>
      </x:c>
      <x:c r="B302" s="86" t="n">
        <x:v>219</x:v>
      </x:c>
      <x:c r="C302" s="95" t="n">
        <x:v>45105</x:v>
      </x:c>
      <x:c r="D302" s="86" t="str">
        <x:v>Admissão</x:v>
      </x:c>
      <x:c r="E302" s="86" t="str">
        <x:v>Nova contratação</x:v>
      </x:c>
      <x:c r="F302" s="86"/>
      <x:c r="G302" s="86" t="n">
        <x:v>5</x:v>
      </x:c>
      <x:c r="H302" s="86"/>
      <x:c r="I302" s="86" t="n">
        <x:v>5</x:v>
      </x:c>
      <x:c r="J302" s="97" t="n">
        <x:v>0</x:v>
      </x:c>
    </x:row>
    <x:row r="303">
      <x:c r="A303" s="85" t="n">
        <x:v>302</x:v>
      </x:c>
      <x:c r="B303" s="86" t="n">
        <x:v>220</x:v>
      </x:c>
      <x:c r="C303" s="95" t="n">
        <x:v>45731</x:v>
      </x:c>
      <x:c r="D303" s="86" t="str">
        <x:v>Admissão</x:v>
      </x:c>
      <x:c r="E303" s="86" t="str">
        <x:v>Nova contratação</x:v>
      </x:c>
      <x:c r="F303" s="86"/>
      <x:c r="G303" s="86" t="n">
        <x:v>7</x:v>
      </x:c>
      <x:c r="H303" s="86"/>
      <x:c r="I303" s="86" t="n">
        <x:v>7</x:v>
      </x:c>
      <x:c r="J303" s="97" t="n">
        <x:v>0</x:v>
      </x:c>
    </x:row>
    <x:row r="304">
      <x:c r="A304" s="85" t="n">
        <x:v>303</x:v>
      </x:c>
      <x:c r="B304" s="86" t="n">
        <x:v>220</x:v>
      </x:c>
      <x:c r="C304" s="95" t="n">
        <x:v>45794</x:v>
      </x:c>
      <x:c r="D304" s="86" t="str">
        <x:v>Desligamento</x:v>
      </x:c>
      <x:c r="E304" s="86" t="str">
        <x:v>Pedido do colaborador</x:v>
      </x:c>
      <x:c r="F304" s="86" t="n">
        <x:v>7</x:v>
      </x:c>
      <x:c r="G304" s="86"/>
      <x:c r="H304" s="86" t="n">
        <x:v>7</x:v>
      </x:c>
      <x:c r="I304" s="86"/>
      <x:c r="J304" s="97" t="n">
        <x:v>0</x:v>
      </x:c>
    </x:row>
    <x:row r="305">
      <x:c r="A305" s="85" t="n">
        <x:v>304</x:v>
      </x:c>
      <x:c r="B305" s="86" t="n">
        <x:v>221</x:v>
      </x:c>
      <x:c r="C305" s="95" t="n">
        <x:v>45137</x:v>
      </x:c>
      <x:c r="D305" s="86" t="str">
        <x:v>Admissão</x:v>
      </x:c>
      <x:c r="E305" s="86" t="str">
        <x:v>Nova contratação</x:v>
      </x:c>
      <x:c r="F305" s="86"/>
      <x:c r="G305" s="86" t="n">
        <x:v>1</x:v>
      </x:c>
      <x:c r="H305" s="86"/>
      <x:c r="I305" s="86" t="n">
        <x:v>1</x:v>
      </x:c>
      <x:c r="J305" s="97" t="n">
        <x:v>0</x:v>
      </x:c>
    </x:row>
    <x:row r="306">
      <x:c r="A306" s="85" t="n">
        <x:v>305</x:v>
      </x:c>
      <x:c r="B306" s="86" t="n">
        <x:v>222</x:v>
      </x:c>
      <x:c r="C306" s="95" t="n">
        <x:v>45430</x:v>
      </x:c>
      <x:c r="D306" s="86" t="str">
        <x:v>Admissão</x:v>
      </x:c>
      <x:c r="E306" s="86" t="str">
        <x:v>Nova contratação</x:v>
      </x:c>
      <x:c r="F306" s="86"/>
      <x:c r="G306" s="86" t="n">
        <x:v>6</x:v>
      </x:c>
      <x:c r="H306" s="86"/>
      <x:c r="I306" s="86" t="n">
        <x:v>6</x:v>
      </x:c>
      <x:c r="J306" s="97" t="n">
        <x:v>0</x:v>
      </x:c>
    </x:row>
    <x:row r="307">
      <x:c r="A307" s="85" t="n">
        <x:v>306</x:v>
      </x:c>
      <x:c r="B307" s="86" t="n">
        <x:v>223</x:v>
      </x:c>
      <x:c r="C307" s="95" t="n">
        <x:v>45874</x:v>
      </x:c>
      <x:c r="D307" s="86" t="str">
        <x:v>Admissão</x:v>
      </x:c>
      <x:c r="E307" s="86" t="str">
        <x:v>Nova contratação</x:v>
      </x:c>
      <x:c r="F307" s="86"/>
      <x:c r="G307" s="86" t="n">
        <x:v>2</x:v>
      </x:c>
      <x:c r="H307" s="86"/>
      <x:c r="I307" s="86" t="n">
        <x:v>2</x:v>
      </x:c>
      <x:c r="J307" s="97" t="n">
        <x:v>0</x:v>
      </x:c>
    </x:row>
    <x:row r="308">
      <x:c r="A308" s="85" t="n">
        <x:v>307</x:v>
      </x:c>
      <x:c r="B308" s="86" t="n">
        <x:v>224</x:v>
      </x:c>
      <x:c r="C308" s="95" t="n">
        <x:v>45835</x:v>
      </x:c>
      <x:c r="D308" s="86" t="str">
        <x:v>Admissão</x:v>
      </x:c>
      <x:c r="E308" s="86" t="str">
        <x:v>Nova contratação</x:v>
      </x:c>
      <x:c r="F308" s="86"/>
      <x:c r="G308" s="86" t="n">
        <x:v>1</x:v>
      </x:c>
      <x:c r="H308" s="86"/>
      <x:c r="I308" s="86" t="n">
        <x:v>1</x:v>
      </x:c>
      <x:c r="J308" s="97" t="n">
        <x:v>0</x:v>
      </x:c>
    </x:row>
    <x:row r="309">
      <x:c r="A309" s="85" t="n">
        <x:v>308</x:v>
      </x:c>
      <x:c r="B309" s="86" t="n">
        <x:v>224</x:v>
      </x:c>
      <x:c r="C309" s="95" t="n">
        <x:v>45993</x:v>
      </x:c>
      <x:c r="D309" s="86" t="str">
        <x:v>Desligamento</x:v>
      </x:c>
      <x:c r="E309" s="86" t="str">
        <x:v>Fim de contrato</x:v>
      </x:c>
      <x:c r="F309" s="86" t="n">
        <x:v>1</x:v>
      </x:c>
      <x:c r="G309" s="86"/>
      <x:c r="H309" s="86" t="n">
        <x:v>1</x:v>
      </x:c>
      <x:c r="I309" s="86"/>
      <x:c r="J309" s="97" t="n">
        <x:v>0</x:v>
      </x:c>
    </x:row>
    <x:row r="310">
      <x:c r="A310" s="85" t="n">
        <x:v>309</x:v>
      </x:c>
      <x:c r="B310" s="86" t="n">
        <x:v>225</x:v>
      </x:c>
      <x:c r="C310" s="95" t="n">
        <x:v>45539</x:v>
      </x:c>
      <x:c r="D310" s="86" t="str">
        <x:v>Admissão</x:v>
      </x:c>
      <x:c r="E310" s="86" t="str">
        <x:v>Nova contratação</x:v>
      </x:c>
      <x:c r="F310" s="86"/>
      <x:c r="G310" s="86" t="n">
        <x:v>1</x:v>
      </x:c>
      <x:c r="H310" s="86"/>
      <x:c r="I310" s="86" t="n">
        <x:v>1</x:v>
      </x:c>
      <x:c r="J310" s="97" t="n">
        <x:v>0</x:v>
      </x:c>
    </x:row>
    <x:row r="311">
      <x:c r="A311" s="85" t="n">
        <x:v>310</x:v>
      </x:c>
      <x:c r="B311" s="86" t="n">
        <x:v>225</x:v>
      </x:c>
      <x:c r="C311" s="95" t="n">
        <x:v>45963</x:v>
      </x:c>
      <x:c r="D311" s="86" t="str">
        <x:v>Promoção</x:v>
      </x:c>
      <x:c r="E311" s="86" t="str">
        <x:v>Evolução de carreira</x:v>
      </x:c>
      <x:c r="F311" s="86" t="n">
        <x:v>1</x:v>
      </x:c>
      <x:c r="G311" s="86" t="n">
        <x:v>1</x:v>
      </x:c>
      <x:c r="H311" s="86" t="n">
        <x:v>1</x:v>
      </x:c>
      <x:c r="I311" s="86" t="n">
        <x:v>1</x:v>
      </x:c>
      <x:c r="J311" s="97" t="n">
        <x:v>0.1115</x:v>
      </x:c>
    </x:row>
    <x:row r="312">
      <x:c r="A312" s="85" t="n">
        <x:v>311</x:v>
      </x:c>
      <x:c r="B312" s="86" t="n">
        <x:v>226</x:v>
      </x:c>
      <x:c r="C312" s="95" t="n">
        <x:v>45622</x:v>
      </x:c>
      <x:c r="D312" s="86" t="str">
        <x:v>Admissão</x:v>
      </x:c>
      <x:c r="E312" s="86" t="str">
        <x:v>Nova contratação</x:v>
      </x:c>
      <x:c r="F312" s="86"/>
      <x:c r="G312" s="86" t="n">
        <x:v>7</x:v>
      </x:c>
      <x:c r="H312" s="86"/>
      <x:c r="I312" s="86" t="n">
        <x:v>7</x:v>
      </x:c>
      <x:c r="J312" s="97" t="n">
        <x:v>0</x:v>
      </x:c>
    </x:row>
    <x:row r="313">
      <x:c r="A313" s="85" t="n">
        <x:v>312</x:v>
      </x:c>
      <x:c r="B313" s="86" t="n">
        <x:v>227</x:v>
      </x:c>
      <x:c r="C313" s="95" t="n">
        <x:v>45036</x:v>
      </x:c>
      <x:c r="D313" s="86" t="str">
        <x:v>Admissão</x:v>
      </x:c>
      <x:c r="E313" s="86" t="str">
        <x:v>Nova contratação</x:v>
      </x:c>
      <x:c r="F313" s="86"/>
      <x:c r="G313" s="86" t="n">
        <x:v>10</x:v>
      </x:c>
      <x:c r="H313" s="86"/>
      <x:c r="I313" s="86" t="n">
        <x:v>10</x:v>
      </x:c>
      <x:c r="J313" s="97" t="n">
        <x:v>0</x:v>
      </x:c>
    </x:row>
    <x:row r="314">
      <x:c r="A314" s="85" t="n">
        <x:v>313</x:v>
      </x:c>
      <x:c r="B314" s="86" t="n">
        <x:v>228</x:v>
      </x:c>
      <x:c r="C314" s="95" t="n">
        <x:v>45278</x:v>
      </x:c>
      <x:c r="D314" s="86" t="str">
        <x:v>Admissão</x:v>
      </x:c>
      <x:c r="E314" s="86" t="str">
        <x:v>Nova contratação</x:v>
      </x:c>
      <x:c r="F314" s="86"/>
      <x:c r="G314" s="86" t="n">
        <x:v>3</x:v>
      </x:c>
      <x:c r="H314" s="86"/>
      <x:c r="I314" s="86" t="n">
        <x:v>3</x:v>
      </x:c>
      <x:c r="J314" s="97" t="n">
        <x:v>0</x:v>
      </x:c>
    </x:row>
    <x:row r="315">
      <x:c r="A315" s="85" t="n">
        <x:v>314</x:v>
      </x:c>
      <x:c r="B315" s="86" t="n">
        <x:v>229</x:v>
      </x:c>
      <x:c r="C315" s="95" t="n">
        <x:v>45131</x:v>
      </x:c>
      <x:c r="D315" s="86" t="str">
        <x:v>Admissão</x:v>
      </x:c>
      <x:c r="E315" s="86" t="str">
        <x:v>Nova contratação</x:v>
      </x:c>
      <x:c r="F315" s="86"/>
      <x:c r="G315" s="86" t="n">
        <x:v>10</x:v>
      </x:c>
      <x:c r="H315" s="86"/>
      <x:c r="I315" s="86" t="n">
        <x:v>10</x:v>
      </x:c>
      <x:c r="J315" s="97" t="n">
        <x:v>0</x:v>
      </x:c>
    </x:row>
    <x:row r="316">
      <x:c r="A316" s="85" t="n">
        <x:v>315</x:v>
      </x:c>
      <x:c r="B316" s="86" t="n">
        <x:v>229</x:v>
      </x:c>
      <x:c r="C316" s="95" t="n">
        <x:v>45465</x:v>
      </x:c>
      <x:c r="D316" s="86" t="str">
        <x:v>Desligamento</x:v>
      </x:c>
      <x:c r="E316" s="86" t="str">
        <x:v>Desempenho</x:v>
      </x:c>
      <x:c r="F316" s="86" t="n">
        <x:v>10</x:v>
      </x:c>
      <x:c r="G316" s="86"/>
      <x:c r="H316" s="86" t="n">
        <x:v>10</x:v>
      </x:c>
      <x:c r="I316" s="86"/>
      <x:c r="J316" s="97" t="n">
        <x:v>0</x:v>
      </x:c>
    </x:row>
    <x:row r="317">
      <x:c r="A317" s="85" t="n">
        <x:v>316</x:v>
      </x:c>
      <x:c r="B317" s="86" t="n">
        <x:v>230</x:v>
      </x:c>
      <x:c r="C317" s="95" t="n">
        <x:v>45556</x:v>
      </x:c>
      <x:c r="D317" s="86" t="str">
        <x:v>Admissão</x:v>
      </x:c>
      <x:c r="E317" s="86" t="str">
        <x:v>Nova contratação</x:v>
      </x:c>
      <x:c r="F317" s="86"/>
      <x:c r="G317" s="86" t="n">
        <x:v>1</x:v>
      </x:c>
      <x:c r="H317" s="86"/>
      <x:c r="I317" s="86" t="n">
        <x:v>1</x:v>
      </x:c>
      <x:c r="J317" s="97" t="n">
        <x:v>0</x:v>
      </x:c>
    </x:row>
    <x:row r="318">
      <x:c r="A318" s="85" t="n">
        <x:v>317</x:v>
      </x:c>
      <x:c r="B318" s="86" t="n">
        <x:v>231</x:v>
      </x:c>
      <x:c r="C318" s="95" t="n">
        <x:v>44952</x:v>
      </x:c>
      <x:c r="D318" s="86" t="str">
        <x:v>Admissão</x:v>
      </x:c>
      <x:c r="E318" s="86" t="str">
        <x:v>Nova contratação</x:v>
      </x:c>
      <x:c r="F318" s="86"/>
      <x:c r="G318" s="86" t="n">
        <x:v>7</x:v>
      </x:c>
      <x:c r="H318" s="86"/>
      <x:c r="I318" s="86" t="n">
        <x:v>7</x:v>
      </x:c>
      <x:c r="J318" s="97" t="n">
        <x:v>0</x:v>
      </x:c>
    </x:row>
    <x:row r="319">
      <x:c r="A319" s="85" t="n">
        <x:v>318</x:v>
      </x:c>
      <x:c r="B319" s="86" t="n">
        <x:v>232</x:v>
      </x:c>
      <x:c r="C319" s="95" t="n">
        <x:v>44941</x:v>
      </x:c>
      <x:c r="D319" s="86" t="str">
        <x:v>Admissão</x:v>
      </x:c>
      <x:c r="E319" s="86" t="str">
        <x:v>Nova contratação</x:v>
      </x:c>
      <x:c r="F319" s="86"/>
      <x:c r="G319" s="86" t="n">
        <x:v>1</x:v>
      </x:c>
      <x:c r="H319" s="86"/>
      <x:c r="I319" s="86" t="n">
        <x:v>1</x:v>
      </x:c>
      <x:c r="J319" s="97" t="n">
        <x:v>0</x:v>
      </x:c>
    </x:row>
    <x:row r="320">
      <x:c r="A320" s="85" t="n">
        <x:v>319</x:v>
      </x:c>
      <x:c r="B320" s="86" t="n">
        <x:v>232</x:v>
      </x:c>
      <x:c r="C320" s="95" t="n">
        <x:v>45328</x:v>
      </x:c>
      <x:c r="D320" s="86" t="str">
        <x:v>Desligamento</x:v>
      </x:c>
      <x:c r="E320" s="86" t="str">
        <x:v>Reestruturação</x:v>
      </x:c>
      <x:c r="F320" s="86" t="n">
        <x:v>1</x:v>
      </x:c>
      <x:c r="G320" s="86"/>
      <x:c r="H320" s="86" t="n">
        <x:v>1</x:v>
      </x:c>
      <x:c r="I320" s="86"/>
      <x:c r="J320" s="97" t="n">
        <x:v>0</x:v>
      </x:c>
    </x:row>
    <x:row r="321">
      <x:c r="A321" s="85" t="n">
        <x:v>320</x:v>
      </x:c>
      <x:c r="B321" s="86" t="n">
        <x:v>233</x:v>
      </x:c>
      <x:c r="C321" s="95" t="n">
        <x:v>45756</x:v>
      </x:c>
      <x:c r="D321" s="86" t="str">
        <x:v>Admissão</x:v>
      </x:c>
      <x:c r="E321" s="86" t="str">
        <x:v>Nova contratação</x:v>
      </x:c>
      <x:c r="F321" s="86"/>
      <x:c r="G321" s="86" t="n">
        <x:v>2</x:v>
      </x:c>
      <x:c r="H321" s="86"/>
      <x:c r="I321" s="86" t="n">
        <x:v>2</x:v>
      </x:c>
      <x:c r="J321" s="97" t="n">
        <x:v>0</x:v>
      </x:c>
    </x:row>
    <x:row r="322">
      <x:c r="A322" s="85" t="n">
        <x:v>321</x:v>
      </x:c>
      <x:c r="B322" s="86" t="n">
        <x:v>233</x:v>
      </x:c>
      <x:c r="C322" s="95" t="n">
        <x:v>45938</x:v>
      </x:c>
      <x:c r="D322" s="86" t="str">
        <x:v>Promoção</x:v>
      </x:c>
      <x:c r="E322" s="86" t="str">
        <x:v>Evolução de carreira</x:v>
      </x:c>
      <x:c r="F322" s="86" t="n">
        <x:v>2</x:v>
      </x:c>
      <x:c r="G322" s="86" t="n">
        <x:v>2</x:v>
      </x:c>
      <x:c r="H322" s="86" t="n">
        <x:v>2</x:v>
      </x:c>
      <x:c r="I322" s="86" t="n">
        <x:v>2</x:v>
      </x:c>
      <x:c r="J322" s="97" t="n">
        <x:v>0.0871</x:v>
      </x:c>
    </x:row>
    <x:row r="323">
      <x:c r="A323" s="85" t="n">
        <x:v>322</x:v>
      </x:c>
      <x:c r="B323" s="86" t="n">
        <x:v>234</x:v>
      </x:c>
      <x:c r="C323" s="95" t="n">
        <x:v>45238</x:v>
      </x:c>
      <x:c r="D323" s="86" t="str">
        <x:v>Admissão</x:v>
      </x:c>
      <x:c r="E323" s="86" t="str">
        <x:v>Nova contratação</x:v>
      </x:c>
      <x:c r="F323" s="86"/>
      <x:c r="G323" s="86" t="n">
        <x:v>1</x:v>
      </x:c>
      <x:c r="H323" s="86"/>
      <x:c r="I323" s="86" t="n">
        <x:v>1</x:v>
      </x:c>
      <x:c r="J323" s="97" t="n">
        <x:v>0</x:v>
      </x:c>
    </x:row>
    <x:row r="324">
      <x:c r="A324" s="85" t="n">
        <x:v>323</x:v>
      </x:c>
      <x:c r="B324" s="86" t="n">
        <x:v>234</x:v>
      </x:c>
      <x:c r="C324" s="95" t="n">
        <x:v>45773</x:v>
      </x:c>
      <x:c r="D324" s="86" t="str">
        <x:v>Promoção</x:v>
      </x:c>
      <x:c r="E324" s="86" t="str">
        <x:v>Evolução de carreira</x:v>
      </x:c>
      <x:c r="F324" s="86" t="n">
        <x:v>1</x:v>
      </x:c>
      <x:c r="G324" s="86" t="n">
        <x:v>1</x:v>
      </x:c>
      <x:c r="H324" s="86" t="n">
        <x:v>1</x:v>
      </x:c>
      <x:c r="I324" s="86" t="n">
        <x:v>1</x:v>
      </x:c>
      <x:c r="J324" s="97" t="n">
        <x:v>0.1166</x:v>
      </x:c>
    </x:row>
    <x:row r="325">
      <x:c r="A325" s="85" t="n">
        <x:v>324</x:v>
      </x:c>
      <x:c r="B325" s="86" t="n">
        <x:v>235</x:v>
      </x:c>
      <x:c r="C325" s="95" t="n">
        <x:v>45690</x:v>
      </x:c>
      <x:c r="D325" s="86" t="str">
        <x:v>Admissão</x:v>
      </x:c>
      <x:c r="E325" s="86" t="str">
        <x:v>Nova contratação</x:v>
      </x:c>
      <x:c r="F325" s="86"/>
      <x:c r="G325" s="86" t="n">
        <x:v>1</x:v>
      </x:c>
      <x:c r="H325" s="86"/>
      <x:c r="I325" s="86" t="n">
        <x:v>1</x:v>
      </x:c>
      <x:c r="J325" s="97" t="n">
        <x:v>0</x:v>
      </x:c>
    </x:row>
    <x:row r="326">
      <x:c r="A326" s="85" t="n">
        <x:v>325</x:v>
      </x:c>
      <x:c r="B326" s="86" t="n">
        <x:v>236</x:v>
      </x:c>
      <x:c r="C326" s="95" t="n">
        <x:v>45387</x:v>
      </x:c>
      <x:c r="D326" s="86" t="str">
        <x:v>Admissão</x:v>
      </x:c>
      <x:c r="E326" s="86" t="str">
        <x:v>Nova contratação</x:v>
      </x:c>
      <x:c r="F326" s="86"/>
      <x:c r="G326" s="86" t="n">
        <x:v>5</x:v>
      </x:c>
      <x:c r="H326" s="86"/>
      <x:c r="I326" s="86" t="n">
        <x:v>5</x:v>
      </x:c>
      <x:c r="J326" s="97" t="n">
        <x:v>0</x:v>
      </x:c>
    </x:row>
    <x:row r="327">
      <x:c r="A327" s="85" t="n">
        <x:v>326</x:v>
      </x:c>
      <x:c r="B327" s="86" t="n">
        <x:v>237</x:v>
      </x:c>
      <x:c r="C327" s="95" t="n">
        <x:v>45448</x:v>
      </x:c>
      <x:c r="D327" s="86" t="str">
        <x:v>Admissão</x:v>
      </x:c>
      <x:c r="E327" s="86" t="str">
        <x:v>Nova contratação</x:v>
      </x:c>
      <x:c r="F327" s="86"/>
      <x:c r="G327" s="86" t="n">
        <x:v>4</x:v>
      </x:c>
      <x:c r="H327" s="86"/>
      <x:c r="I327" s="86" t="n">
        <x:v>14</x:v>
      </x:c>
      <x:c r="J327" s="97" t="n">
        <x:v>0</x:v>
      </x:c>
    </x:row>
    <x:row r="328">
      <x:c r="A328" s="85" t="n">
        <x:v>327</x:v>
      </x:c>
      <x:c r="B328" s="86" t="n">
        <x:v>238</x:v>
      </x:c>
      <x:c r="C328" s="95" t="n">
        <x:v>45484</x:v>
      </x:c>
      <x:c r="D328" s="86" t="str">
        <x:v>Admissão</x:v>
      </x:c>
      <x:c r="E328" s="86" t="str">
        <x:v>Nova contratação</x:v>
      </x:c>
      <x:c r="F328" s="86"/>
      <x:c r="G328" s="86" t="n">
        <x:v>1</x:v>
      </x:c>
      <x:c r="H328" s="86"/>
      <x:c r="I328" s="86" t="n">
        <x:v>1</x:v>
      </x:c>
      <x:c r="J328" s="97" t="n">
        <x:v>0</x:v>
      </x:c>
    </x:row>
    <x:row r="329">
      <x:c r="A329" s="85" t="n">
        <x:v>328</x:v>
      </x:c>
      <x:c r="B329" s="86" t="n">
        <x:v>239</x:v>
      </x:c>
      <x:c r="C329" s="95" t="n">
        <x:v>45085</x:v>
      </x:c>
      <x:c r="D329" s="86" t="str">
        <x:v>Admissão</x:v>
      </x:c>
      <x:c r="E329" s="86" t="str">
        <x:v>Nova contratação</x:v>
      </x:c>
      <x:c r="F329" s="86"/>
      <x:c r="G329" s="86" t="n">
        <x:v>4</x:v>
      </x:c>
      <x:c r="H329" s="86"/>
      <x:c r="I329" s="86" t="n">
        <x:v>14</x:v>
      </x:c>
      <x:c r="J329" s="97" t="n">
        <x:v>0</x:v>
      </x:c>
    </x:row>
    <x:row r="330">
      <x:c r="A330" s="85" t="n">
        <x:v>329</x:v>
      </x:c>
      <x:c r="B330" s="86" t="n">
        <x:v>239</x:v>
      </x:c>
      <x:c r="C330" s="95" t="n">
        <x:v>45618</x:v>
      </x:c>
      <x:c r="D330" s="86" t="str">
        <x:v>Desligamento</x:v>
      </x:c>
      <x:c r="E330" s="86" t="str">
        <x:v>Reestruturação</x:v>
      </x:c>
      <x:c r="F330" s="86" t="n">
        <x:v>4</x:v>
      </x:c>
      <x:c r="G330" s="86"/>
      <x:c r="H330" s="86" t="n">
        <x:v>14</x:v>
      </x:c>
      <x:c r="I330" s="86"/>
      <x:c r="J330" s="97" t="n">
        <x:v>0</x:v>
      </x:c>
    </x:row>
    <x:row r="331">
      <x:c r="A331" s="85" t="n">
        <x:v>330</x:v>
      </x:c>
      <x:c r="B331" s="86" t="n">
        <x:v>240</x:v>
      </x:c>
      <x:c r="C331" s="95" t="n">
        <x:v>45222</x:v>
      </x:c>
      <x:c r="D331" s="86" t="str">
        <x:v>Admissão</x:v>
      </x:c>
      <x:c r="E331" s="86" t="str">
        <x:v>Nova contratação</x:v>
      </x:c>
      <x:c r="F331" s="86"/>
      <x:c r="G331" s="86" t="n">
        <x:v>9</x:v>
      </x:c>
      <x:c r="H331" s="86"/>
      <x:c r="I331" s="86" t="n">
        <x:v>9</x:v>
      </x:c>
      <x:c r="J331" s="97" t="n">
        <x:v>0</x:v>
      </x:c>
    </x:row>
    <x:row r="332">
      <x:c r="A332" s="85" t="n">
        <x:v>331</x:v>
      </x:c>
      <x:c r="B332" s="86" t="n">
        <x:v>241</x:v>
      </x:c>
      <x:c r="C332" s="95" t="n">
        <x:v>45703</x:v>
      </x:c>
      <x:c r="D332" s="86" t="str">
        <x:v>Admissão</x:v>
      </x:c>
      <x:c r="E332" s="86" t="str">
        <x:v>Nova contratação</x:v>
      </x:c>
      <x:c r="F332" s="86"/>
      <x:c r="G332" s="86" t="n">
        <x:v>1</x:v>
      </x:c>
      <x:c r="H332" s="86"/>
      <x:c r="I332" s="86" t="n">
        <x:v>1</x:v>
      </x:c>
      <x:c r="J332" s="97" t="n">
        <x:v>0</x:v>
      </x:c>
    </x:row>
    <x:row r="333">
      <x:c r="A333" s="85" t="n">
        <x:v>332</x:v>
      </x:c>
      <x:c r="B333" s="86" t="n">
        <x:v>242</x:v>
      </x:c>
      <x:c r="C333" s="95" t="n">
        <x:v>45100</x:v>
      </x:c>
      <x:c r="D333" s="86" t="str">
        <x:v>Admissão</x:v>
      </x:c>
      <x:c r="E333" s="86" t="str">
        <x:v>Nova contratação</x:v>
      </x:c>
      <x:c r="F333" s="86"/>
      <x:c r="G333" s="86" t="n">
        <x:v>3</x:v>
      </x:c>
      <x:c r="H333" s="86"/>
      <x:c r="I333" s="86" t="n">
        <x:v>3</x:v>
      </x:c>
      <x:c r="J333" s="97" t="n">
        <x:v>0</x:v>
      </x:c>
    </x:row>
    <x:row r="334">
      <x:c r="A334" s="85" t="n">
        <x:v>333</x:v>
      </x:c>
      <x:c r="B334" s="86" t="n">
        <x:v>243</x:v>
      </x:c>
      <x:c r="C334" s="95" t="n">
        <x:v>45493</x:v>
      </x:c>
      <x:c r="D334" s="86" t="str">
        <x:v>Admissão</x:v>
      </x:c>
      <x:c r="E334" s="86" t="str">
        <x:v>Nova contratação</x:v>
      </x:c>
      <x:c r="F334" s="86"/>
      <x:c r="G334" s="86" t="n">
        <x:v>6</x:v>
      </x:c>
      <x:c r="H334" s="86"/>
      <x:c r="I334" s="86" t="n">
        <x:v>6</x:v>
      </x:c>
      <x:c r="J334" s="97" t="n">
        <x:v>0</x:v>
      </x:c>
    </x:row>
    <x:row r="335">
      <x:c r="A335" s="85" t="n">
        <x:v>334</x:v>
      </x:c>
      <x:c r="B335" s="86" t="n">
        <x:v>243</x:v>
      </x:c>
      <x:c r="C335" s="95" t="n">
        <x:v>45985</x:v>
      </x:c>
      <x:c r="D335" s="86" t="str">
        <x:v>Promoção</x:v>
      </x:c>
      <x:c r="E335" s="86" t="str">
        <x:v>Evolução de carreira</x:v>
      </x:c>
      <x:c r="F335" s="86" t="n">
        <x:v>6</x:v>
      </x:c>
      <x:c r="G335" s="86" t="n">
        <x:v>6</x:v>
      </x:c>
      <x:c r="H335" s="86" t="n">
        <x:v>6</x:v>
      </x:c>
      <x:c r="I335" s="86" t="n">
        <x:v>6</x:v>
      </x:c>
      <x:c r="J335" s="97" t="n">
        <x:v>0.0884</x:v>
      </x:c>
    </x:row>
    <x:row r="336">
      <x:c r="A336" s="85" t="n">
        <x:v>335</x:v>
      </x:c>
      <x:c r="B336" s="86" t="n">
        <x:v>244</x:v>
      </x:c>
      <x:c r="C336" s="95" t="n">
        <x:v>45672</x:v>
      </x:c>
      <x:c r="D336" s="86" t="str">
        <x:v>Admissão</x:v>
      </x:c>
      <x:c r="E336" s="86" t="str">
        <x:v>Nova contratação</x:v>
      </x:c>
      <x:c r="F336" s="86"/>
      <x:c r="G336" s="86" t="n">
        <x:v>1</x:v>
      </x:c>
      <x:c r="H336" s="86"/>
      <x:c r="I336" s="86" t="n">
        <x:v>1</x:v>
      </x:c>
      <x:c r="J336" s="97" t="n">
        <x:v>0</x:v>
      </x:c>
    </x:row>
    <x:row r="337">
      <x:c r="A337" s="85" t="n">
        <x:v>336</x:v>
      </x:c>
      <x:c r="B337" s="86" t="n">
        <x:v>245</x:v>
      </x:c>
      <x:c r="C337" s="95" t="n">
        <x:v>45635</x:v>
      </x:c>
      <x:c r="D337" s="86" t="str">
        <x:v>Admissão</x:v>
      </x:c>
      <x:c r="E337" s="86" t="str">
        <x:v>Nova contratação</x:v>
      </x:c>
      <x:c r="F337" s="86"/>
      <x:c r="G337" s="86" t="n">
        <x:v>3</x:v>
      </x:c>
      <x:c r="H337" s="86"/>
      <x:c r="I337" s="86" t="n">
        <x:v>3</x:v>
      </x:c>
      <x:c r="J337" s="97" t="n">
        <x:v>0</x:v>
      </x:c>
    </x:row>
    <x:row r="338">
      <x:c r="A338" s="85" t="n">
        <x:v>337</x:v>
      </x:c>
      <x:c r="B338" s="86" t="n">
        <x:v>245</x:v>
      </x:c>
      <x:c r="C338" s="95" t="n">
        <x:v>46008</x:v>
      </x:c>
      <x:c r="D338" s="86" t="str">
        <x:v>Promoção</x:v>
      </x:c>
      <x:c r="E338" s="86" t="str">
        <x:v>Evolução de carreira</x:v>
      </x:c>
      <x:c r="F338" s="86" t="n">
        <x:v>3</x:v>
      </x:c>
      <x:c r="G338" s="86" t="n">
        <x:v>3</x:v>
      </x:c>
      <x:c r="H338" s="86" t="n">
        <x:v>3</x:v>
      </x:c>
      <x:c r="I338" s="86" t="n">
        <x:v>3</x:v>
      </x:c>
      <x:c r="J338" s="97" t="n">
        <x:v>0.0935</x:v>
      </x:c>
    </x:row>
    <x:row r="339">
      <x:c r="A339" s="85" t="n">
        <x:v>338</x:v>
      </x:c>
      <x:c r="B339" s="86" t="n">
        <x:v>246</x:v>
      </x:c>
      <x:c r="C339" s="95" t="n">
        <x:v>45892</x:v>
      </x:c>
      <x:c r="D339" s="86" t="str">
        <x:v>Admissão</x:v>
      </x:c>
      <x:c r="E339" s="86" t="str">
        <x:v>Nova contratação</x:v>
      </x:c>
      <x:c r="F339" s="86"/>
      <x:c r="G339" s="86" t="n">
        <x:v>8</x:v>
      </x:c>
      <x:c r="H339" s="86"/>
      <x:c r="I339" s="86" t="n">
        <x:v>8</x:v>
      </x:c>
      <x:c r="J339" s="97" t="n">
        <x:v>0</x:v>
      </x:c>
    </x:row>
    <x:row r="340">
      <x:c r="A340" s="85" t="n">
        <x:v>339</x:v>
      </x:c>
      <x:c r="B340" s="86" t="n">
        <x:v>247</x:v>
      </x:c>
      <x:c r="C340" s="95" t="n">
        <x:v>45818</x:v>
      </x:c>
      <x:c r="D340" s="86" t="str">
        <x:v>Admissão</x:v>
      </x:c>
      <x:c r="E340" s="86" t="str">
        <x:v>Nova contratação</x:v>
      </x:c>
      <x:c r="F340" s="86"/>
      <x:c r="G340" s="86" t="n">
        <x:v>3</x:v>
      </x:c>
      <x:c r="H340" s="86"/>
      <x:c r="I340" s="86" t="n">
        <x:v>3</x:v>
      </x:c>
      <x:c r="J340" s="97" t="n">
        <x:v>0</x:v>
      </x:c>
    </x:row>
    <x:row r="341">
      <x:c r="A341" s="85" t="n">
        <x:v>340</x:v>
      </x:c>
      <x:c r="B341" s="86" t="n">
        <x:v>247</x:v>
      </x:c>
      <x:c r="C341" s="95" t="n">
        <x:v>45998</x:v>
      </x:c>
      <x:c r="D341" s="86" t="str">
        <x:v>Promoção</x:v>
      </x:c>
      <x:c r="E341" s="86" t="str">
        <x:v>Evolução de carreira</x:v>
      </x:c>
      <x:c r="F341" s="86" t="n">
        <x:v>3</x:v>
      </x:c>
      <x:c r="G341" s="86" t="n">
        <x:v>3</x:v>
      </x:c>
      <x:c r="H341" s="86" t="n">
        <x:v>3</x:v>
      </x:c>
      <x:c r="I341" s="86" t="n">
        <x:v>3</x:v>
      </x:c>
      <x:c r="J341" s="97" t="n">
        <x:v>0.0647</x:v>
      </x:c>
    </x:row>
    <x:row r="342">
      <x:c r="A342" s="85" t="n">
        <x:v>341</x:v>
      </x:c>
      <x:c r="B342" s="86" t="n">
        <x:v>248</x:v>
      </x:c>
      <x:c r="C342" s="95" t="n">
        <x:v>45098</x:v>
      </x:c>
      <x:c r="D342" s="86" t="str">
        <x:v>Admissão</x:v>
      </x:c>
      <x:c r="E342" s="86" t="str">
        <x:v>Nova contratação</x:v>
      </x:c>
      <x:c r="F342" s="86"/>
      <x:c r="G342" s="86" t="n">
        <x:v>1</x:v>
      </x:c>
      <x:c r="H342" s="86"/>
      <x:c r="I342" s="86" t="n">
        <x:v>1</x:v>
      </x:c>
      <x:c r="J342" s="97" t="n">
        <x:v>0</x:v>
      </x:c>
    </x:row>
    <x:row r="343">
      <x:c r="A343" s="85" t="n">
        <x:v>342</x:v>
      </x:c>
      <x:c r="B343" s="86" t="n">
        <x:v>248</x:v>
      </x:c>
      <x:c r="C343" s="95" t="n">
        <x:v>45708</x:v>
      </x:c>
      <x:c r="D343" s="86" t="str">
        <x:v>Promoção</x:v>
      </x:c>
      <x:c r="E343" s="86" t="str">
        <x:v>Evolução de carreira</x:v>
      </x:c>
      <x:c r="F343" s="86" t="n">
        <x:v>1</x:v>
      </x:c>
      <x:c r="G343" s="86" t="n">
        <x:v>1</x:v>
      </x:c>
      <x:c r="H343" s="86" t="n">
        <x:v>1</x:v>
      </x:c>
      <x:c r="I343" s="86" t="n">
        <x:v>1</x:v>
      </x:c>
      <x:c r="J343" s="97" t="n">
        <x:v>0.0986</x:v>
      </x:c>
    </x:row>
    <x:row r="344">
      <x:c r="A344" s="85" t="n">
        <x:v>343</x:v>
      </x:c>
      <x:c r="B344" s="86" t="n">
        <x:v>249</x:v>
      </x:c>
      <x:c r="C344" s="95" t="n">
        <x:v>45051</x:v>
      </x:c>
      <x:c r="D344" s="86" t="str">
        <x:v>Admissão</x:v>
      </x:c>
      <x:c r="E344" s="86" t="str">
        <x:v>Nova contratação</x:v>
      </x:c>
      <x:c r="F344" s="86"/>
      <x:c r="G344" s="86" t="n">
        <x:v>5</x:v>
      </x:c>
      <x:c r="H344" s="86"/>
      <x:c r="I344" s="86" t="n">
        <x:v>5</x:v>
      </x:c>
      <x:c r="J344" s="97" t="n">
        <x:v>0</x:v>
      </x:c>
    </x:row>
    <x:row r="345">
      <x:c r="A345" s="85" t="n">
        <x:v>344</x:v>
      </x:c>
      <x:c r="B345" s="86" t="n">
        <x:v>250</x:v>
      </x:c>
      <x:c r="C345" s="95" t="n">
        <x:v>45858</x:v>
      </x:c>
      <x:c r="D345" s="86" t="str">
        <x:v>Admissão</x:v>
      </x:c>
      <x:c r="E345" s="86" t="str">
        <x:v>Nova contratação</x:v>
      </x:c>
      <x:c r="F345" s="86"/>
      <x:c r="G345" s="86" t="n">
        <x:v>10</x:v>
      </x:c>
      <x:c r="H345" s="86"/>
      <x:c r="I345" s="86" t="n">
        <x:v>10</x:v>
      </x:c>
      <x:c r="J345" s="97" t="n">
        <x:v>0</x:v>
      </x:c>
    </x:row>
    <x:row r="346">
      <x:c r="A346" s="85" t="n">
        <x:v>345</x:v>
      </x:c>
      <x:c r="B346" s="86" t="n">
        <x:v>251</x:v>
      </x:c>
      <x:c r="C346" s="95" t="n">
        <x:v>45823</x:v>
      </x:c>
      <x:c r="D346" s="86" t="str">
        <x:v>Admissão</x:v>
      </x:c>
      <x:c r="E346" s="86" t="str">
        <x:v>Nova contratação</x:v>
      </x:c>
      <x:c r="F346" s="86"/>
      <x:c r="G346" s="86" t="n">
        <x:v>4</x:v>
      </x:c>
      <x:c r="H346" s="86"/>
      <x:c r="I346" s="86" t="n">
        <x:v>4</x:v>
      </x:c>
      <x:c r="J346" s="97" t="n">
        <x:v>0</x:v>
      </x:c>
    </x:row>
    <x:row r="347">
      <x:c r="A347" s="85" t="n">
        <x:v>346</x:v>
      </x:c>
      <x:c r="B347" s="86" t="n">
        <x:v>252</x:v>
      </x:c>
      <x:c r="C347" s="95" t="n">
        <x:v>45802</x:v>
      </x:c>
      <x:c r="D347" s="86" t="str">
        <x:v>Admissão</x:v>
      </x:c>
      <x:c r="E347" s="86" t="str">
        <x:v>Nova contratação</x:v>
      </x:c>
      <x:c r="F347" s="86"/>
      <x:c r="G347" s="86" t="n">
        <x:v>5</x:v>
      </x:c>
      <x:c r="H347" s="86"/>
      <x:c r="I347" s="86" t="n">
        <x:v>5</x:v>
      </x:c>
      <x:c r="J347" s="97" t="n">
        <x:v>0</x:v>
      </x:c>
    </x:row>
    <x:row r="348">
      <x:c r="A348" s="85" t="n">
        <x:v>347</x:v>
      </x:c>
      <x:c r="B348" s="86" t="n">
        <x:v>253</x:v>
      </x:c>
      <x:c r="C348" s="95" t="n">
        <x:v>45000</x:v>
      </x:c>
      <x:c r="D348" s="86" t="str">
        <x:v>Admissão</x:v>
      </x:c>
      <x:c r="E348" s="86" t="str">
        <x:v>Nova contratação</x:v>
      </x:c>
      <x:c r="F348" s="86"/>
      <x:c r="G348" s="86" t="n">
        <x:v>2</x:v>
      </x:c>
      <x:c r="H348" s="86"/>
      <x:c r="I348" s="86" t="n">
        <x:v>2</x:v>
      </x:c>
      <x:c r="J348" s="97" t="n">
        <x:v>0</x:v>
      </x:c>
    </x:row>
    <x:row r="349">
      <x:c r="A349" s="85" t="n">
        <x:v>348</x:v>
      </x:c>
      <x:c r="B349" s="86" t="n">
        <x:v>254</x:v>
      </x:c>
      <x:c r="C349" s="95" t="n">
        <x:v>45614</x:v>
      </x:c>
      <x:c r="D349" s="86" t="str">
        <x:v>Admissão</x:v>
      </x:c>
      <x:c r="E349" s="86" t="str">
        <x:v>Nova contratação</x:v>
      </x:c>
      <x:c r="F349" s="86"/>
      <x:c r="G349" s="86" t="n">
        <x:v>1</x:v>
      </x:c>
      <x:c r="H349" s="86"/>
      <x:c r="I349" s="86" t="n">
        <x:v>1</x:v>
      </x:c>
      <x:c r="J349" s="97" t="n">
        <x:v>0</x:v>
      </x:c>
    </x:row>
    <x:row r="350">
      <x:c r="A350" s="85" t="n">
        <x:v>349</x:v>
      </x:c>
      <x:c r="B350" s="86" t="n">
        <x:v>255</x:v>
      </x:c>
      <x:c r="C350" s="95" t="n">
        <x:v>44938</x:v>
      </x:c>
      <x:c r="D350" s="86" t="str">
        <x:v>Admissão</x:v>
      </x:c>
      <x:c r="E350" s="86" t="str">
        <x:v>Nova contratação</x:v>
      </x:c>
      <x:c r="F350" s="86"/>
      <x:c r="G350" s="86" t="n">
        <x:v>1</x:v>
      </x:c>
      <x:c r="H350" s="86"/>
      <x:c r="I350" s="86" t="n">
        <x:v>1</x:v>
      </x:c>
      <x:c r="J350" s="97" t="n">
        <x:v>0</x:v>
      </x:c>
    </x:row>
    <x:row r="351">
      <x:c r="A351" s="85" t="n">
        <x:v>350</x:v>
      </x:c>
      <x:c r="B351" s="86" t="n">
        <x:v>256</x:v>
      </x:c>
      <x:c r="C351" s="95" t="n">
        <x:v>45927</x:v>
      </x:c>
      <x:c r="D351" s="86" t="str">
        <x:v>Admissão</x:v>
      </x:c>
      <x:c r="E351" s="86" t="str">
        <x:v>Nova contratação</x:v>
      </x:c>
      <x:c r="F351" s="86"/>
      <x:c r="G351" s="86" t="n">
        <x:v>1</x:v>
      </x:c>
      <x:c r="H351" s="86"/>
      <x:c r="I351" s="86" t="n">
        <x:v>1</x:v>
      </x:c>
      <x:c r="J351" s="97" t="n">
        <x:v>0</x:v>
      </x:c>
    </x:row>
    <x:row r="352">
      <x:c r="A352" s="85" t="n">
        <x:v>351</x:v>
      </x:c>
      <x:c r="B352" s="86" t="n">
        <x:v>257</x:v>
      </x:c>
      <x:c r="C352" s="95" t="n">
        <x:v>45889</x:v>
      </x:c>
      <x:c r="D352" s="86" t="str">
        <x:v>Admissão</x:v>
      </x:c>
      <x:c r="E352" s="86" t="str">
        <x:v>Nova contratação</x:v>
      </x:c>
      <x:c r="F352" s="86"/>
      <x:c r="G352" s="86" t="n">
        <x:v>6</x:v>
      </x:c>
      <x:c r="H352" s="86"/>
      <x:c r="I352" s="86" t="n">
        <x:v>6</x:v>
      </x:c>
      <x:c r="J352" s="97" t="n">
        <x:v>0</x:v>
      </x:c>
    </x:row>
    <x:row r="353">
      <x:c r="A353" s="85" t="n">
        <x:v>352</x:v>
      </x:c>
      <x:c r="B353" s="86" t="n">
        <x:v>258</x:v>
      </x:c>
      <x:c r="C353" s="95" t="n">
        <x:v>45169</x:v>
      </x:c>
      <x:c r="D353" s="86" t="str">
        <x:v>Admissão</x:v>
      </x:c>
      <x:c r="E353" s="86" t="str">
        <x:v>Nova contratação</x:v>
      </x:c>
      <x:c r="F353" s="86"/>
      <x:c r="G353" s="86" t="n">
        <x:v>1</x:v>
      </x:c>
      <x:c r="H353" s="86"/>
      <x:c r="I353" s="86" t="n">
        <x:v>1</x:v>
      </x:c>
      <x:c r="J353" s="97" t="n">
        <x:v>0</x:v>
      </x:c>
    </x:row>
    <x:row r="354">
      <x:c r="A354" s="85" t="n">
        <x:v>353</x:v>
      </x:c>
      <x:c r="B354" s="86" t="n">
        <x:v>259</x:v>
      </x:c>
      <x:c r="C354" s="95" t="n">
        <x:v>45454</x:v>
      </x:c>
      <x:c r="D354" s="86" t="str">
        <x:v>Admissão</x:v>
      </x:c>
      <x:c r="E354" s="86" t="str">
        <x:v>Nova contratação</x:v>
      </x:c>
      <x:c r="F354" s="86"/>
      <x:c r="G354" s="86" t="n">
        <x:v>4</x:v>
      </x:c>
      <x:c r="H354" s="86"/>
      <x:c r="I354" s="86" t="n">
        <x:v>4</x:v>
      </x:c>
      <x:c r="J354" s="97" t="n">
        <x:v>0</x:v>
      </x:c>
    </x:row>
    <x:row r="355">
      <x:c r="A355" s="85" t="n">
        <x:v>354</x:v>
      </x:c>
      <x:c r="B355" s="86" t="n">
        <x:v>259</x:v>
      </x:c>
      <x:c r="C355" s="95" t="n">
        <x:v>45679</x:v>
      </x:c>
      <x:c r="D355" s="86" t="str">
        <x:v>Desligamento</x:v>
      </x:c>
      <x:c r="E355" s="86" t="str">
        <x:v>Fim de contrato</x:v>
      </x:c>
      <x:c r="F355" s="86" t="n">
        <x:v>4</x:v>
      </x:c>
      <x:c r="G355" s="86"/>
      <x:c r="H355" s="86" t="n">
        <x:v>4</x:v>
      </x:c>
      <x:c r="I355" s="86"/>
      <x:c r="J355" s="97" t="n">
        <x:v>0</x:v>
      </x:c>
    </x:row>
    <x:row r="356">
      <x:c r="A356" s="85" t="n">
        <x:v>355</x:v>
      </x:c>
      <x:c r="B356" s="86" t="n">
        <x:v>260</x:v>
      </x:c>
      <x:c r="C356" s="95" t="n">
        <x:v>45140</x:v>
      </x:c>
      <x:c r="D356" s="86" t="str">
        <x:v>Admissão</x:v>
      </x:c>
      <x:c r="E356" s="86" t="str">
        <x:v>Nova contratação</x:v>
      </x:c>
      <x:c r="F356" s="86"/>
      <x:c r="G356" s="86" t="n">
        <x:v>1</x:v>
      </x:c>
      <x:c r="H356" s="86"/>
      <x:c r="I356" s="86" t="n">
        <x:v>1</x:v>
      </x:c>
      <x:c r="J356" s="97" t="n">
        <x:v>0</x:v>
      </x:c>
    </x:row>
    <x:row r="357">
      <x:c r="A357" s="85" t="n">
        <x:v>356</x:v>
      </x:c>
      <x:c r="B357" s="86" t="n">
        <x:v>261</x:v>
      </x:c>
      <x:c r="C357" s="95" t="n">
        <x:v>44971</x:v>
      </x:c>
      <x:c r="D357" s="86" t="str">
        <x:v>Admissão</x:v>
      </x:c>
      <x:c r="E357" s="86" t="str">
        <x:v>Nova contratação</x:v>
      </x:c>
      <x:c r="F357" s="86"/>
      <x:c r="G357" s="86" t="n">
        <x:v>3</x:v>
      </x:c>
      <x:c r="H357" s="86"/>
      <x:c r="I357" s="86" t="n">
        <x:v>3</x:v>
      </x:c>
      <x:c r="J357" s="97" t="n">
        <x:v>0</x:v>
      </x:c>
    </x:row>
    <x:row r="358">
      <x:c r="A358" s="85" t="n">
        <x:v>357</x:v>
      </x:c>
      <x:c r="B358" s="86" t="n">
        <x:v>262</x:v>
      </x:c>
      <x:c r="C358" s="95" t="n">
        <x:v>45786</x:v>
      </x:c>
      <x:c r="D358" s="86" t="str">
        <x:v>Admissão</x:v>
      </x:c>
      <x:c r="E358" s="86" t="str">
        <x:v>Nova contratação</x:v>
      </x:c>
      <x:c r="F358" s="86"/>
      <x:c r="G358" s="86" t="n">
        <x:v>1</x:v>
      </x:c>
      <x:c r="H358" s="86"/>
      <x:c r="I358" s="86" t="n">
        <x:v>1</x:v>
      </x:c>
      <x:c r="J358" s="97" t="n">
        <x:v>0</x:v>
      </x:c>
    </x:row>
    <x:row r="359">
      <x:c r="A359" s="85" t="n">
        <x:v>358</x:v>
      </x:c>
      <x:c r="B359" s="86" t="n">
        <x:v>262</x:v>
      </x:c>
      <x:c r="C359" s="95" t="n">
        <x:v>45975</x:v>
      </x:c>
      <x:c r="D359" s="86" t="str">
        <x:v>Promoção</x:v>
      </x:c>
      <x:c r="E359" s="86" t="str">
        <x:v>Evolução de carreira</x:v>
      </x:c>
      <x:c r="F359" s="86" t="n">
        <x:v>1</x:v>
      </x:c>
      <x:c r="G359" s="86" t="n">
        <x:v>1</x:v>
      </x:c>
      <x:c r="H359" s="86" t="n">
        <x:v>1</x:v>
      </x:c>
      <x:c r="I359" s="86" t="n">
        <x:v>1</x:v>
      </x:c>
      <x:c r="J359" s="97" t="n">
        <x:v>0.0852</x:v>
      </x:c>
    </x:row>
    <x:row r="360">
      <x:c r="A360" s="85" t="n">
        <x:v>359</x:v>
      </x:c>
      <x:c r="B360" s="86" t="n">
        <x:v>263</x:v>
      </x:c>
      <x:c r="C360" s="95" t="n">
        <x:v>45126</x:v>
      </x:c>
      <x:c r="D360" s="86" t="str">
        <x:v>Admissão</x:v>
      </x:c>
      <x:c r="E360" s="86" t="str">
        <x:v>Nova contratação</x:v>
      </x:c>
      <x:c r="F360" s="86"/>
      <x:c r="G360" s="86" t="n">
        <x:v>10</x:v>
      </x:c>
      <x:c r="H360" s="86"/>
      <x:c r="I360" s="86" t="n">
        <x:v>10</x:v>
      </x:c>
      <x:c r="J360" s="97" t="n">
        <x:v>0</x:v>
      </x:c>
    </x:row>
    <x:row r="361">
      <x:c r="A361" s="85" t="n">
        <x:v>360</x:v>
      </x:c>
      <x:c r="B361" s="86" t="n">
        <x:v>263</x:v>
      </x:c>
      <x:c r="C361" s="95" t="n">
        <x:v>45704</x:v>
      </x:c>
      <x:c r="D361" s="86" t="str">
        <x:v>Desligamento</x:v>
      </x:c>
      <x:c r="E361" s="86" t="str">
        <x:v>Desempenho</x:v>
      </x:c>
      <x:c r="F361" s="86" t="n">
        <x:v>10</x:v>
      </x:c>
      <x:c r="G361" s="86"/>
      <x:c r="H361" s="86" t="n">
        <x:v>10</x:v>
      </x:c>
      <x:c r="I361" s="86"/>
      <x:c r="J361" s="97" t="n">
        <x:v>0</x:v>
      </x:c>
    </x:row>
    <x:row r="362">
      <x:c r="A362" s="85" t="n">
        <x:v>361</x:v>
      </x:c>
      <x:c r="B362" s="86" t="n">
        <x:v>264</x:v>
      </x:c>
      <x:c r="C362" s="95" t="n">
        <x:v>45306</x:v>
      </x:c>
      <x:c r="D362" s="86" t="str">
        <x:v>Admissão</x:v>
      </x:c>
      <x:c r="E362" s="86" t="str">
        <x:v>Nova contratação</x:v>
      </x:c>
      <x:c r="F362" s="86"/>
      <x:c r="G362" s="86" t="n">
        <x:v>4</x:v>
      </x:c>
      <x:c r="H362" s="86"/>
      <x:c r="I362" s="86" t="n">
        <x:v>4</x:v>
      </x:c>
      <x:c r="J362" s="97" t="n">
        <x:v>0</x:v>
      </x:c>
    </x:row>
    <x:row r="363">
      <x:c r="A363" s="85" t="n">
        <x:v>362</x:v>
      </x:c>
      <x:c r="B363" s="86" t="n">
        <x:v>265</x:v>
      </x:c>
      <x:c r="C363" s="95" t="n">
        <x:v>45197</x:v>
      </x:c>
      <x:c r="D363" s="86" t="str">
        <x:v>Admissão</x:v>
      </x:c>
      <x:c r="E363" s="86" t="str">
        <x:v>Nova contratação</x:v>
      </x:c>
      <x:c r="F363" s="86"/>
      <x:c r="G363" s="86" t="n">
        <x:v>1</x:v>
      </x:c>
      <x:c r="H363" s="86"/>
      <x:c r="I363" s="86" t="n">
        <x:v>1</x:v>
      </x:c>
      <x:c r="J363" s="97" t="n">
        <x:v>0</x:v>
      </x:c>
    </x:row>
    <x:row r="364">
      <x:c r="A364" s="85" t="n">
        <x:v>363</x:v>
      </x:c>
      <x:c r="B364" s="86" t="n">
        <x:v>266</x:v>
      </x:c>
      <x:c r="C364" s="95" t="n">
        <x:v>45819</x:v>
      </x:c>
      <x:c r="D364" s="86" t="str">
        <x:v>Admissão</x:v>
      </x:c>
      <x:c r="E364" s="86" t="str">
        <x:v>Nova contratação</x:v>
      </x:c>
      <x:c r="F364" s="86"/>
      <x:c r="G364" s="86" t="n">
        <x:v>1</x:v>
      </x:c>
      <x:c r="H364" s="86"/>
      <x:c r="I364" s="86" t="n">
        <x:v>1</x:v>
      </x:c>
      <x:c r="J364" s="97" t="n">
        <x:v>0</x:v>
      </x:c>
    </x:row>
    <x:row r="365">
      <x:c r="A365" s="85" t="n">
        <x:v>364</x:v>
      </x:c>
      <x:c r="B365" s="86" t="n">
        <x:v>267</x:v>
      </x:c>
      <x:c r="C365" s="95" t="n">
        <x:v>45748</x:v>
      </x:c>
      <x:c r="D365" s="86" t="str">
        <x:v>Admissão</x:v>
      </x:c>
      <x:c r="E365" s="86" t="str">
        <x:v>Nova contratação</x:v>
      </x:c>
      <x:c r="F365" s="86"/>
      <x:c r="G365" s="86" t="n">
        <x:v>4</x:v>
      </x:c>
      <x:c r="H365" s="86"/>
      <x:c r="I365" s="86" t="n">
        <x:v>4</x:v>
      </x:c>
      <x:c r="J365" s="97" t="n">
        <x:v>0</x:v>
      </x:c>
    </x:row>
    <x:row r="366">
      <x:c r="A366" s="85" t="n">
        <x:v>365</x:v>
      </x:c>
      <x:c r="B366" s="86" t="n">
        <x:v>268</x:v>
      </x:c>
      <x:c r="C366" s="95" t="n">
        <x:v>45715</x:v>
      </x:c>
      <x:c r="D366" s="86" t="str">
        <x:v>Admissão</x:v>
      </x:c>
      <x:c r="E366" s="86" t="str">
        <x:v>Nova contratação</x:v>
      </x:c>
      <x:c r="F366" s="86"/>
      <x:c r="G366" s="86" t="n">
        <x:v>4</x:v>
      </x:c>
      <x:c r="H366" s="86"/>
      <x:c r="I366" s="86" t="n">
        <x:v>4</x:v>
      </x:c>
      <x:c r="J366" s="97" t="n">
        <x:v>0</x:v>
      </x:c>
    </x:row>
    <x:row r="367">
      <x:c r="A367" s="85" t="n">
        <x:v>366</x:v>
      </x:c>
      <x:c r="B367" s="86" t="n">
        <x:v>269</x:v>
      </x:c>
      <x:c r="C367" s="95" t="n">
        <x:v>44945</x:v>
      </x:c>
      <x:c r="D367" s="86" t="str">
        <x:v>Admissão</x:v>
      </x:c>
      <x:c r="E367" s="86" t="str">
        <x:v>Nova contratação</x:v>
      </x:c>
      <x:c r="F367" s="86"/>
      <x:c r="G367" s="86" t="n">
        <x:v>4</x:v>
      </x:c>
      <x:c r="H367" s="86"/>
      <x:c r="I367" s="86" t="n">
        <x:v>4</x:v>
      </x:c>
      <x:c r="J367" s="97" t="n">
        <x:v>0</x:v>
      </x:c>
    </x:row>
    <x:row r="368">
      <x:c r="A368" s="85" t="n">
        <x:v>367</x:v>
      </x:c>
      <x:c r="B368" s="86" t="n">
        <x:v>270</x:v>
      </x:c>
      <x:c r="C368" s="95" t="n">
        <x:v>45071</x:v>
      </x:c>
      <x:c r="D368" s="86" t="str">
        <x:v>Admissão</x:v>
      </x:c>
      <x:c r="E368" s="86" t="str">
        <x:v>Nova contratação</x:v>
      </x:c>
      <x:c r="F368" s="86"/>
      <x:c r="G368" s="86" t="n">
        <x:v>1</x:v>
      </x:c>
      <x:c r="H368" s="86"/>
      <x:c r="I368" s="86" t="n">
        <x:v>1</x:v>
      </x:c>
      <x:c r="J368" s="97" t="n">
        <x:v>0</x:v>
      </x:c>
    </x:row>
    <x:row r="369">
      <x:c r="A369" s="85" t="n">
        <x:v>368</x:v>
      </x:c>
      <x:c r="B369" s="86" t="n">
        <x:v>271</x:v>
      </x:c>
      <x:c r="C369" s="95" t="n">
        <x:v>45561</x:v>
      </x:c>
      <x:c r="D369" s="86" t="str">
        <x:v>Admissão</x:v>
      </x:c>
      <x:c r="E369" s="86" t="str">
        <x:v>Nova contratação</x:v>
      </x:c>
      <x:c r="F369" s="86"/>
      <x:c r="G369" s="86" t="n">
        <x:v>9</x:v>
      </x:c>
      <x:c r="H369" s="86"/>
      <x:c r="I369" s="86" t="n">
        <x:v>9</x:v>
      </x:c>
      <x:c r="J369" s="97" t="n">
        <x:v>0</x:v>
      </x:c>
    </x:row>
    <x:row r="370">
      <x:c r="A370" s="85" t="n">
        <x:v>369</x:v>
      </x:c>
      <x:c r="B370" s="86" t="n">
        <x:v>272</x:v>
      </x:c>
      <x:c r="C370" s="95" t="n">
        <x:v>45512</x:v>
      </x:c>
      <x:c r="D370" s="86" t="str">
        <x:v>Admissão</x:v>
      </x:c>
      <x:c r="E370" s="86" t="str">
        <x:v>Nova contratação</x:v>
      </x:c>
      <x:c r="F370" s="86"/>
      <x:c r="G370" s="86" t="n">
        <x:v>10</x:v>
      </x:c>
      <x:c r="H370" s="86"/>
      <x:c r="I370" s="86" t="n">
        <x:v>10</x:v>
      </x:c>
      <x:c r="J370" s="97" t="n">
        <x:v>0</x:v>
      </x:c>
    </x:row>
    <x:row r="371">
      <x:c r="A371" s="85" t="n">
        <x:v>370</x:v>
      </x:c>
      <x:c r="B371" s="86" t="n">
        <x:v>272</x:v>
      </x:c>
      <x:c r="C371" s="95" t="n">
        <x:v>45971</x:v>
      </x:c>
      <x:c r="D371" s="86" t="str">
        <x:v>Desligamento</x:v>
      </x:c>
      <x:c r="E371" s="86" t="str">
        <x:v>Reestruturação</x:v>
      </x:c>
      <x:c r="F371" s="86" t="n">
        <x:v>10</x:v>
      </x:c>
      <x:c r="G371" s="86"/>
      <x:c r="H371" s="86" t="n">
        <x:v>10</x:v>
      </x:c>
      <x:c r="I371" s="86"/>
      <x:c r="J371" s="97" t="n">
        <x:v>0</x:v>
      </x:c>
    </x:row>
    <x:row r="372">
      <x:c r="A372" s="85" t="n">
        <x:v>371</x:v>
      </x:c>
      <x:c r="B372" s="86" t="n">
        <x:v>273</x:v>
      </x:c>
      <x:c r="C372" s="95" t="n">
        <x:v>45531</x:v>
      </x:c>
      <x:c r="D372" s="86" t="str">
        <x:v>Admissão</x:v>
      </x:c>
      <x:c r="E372" s="86" t="str">
        <x:v>Nova contratação</x:v>
      </x:c>
      <x:c r="F372" s="86"/>
      <x:c r="G372" s="86" t="n">
        <x:v>4</x:v>
      </x:c>
      <x:c r="H372" s="86"/>
      <x:c r="I372" s="86" t="n">
        <x:v>4</x:v>
      </x:c>
      <x:c r="J372" s="97" t="n">
        <x:v>0</x:v>
      </x:c>
    </x:row>
    <x:row r="373">
      <x:c r="A373" s="85" t="n">
        <x:v>372</x:v>
      </x:c>
      <x:c r="B373" s="86" t="n">
        <x:v>274</x:v>
      </x:c>
      <x:c r="C373" s="95" t="n">
        <x:v>45429</x:v>
      </x:c>
      <x:c r="D373" s="86" t="str">
        <x:v>Admissão</x:v>
      </x:c>
      <x:c r="E373" s="86" t="str">
        <x:v>Nova contratação</x:v>
      </x:c>
      <x:c r="F373" s="86"/>
      <x:c r="G373" s="86" t="n">
        <x:v>8</x:v>
      </x:c>
      <x:c r="H373" s="86"/>
      <x:c r="I373" s="86" t="n">
        <x:v>8</x:v>
      </x:c>
      <x:c r="J373" s="97" t="n">
        <x:v>0</x:v>
      </x:c>
    </x:row>
    <x:row r="374">
      <x:c r="A374" s="85" t="n">
        <x:v>373</x:v>
      </x:c>
      <x:c r="B374" s="86" t="n">
        <x:v>275</x:v>
      </x:c>
      <x:c r="C374" s="95" t="n">
        <x:v>45826</x:v>
      </x:c>
      <x:c r="D374" s="86" t="str">
        <x:v>Admissão</x:v>
      </x:c>
      <x:c r="E374" s="86" t="str">
        <x:v>Nova contratação</x:v>
      </x:c>
      <x:c r="F374" s="86"/>
      <x:c r="G374" s="86" t="n">
        <x:v>1</x:v>
      </x:c>
      <x:c r="H374" s="86"/>
      <x:c r="I374" s="86" t="n">
        <x:v>1</x:v>
      </x:c>
      <x:c r="J374" s="97" t="n">
        <x:v>0</x:v>
      </x:c>
    </x:row>
    <x:row r="375">
      <x:c r="A375" s="85" t="n">
        <x:v>374</x:v>
      </x:c>
      <x:c r="B375" s="86" t="n">
        <x:v>275</x:v>
      </x:c>
      <x:c r="C375" s="95" t="n">
        <x:v>46007</x:v>
      </x:c>
      <x:c r="D375" s="86" t="str">
        <x:v>Promoção</x:v>
      </x:c>
      <x:c r="E375" s="86" t="str">
        <x:v>Evolução de carreira</x:v>
      </x:c>
      <x:c r="F375" s="86" t="n">
        <x:v>1</x:v>
      </x:c>
      <x:c r="G375" s="86" t="n">
        <x:v>1</x:v>
      </x:c>
      <x:c r="H375" s="86" t="n">
        <x:v>1</x:v>
      </x:c>
      <x:c r="I375" s="86" t="n">
        <x:v>1</x:v>
      </x:c>
      <x:c r="J375" s="97" t="n">
        <x:v>0.1155</x:v>
      </x:c>
    </x:row>
    <x:row r="376">
      <x:c r="A376" s="85" t="n">
        <x:v>375</x:v>
      </x:c>
      <x:c r="B376" s="86" t="n">
        <x:v>276</x:v>
      </x:c>
      <x:c r="C376" s="95" t="n">
        <x:v>45138</x:v>
      </x:c>
      <x:c r="D376" s="86" t="str">
        <x:v>Admissão</x:v>
      </x:c>
      <x:c r="E376" s="86" t="str">
        <x:v>Nova contratação</x:v>
      </x:c>
      <x:c r="F376" s="86"/>
      <x:c r="G376" s="86" t="n">
        <x:v>5</x:v>
      </x:c>
      <x:c r="H376" s="86"/>
      <x:c r="I376" s="86" t="n">
        <x:v>5</x:v>
      </x:c>
      <x:c r="J376" s="97" t="n">
        <x:v>0</x:v>
      </x:c>
    </x:row>
    <x:row r="377">
      <x:c r="A377" s="85" t="n">
        <x:v>376</x:v>
      </x:c>
      <x:c r="B377" s="86" t="n">
        <x:v>276</x:v>
      </x:c>
      <x:c r="C377" s="95" t="n">
        <x:v>45635</x:v>
      </x:c>
      <x:c r="D377" s="86" t="str">
        <x:v>Promoção</x:v>
      </x:c>
      <x:c r="E377" s="86" t="str">
        <x:v>Evolução de carreira</x:v>
      </x:c>
      <x:c r="F377" s="86" t="n">
        <x:v>5</x:v>
      </x:c>
      <x:c r="G377" s="86" t="n">
        <x:v>5</x:v>
      </x:c>
      <x:c r="H377" s="86" t="n">
        <x:v>5</x:v>
      </x:c>
      <x:c r="I377" s="86" t="n">
        <x:v>5</x:v>
      </x:c>
      <x:c r="J377" s="97" t="n">
        <x:v>0.0848</x:v>
      </x:c>
    </x:row>
    <x:row r="378">
      <x:c r="A378" s="85" t="n">
        <x:v>377</x:v>
      </x:c>
      <x:c r="B378" s="86" t="n">
        <x:v>277</x:v>
      </x:c>
      <x:c r="C378" s="95" t="n">
        <x:v>45295</x:v>
      </x:c>
      <x:c r="D378" s="86" t="str">
        <x:v>Admissão</x:v>
      </x:c>
      <x:c r="E378" s="86" t="str">
        <x:v>Nova contratação</x:v>
      </x:c>
      <x:c r="F378" s="86"/>
      <x:c r="G378" s="86" t="n">
        <x:v>8</x:v>
      </x:c>
      <x:c r="H378" s="86"/>
      <x:c r="I378" s="86" t="n">
        <x:v>8</x:v>
      </x:c>
      <x:c r="J378" s="97" t="n">
        <x:v>0</x:v>
      </x:c>
    </x:row>
    <x:row r="379">
      <x:c r="A379" s="85" t="n">
        <x:v>378</x:v>
      </x:c>
      <x:c r="B379" s="86" t="n">
        <x:v>278</x:v>
      </x:c>
      <x:c r="C379" s="95" t="n">
        <x:v>45416</x:v>
      </x:c>
      <x:c r="D379" s="86" t="str">
        <x:v>Admissão</x:v>
      </x:c>
      <x:c r="E379" s="86" t="str">
        <x:v>Nova contratação</x:v>
      </x:c>
      <x:c r="F379" s="86"/>
      <x:c r="G379" s="86" t="n">
        <x:v>4</x:v>
      </x:c>
      <x:c r="H379" s="86"/>
      <x:c r="I379" s="86" t="n">
        <x:v>4</x:v>
      </x:c>
      <x:c r="J379" s="97" t="n">
        <x:v>0</x:v>
      </x:c>
    </x:row>
    <x:row r="380">
      <x:c r="A380" s="85" t="n">
        <x:v>379</x:v>
      </x:c>
      <x:c r="B380" s="86" t="n">
        <x:v>278</x:v>
      </x:c>
      <x:c r="C380" s="95" t="n">
        <x:v>45845</x:v>
      </x:c>
      <x:c r="D380" s="86" t="str">
        <x:v>Desligamento</x:v>
      </x:c>
      <x:c r="E380" s="86" t="str">
        <x:v>Fim de contrato</x:v>
      </x:c>
      <x:c r="F380" s="86" t="n">
        <x:v>4</x:v>
      </x:c>
      <x:c r="G380" s="86"/>
      <x:c r="H380" s="86" t="n">
        <x:v>4</x:v>
      </x:c>
      <x:c r="I380" s="86"/>
      <x:c r="J380" s="97" t="n">
        <x:v>0</x:v>
      </x:c>
    </x:row>
    <x:row r="381">
      <x:c r="A381" s="85" t="n">
        <x:v>380</x:v>
      </x:c>
      <x:c r="B381" s="86" t="n">
        <x:v>279</x:v>
      </x:c>
      <x:c r="C381" s="95" t="n">
        <x:v>45588</x:v>
      </x:c>
      <x:c r="D381" s="86" t="str">
        <x:v>Admissão</x:v>
      </x:c>
      <x:c r="E381" s="86" t="str">
        <x:v>Nova contratação</x:v>
      </x:c>
      <x:c r="F381" s="86"/>
      <x:c r="G381" s="86" t="n">
        <x:v>6</x:v>
      </x:c>
      <x:c r="H381" s="86"/>
      <x:c r="I381" s="86" t="n">
        <x:v>6</x:v>
      </x:c>
      <x:c r="J381" s="97" t="n">
        <x:v>0</x:v>
      </x:c>
    </x:row>
    <x:row r="382">
      <x:c r="A382" s="85" t="n">
        <x:v>381</x:v>
      </x:c>
      <x:c r="B382" s="86" t="n">
        <x:v>280</x:v>
      </x:c>
      <x:c r="C382" s="95" t="n">
        <x:v>45260</x:v>
      </x:c>
      <x:c r="D382" s="86" t="str">
        <x:v>Admissão</x:v>
      </x:c>
      <x:c r="E382" s="86" t="str">
        <x:v>Nova contratação</x:v>
      </x:c>
      <x:c r="F382" s="86"/>
      <x:c r="G382" s="86" t="n">
        <x:v>1</x:v>
      </x:c>
      <x:c r="H382" s="86"/>
      <x:c r="I382" s="86" t="n">
        <x:v>1</x:v>
      </x:c>
      <x:c r="J382" s="97" t="n">
        <x:v>0</x:v>
      </x:c>
    </x:row>
    <x:row r="383">
      <x:c r="A383" s="85" t="n">
        <x:v>382</x:v>
      </x:c>
      <x:c r="B383" s="86" t="n">
        <x:v>280</x:v>
      </x:c>
      <x:c r="C383" s="95" t="n">
        <x:v>45569</x:v>
      </x:c>
      <x:c r="D383" s="86" t="str">
        <x:v>Promoção</x:v>
      </x:c>
      <x:c r="E383" s="86" t="str">
        <x:v>Evolução de carreira</x:v>
      </x:c>
      <x:c r="F383" s="86" t="n">
        <x:v>1</x:v>
      </x:c>
      <x:c r="G383" s="86" t="n">
        <x:v>1</x:v>
      </x:c>
      <x:c r="H383" s="86" t="n">
        <x:v>1</x:v>
      </x:c>
      <x:c r="I383" s="86" t="n">
        <x:v>1</x:v>
      </x:c>
      <x:c r="J383" s="97" t="n">
        <x:v>0.0812</x:v>
      </x:c>
    </x:row>
    <x:row r="384">
      <x:c r="A384" s="85" t="n">
        <x:v>383</x:v>
      </x:c>
      <x:c r="B384" s="86" t="n">
        <x:v>281</x:v>
      </x:c>
      <x:c r="C384" s="95" t="n">
        <x:v>45584</x:v>
      </x:c>
      <x:c r="D384" s="86" t="str">
        <x:v>Admissão</x:v>
      </x:c>
      <x:c r="E384" s="86" t="str">
        <x:v>Nova contratação</x:v>
      </x:c>
      <x:c r="F384" s="86"/>
      <x:c r="G384" s="86" t="n">
        <x:v>1</x:v>
      </x:c>
      <x:c r="H384" s="86"/>
      <x:c r="I384" s="86" t="n">
        <x:v>1</x:v>
      </x:c>
      <x:c r="J384" s="97" t="n">
        <x:v>0</x:v>
      </x:c>
    </x:row>
    <x:row r="385">
      <x:c r="A385" s="85" t="n">
        <x:v>384</x:v>
      </x:c>
      <x:c r="B385" s="86" t="n">
        <x:v>282</x:v>
      </x:c>
      <x:c r="C385" s="95" t="n">
        <x:v>45612</x:v>
      </x:c>
      <x:c r="D385" s="86" t="str">
        <x:v>Admissão</x:v>
      </x:c>
      <x:c r="E385" s="86" t="str">
        <x:v>Nova contratação</x:v>
      </x:c>
      <x:c r="F385" s="86"/>
      <x:c r="G385" s="86" t="n">
        <x:v>1</x:v>
      </x:c>
      <x:c r="H385" s="86"/>
      <x:c r="I385" s="86" t="n">
        <x:v>1</x:v>
      </x:c>
      <x:c r="J385" s="97" t="n">
        <x:v>0</x:v>
      </x:c>
    </x:row>
    <x:row r="386">
      <x:c r="A386" s="85" t="n">
        <x:v>385</x:v>
      </x:c>
      <x:c r="B386" s="86" t="n">
        <x:v>282</x:v>
      </x:c>
      <x:c r="C386" s="95" t="n">
        <x:v>45962</x:v>
      </x:c>
      <x:c r="D386" s="86" t="str">
        <x:v>Desligamento</x:v>
      </x:c>
      <x:c r="E386" s="86" t="str">
        <x:v>Fim de contrato</x:v>
      </x:c>
      <x:c r="F386" s="86" t="n">
        <x:v>1</x:v>
      </x:c>
      <x:c r="G386" s="86"/>
      <x:c r="H386" s="86" t="n">
        <x:v>1</x:v>
      </x:c>
      <x:c r="I386" s="86"/>
      <x:c r="J386" s="97" t="n">
        <x:v>0</x:v>
      </x:c>
    </x:row>
    <x:row r="387">
      <x:c r="A387" s="85" t="n">
        <x:v>386</x:v>
      </x:c>
      <x:c r="B387" s="86" t="n">
        <x:v>283</x:v>
      </x:c>
      <x:c r="C387" s="95" t="n">
        <x:v>45821</x:v>
      </x:c>
      <x:c r="D387" s="86" t="str">
        <x:v>Admissão</x:v>
      </x:c>
      <x:c r="E387" s="86" t="str">
        <x:v>Nova contratação</x:v>
      </x:c>
      <x:c r="F387" s="86"/>
      <x:c r="G387" s="86" t="n">
        <x:v>1</x:v>
      </x:c>
      <x:c r="H387" s="86"/>
      <x:c r="I387" s="86" t="n">
        <x:v>1</x:v>
      </x:c>
      <x:c r="J387" s="97" t="n">
        <x:v>0</x:v>
      </x:c>
    </x:row>
    <x:row r="388">
      <x:c r="A388" s="85" t="n">
        <x:v>387</x:v>
      </x:c>
      <x:c r="B388" s="86" t="n">
        <x:v>283</x:v>
      </x:c>
      <x:c r="C388" s="95" t="n">
        <x:v>46013</x:v>
      </x:c>
      <x:c r="D388" s="86" t="str">
        <x:v>Promoção</x:v>
      </x:c>
      <x:c r="E388" s="86" t="str">
        <x:v>Evolução de carreira</x:v>
      </x:c>
      <x:c r="F388" s="86" t="n">
        <x:v>1</x:v>
      </x:c>
      <x:c r="G388" s="86" t="n">
        <x:v>1</x:v>
      </x:c>
      <x:c r="H388" s="86" t="n">
        <x:v>1</x:v>
      </x:c>
      <x:c r="I388" s="86" t="n">
        <x:v>1</x:v>
      </x:c>
      <x:c r="J388" s="97" t="n">
        <x:v>0.1496</x:v>
      </x:c>
    </x:row>
    <x:row r="389">
      <x:c r="A389" s="85" t="n">
        <x:v>388</x:v>
      </x:c>
      <x:c r="B389" s="86" t="n">
        <x:v>284</x:v>
      </x:c>
      <x:c r="C389" s="95" t="n">
        <x:v>45039</x:v>
      </x:c>
      <x:c r="D389" s="86" t="str">
        <x:v>Admissão</x:v>
      </x:c>
      <x:c r="E389" s="86" t="str">
        <x:v>Nova contratação</x:v>
      </x:c>
      <x:c r="F389" s="86"/>
      <x:c r="G389" s="86" t="n">
        <x:v>1</x:v>
      </x:c>
      <x:c r="H389" s="86"/>
      <x:c r="I389" s="86" t="n">
        <x:v>1</x:v>
      </x:c>
      <x:c r="J389" s="97" t="n">
        <x:v>0</x:v>
      </x:c>
    </x:row>
    <x:row r="390">
      <x:c r="A390" s="85" t="n">
        <x:v>389</x:v>
      </x:c>
      <x:c r="B390" s="86" t="n">
        <x:v>284</x:v>
      </x:c>
      <x:c r="C390" s="95" t="n">
        <x:v>45836</x:v>
      </x:c>
      <x:c r="D390" s="86" t="str">
        <x:v>Promoção</x:v>
      </x:c>
      <x:c r="E390" s="86" t="str">
        <x:v>Evolução de carreira</x:v>
      </x:c>
      <x:c r="F390" s="86" t="n">
        <x:v>1</x:v>
      </x:c>
      <x:c r="G390" s="86" t="n">
        <x:v>1</x:v>
      </x:c>
      <x:c r="H390" s="86" t="n">
        <x:v>1</x:v>
      </x:c>
      <x:c r="I390" s="86" t="n">
        <x:v>1</x:v>
      </x:c>
      <x:c r="J390" s="97" t="n">
        <x:v>0.0608</x:v>
      </x:c>
    </x:row>
    <x:row r="391">
      <x:c r="A391" s="85" t="n">
        <x:v>390</x:v>
      </x:c>
      <x:c r="B391" s="86" t="n">
        <x:v>285</x:v>
      </x:c>
      <x:c r="C391" s="95" t="n">
        <x:v>45659</x:v>
      </x:c>
      <x:c r="D391" s="86" t="str">
        <x:v>Admissão</x:v>
      </x:c>
      <x:c r="E391" s="86" t="str">
        <x:v>Nova contratação</x:v>
      </x:c>
      <x:c r="F391" s="86"/>
      <x:c r="G391" s="86" t="n">
        <x:v>1</x:v>
      </x:c>
      <x:c r="H391" s="86"/>
      <x:c r="I391" s="86" t="n">
        <x:v>1</x:v>
      </x:c>
      <x:c r="J391" s="97" t="n">
        <x:v>0</x:v>
      </x:c>
    </x:row>
    <x:row r="392">
      <x:c r="A392" s="85" t="n">
        <x:v>391</x:v>
      </x:c>
      <x:c r="B392" s="86" t="n">
        <x:v>286</x:v>
      </x:c>
      <x:c r="C392" s="95" t="n">
        <x:v>45419</x:v>
      </x:c>
      <x:c r="D392" s="86" t="str">
        <x:v>Admissão</x:v>
      </x:c>
      <x:c r="E392" s="86" t="str">
        <x:v>Nova contratação</x:v>
      </x:c>
      <x:c r="F392" s="86"/>
      <x:c r="G392" s="86" t="n">
        <x:v>1</x:v>
      </x:c>
      <x:c r="H392" s="86"/>
      <x:c r="I392" s="86" t="n">
        <x:v>1</x:v>
      </x:c>
      <x:c r="J392" s="97" t="n">
        <x:v>0</x:v>
      </x:c>
    </x:row>
    <x:row r="393">
      <x:c r="A393" s="85" t="n">
        <x:v>392</x:v>
      </x:c>
      <x:c r="B393" s="86" t="n">
        <x:v>287</x:v>
      </x:c>
      <x:c r="C393" s="95" t="n">
        <x:v>45123</x:v>
      </x:c>
      <x:c r="D393" s="86" t="str">
        <x:v>Admissão</x:v>
      </x:c>
      <x:c r="E393" s="86" t="str">
        <x:v>Nova contratação</x:v>
      </x:c>
      <x:c r="F393" s="86"/>
      <x:c r="G393" s="86" t="n">
        <x:v>5</x:v>
      </x:c>
      <x:c r="H393" s="86"/>
      <x:c r="I393" s="86" t="n">
        <x:v>5</x:v>
      </x:c>
      <x:c r="J393" s="97" t="n">
        <x:v>0</x:v>
      </x:c>
    </x:row>
    <x:row r="394">
      <x:c r="A394" s="85" t="n">
        <x:v>393</x:v>
      </x:c>
      <x:c r="B394" s="86" t="n">
        <x:v>287</x:v>
      </x:c>
      <x:c r="C394" s="95" t="n">
        <x:v>45656</x:v>
      </x:c>
      <x:c r="D394" s="86" t="str">
        <x:v>Promoção</x:v>
      </x:c>
      <x:c r="E394" s="86" t="str">
        <x:v>Evolução de carreira</x:v>
      </x:c>
      <x:c r="F394" s="86" t="n">
        <x:v>5</x:v>
      </x:c>
      <x:c r="G394" s="86" t="n">
        <x:v>5</x:v>
      </x:c>
      <x:c r="H394" s="86" t="n">
        <x:v>5</x:v>
      </x:c>
      <x:c r="I394" s="86" t="n">
        <x:v>5</x:v>
      </x:c>
      <x:c r="J394" s="97" t="n">
        <x:v>0.081</x:v>
      </x:c>
    </x:row>
    <x:row r="395">
      <x:c r="A395" s="85" t="n">
        <x:v>394</x:v>
      </x:c>
      <x:c r="B395" s="86" t="n">
        <x:v>288</x:v>
      </x:c>
      <x:c r="C395" s="95" t="n">
        <x:v>45121</x:v>
      </x:c>
      <x:c r="D395" s="86" t="str">
        <x:v>Admissão</x:v>
      </x:c>
      <x:c r="E395" s="86" t="str">
        <x:v>Nova contratação</x:v>
      </x:c>
      <x:c r="F395" s="86"/>
      <x:c r="G395" s="86" t="n">
        <x:v>5</x:v>
      </x:c>
      <x:c r="H395" s="86"/>
      <x:c r="I395" s="86" t="n">
        <x:v>5</x:v>
      </x:c>
      <x:c r="J395" s="97" t="n">
        <x:v>0</x:v>
      </x:c>
    </x:row>
    <x:row r="396">
      <x:c r="A396" s="85" t="n">
        <x:v>395</x:v>
      </x:c>
      <x:c r="B396" s="86" t="n">
        <x:v>289</x:v>
      </x:c>
      <x:c r="C396" s="95" t="n">
        <x:v>45853</x:v>
      </x:c>
      <x:c r="D396" s="86" t="str">
        <x:v>Admissão</x:v>
      </x:c>
      <x:c r="E396" s="86" t="str">
        <x:v>Nova contratação</x:v>
      </x:c>
      <x:c r="F396" s="86"/>
      <x:c r="G396" s="86" t="n">
        <x:v>1</x:v>
      </x:c>
      <x:c r="H396" s="86"/>
      <x:c r="I396" s="86" t="n">
        <x:v>1</x:v>
      </x:c>
      <x:c r="J396" s="97" t="n">
        <x:v>0</x:v>
      </x:c>
    </x:row>
    <x:row r="397">
      <x:c r="A397" s="85" t="n">
        <x:v>396</x:v>
      </x:c>
      <x:c r="B397" s="86" t="n">
        <x:v>290</x:v>
      </x:c>
      <x:c r="C397" s="95" t="n">
        <x:v>45592</x:v>
      </x:c>
      <x:c r="D397" s="86" t="str">
        <x:v>Admissão</x:v>
      </x:c>
      <x:c r="E397" s="86" t="str">
        <x:v>Nova contratação</x:v>
      </x:c>
      <x:c r="F397" s="86"/>
      <x:c r="G397" s="86" t="n">
        <x:v>3</x:v>
      </x:c>
      <x:c r="H397" s="86"/>
      <x:c r="I397" s="86" t="n">
        <x:v>3</x:v>
      </x:c>
      <x:c r="J397" s="97" t="n">
        <x:v>0</x:v>
      </x:c>
    </x:row>
    <x:row r="398">
      <x:c r="A398" s="85" t="n">
        <x:v>397</x:v>
      </x:c>
      <x:c r="B398" s="86" t="n">
        <x:v>291</x:v>
      </x:c>
      <x:c r="C398" s="95" t="n">
        <x:v>45682</x:v>
      </x:c>
      <x:c r="D398" s="86" t="str">
        <x:v>Admissão</x:v>
      </x:c>
      <x:c r="E398" s="86" t="str">
        <x:v>Nova contratação</x:v>
      </x:c>
      <x:c r="F398" s="86"/>
      <x:c r="G398" s="86" t="n">
        <x:v>8</x:v>
      </x:c>
      <x:c r="H398" s="86"/>
      <x:c r="I398" s="86" t="n">
        <x:v>8</x:v>
      </x:c>
      <x:c r="J398" s="97" t="n">
        <x:v>0</x:v>
      </x:c>
    </x:row>
    <x:row r="399">
      <x:c r="A399" s="85" t="n">
        <x:v>398</x:v>
      </x:c>
      <x:c r="B399" s="86" t="n">
        <x:v>291</x:v>
      </x:c>
      <x:c r="C399" s="95" t="n">
        <x:v>45915</x:v>
      </x:c>
      <x:c r="D399" s="86" t="str">
        <x:v>Desligamento</x:v>
      </x:c>
      <x:c r="E399" s="86" t="str">
        <x:v>Fim de contrato</x:v>
      </x:c>
      <x:c r="F399" s="86" t="n">
        <x:v>8</x:v>
      </x:c>
      <x:c r="G399" s="86"/>
      <x:c r="H399" s="86" t="n">
        <x:v>8</x:v>
      </x:c>
      <x:c r="I399" s="86"/>
      <x:c r="J399" s="97" t="n">
        <x:v>0</x:v>
      </x:c>
    </x:row>
    <x:row r="400">
      <x:c r="A400" s="85" t="n">
        <x:v>399</x:v>
      </x:c>
      <x:c r="B400" s="86" t="n">
        <x:v>292</x:v>
      </x:c>
      <x:c r="C400" s="95" t="n">
        <x:v>45114</x:v>
      </x:c>
      <x:c r="D400" s="86" t="str">
        <x:v>Admissão</x:v>
      </x:c>
      <x:c r="E400" s="86" t="str">
        <x:v>Nova contratação</x:v>
      </x:c>
      <x:c r="F400" s="86"/>
      <x:c r="G400" s="86" t="n">
        <x:v>7</x:v>
      </x:c>
      <x:c r="H400" s="86"/>
      <x:c r="I400" s="86" t="n">
        <x:v>7</x:v>
      </x:c>
      <x:c r="J400" s="97" t="n">
        <x:v>0</x:v>
      </x:c>
    </x:row>
    <x:row r="401">
      <x:c r="A401" s="85" t="n">
        <x:v>400</x:v>
      </x:c>
      <x:c r="B401" s="86" t="n">
        <x:v>293</x:v>
      </x:c>
      <x:c r="C401" s="95" t="n">
        <x:v>45011</x:v>
      </x:c>
      <x:c r="D401" s="86" t="str">
        <x:v>Admissão</x:v>
      </x:c>
      <x:c r="E401" s="86" t="str">
        <x:v>Nova contratação</x:v>
      </x:c>
      <x:c r="F401" s="86"/>
      <x:c r="G401" s="86" t="n">
        <x:v>1</x:v>
      </x:c>
      <x:c r="H401" s="86"/>
      <x:c r="I401" s="86" t="n">
        <x:v>1</x:v>
      </x:c>
      <x:c r="J401" s="97" t="n">
        <x:v>0</x:v>
      </x:c>
    </x:row>
    <x:row r="402">
      <x:c r="A402" s="85" t="n">
        <x:v>401</x:v>
      </x:c>
      <x:c r="B402" s="86" t="n">
        <x:v>294</x:v>
      </x:c>
      <x:c r="C402" s="95" t="n">
        <x:v>45800</x:v>
      </x:c>
      <x:c r="D402" s="86" t="str">
        <x:v>Admissão</x:v>
      </x:c>
      <x:c r="E402" s="86" t="str">
        <x:v>Nova contratação</x:v>
      </x:c>
      <x:c r="F402" s="86"/>
      <x:c r="G402" s="86" t="n">
        <x:v>2</x:v>
      </x:c>
      <x:c r="H402" s="86"/>
      <x:c r="I402" s="86" t="n">
        <x:v>2</x:v>
      </x:c>
      <x:c r="J402" s="97" t="n">
        <x:v>0</x:v>
      </x:c>
    </x:row>
    <x:row r="403">
      <x:c r="A403" s="85" t="n">
        <x:v>402</x:v>
      </x:c>
      <x:c r="B403" s="86" t="n">
        <x:v>295</x:v>
      </x:c>
      <x:c r="C403" s="95" t="n">
        <x:v>45248</x:v>
      </x:c>
      <x:c r="D403" s="86" t="str">
        <x:v>Admissão</x:v>
      </x:c>
      <x:c r="E403" s="86" t="str">
        <x:v>Nova contratação</x:v>
      </x:c>
      <x:c r="F403" s="86"/>
      <x:c r="G403" s="86" t="n">
        <x:v>9</x:v>
      </x:c>
      <x:c r="H403" s="86"/>
      <x:c r="I403" s="86" t="n">
        <x:v>9</x:v>
      </x:c>
      <x:c r="J403" s="97" t="n">
        <x:v>0</x:v>
      </x:c>
    </x:row>
    <x:row r="404">
      <x:c r="A404" s="85" t="n">
        <x:v>403</x:v>
      </x:c>
      <x:c r="B404" s="86" t="n">
        <x:v>296</x:v>
      </x:c>
      <x:c r="C404" s="95" t="n">
        <x:v>45082</x:v>
      </x:c>
      <x:c r="D404" s="86" t="str">
        <x:v>Admissão</x:v>
      </x:c>
      <x:c r="E404" s="86" t="str">
        <x:v>Nova contratação</x:v>
      </x:c>
      <x:c r="F404" s="86"/>
      <x:c r="G404" s="86" t="n">
        <x:v>3</x:v>
      </x:c>
      <x:c r="H404" s="86"/>
      <x:c r="I404" s="86" t="n">
        <x:v>3</x:v>
      </x:c>
      <x:c r="J404" s="97" t="n">
        <x:v>0</x:v>
      </x:c>
    </x:row>
    <x:row r="405">
      <x:c r="A405" s="85" t="n">
        <x:v>404</x:v>
      </x:c>
      <x:c r="B405" s="86" t="n">
        <x:v>297</x:v>
      </x:c>
      <x:c r="C405" s="95" t="n">
        <x:v>45659</x:v>
      </x:c>
      <x:c r="D405" s="86" t="str">
        <x:v>Admissão</x:v>
      </x:c>
      <x:c r="E405" s="86" t="str">
        <x:v>Nova contratação</x:v>
      </x:c>
      <x:c r="F405" s="86"/>
      <x:c r="G405" s="86" t="n">
        <x:v>3</x:v>
      </x:c>
      <x:c r="H405" s="86"/>
      <x:c r="I405" s="86" t="n">
        <x:v>3</x:v>
      </x:c>
      <x:c r="J405" s="97" t="n">
        <x:v>0</x:v>
      </x:c>
    </x:row>
    <x:row r="406">
      <x:c r="A406" s="85" t="n">
        <x:v>405</x:v>
      </x:c>
      <x:c r="B406" s="86" t="n">
        <x:v>297</x:v>
      </x:c>
      <x:c r="C406" s="95" t="n">
        <x:v>45955</x:v>
      </x:c>
      <x:c r="D406" s="86" t="str">
        <x:v>Promoção</x:v>
      </x:c>
      <x:c r="E406" s="86" t="str">
        <x:v>Evolução de carreira</x:v>
      </x:c>
      <x:c r="F406" s="86" t="n">
        <x:v>3</x:v>
      </x:c>
      <x:c r="G406" s="86" t="n">
        <x:v>3</x:v>
      </x:c>
      <x:c r="H406" s="86" t="n">
        <x:v>3</x:v>
      </x:c>
      <x:c r="I406" s="86" t="n">
        <x:v>3</x:v>
      </x:c>
      <x:c r="J406" s="97" t="n">
        <x:v>0.1157</x:v>
      </x:c>
    </x:row>
    <x:row r="407">
      <x:c r="A407" s="85" t="n">
        <x:v>406</x:v>
      </x:c>
      <x:c r="B407" s="86" t="n">
        <x:v>298</x:v>
      </x:c>
      <x:c r="C407" s="95" t="n">
        <x:v>45241</x:v>
      </x:c>
      <x:c r="D407" s="86" t="str">
        <x:v>Admissão</x:v>
      </x:c>
      <x:c r="E407" s="86" t="str">
        <x:v>Nova contratação</x:v>
      </x:c>
      <x:c r="F407" s="86"/>
      <x:c r="G407" s="86" t="n">
        <x:v>8</x:v>
      </x:c>
      <x:c r="H407" s="86"/>
      <x:c r="I407" s="86" t="n">
        <x:v>20</x:v>
      </x:c>
      <x:c r="J407" s="97" t="n">
        <x:v>0</x:v>
      </x:c>
    </x:row>
    <x:row r="408">
      <x:c r="A408" s="85" t="n">
        <x:v>407</x:v>
      </x:c>
      <x:c r="B408" s="86" t="n">
        <x:v>298</x:v>
      </x:c>
      <x:c r="C408" s="95" t="n">
        <x:v>45710</x:v>
      </x:c>
      <x:c r="D408" s="86" t="str">
        <x:v>Desligamento</x:v>
      </x:c>
      <x:c r="E408" s="86" t="str">
        <x:v>Fim de contrato</x:v>
      </x:c>
      <x:c r="F408" s="86" t="n">
        <x:v>8</x:v>
      </x:c>
      <x:c r="G408" s="86"/>
      <x:c r="H408" s="86" t="n">
        <x:v>20</x:v>
      </x:c>
      <x:c r="I408" s="86"/>
      <x:c r="J408" s="97" t="n">
        <x:v>0</x:v>
      </x:c>
    </x:row>
    <x:row r="409">
      <x:c r="A409" s="85" t="n">
        <x:v>408</x:v>
      </x:c>
      <x:c r="B409" s="86" t="n">
        <x:v>299</x:v>
      </x:c>
      <x:c r="C409" s="95" t="n">
        <x:v>44965</x:v>
      </x:c>
      <x:c r="D409" s="86" t="str">
        <x:v>Admissão</x:v>
      </x:c>
      <x:c r="E409" s="86" t="str">
        <x:v>Nova contratação</x:v>
      </x:c>
      <x:c r="F409" s="86"/>
      <x:c r="G409" s="86" t="n">
        <x:v>1</x:v>
      </x:c>
      <x:c r="H409" s="86"/>
      <x:c r="I409" s="86" t="n">
        <x:v>1</x:v>
      </x:c>
      <x:c r="J409" s="97" t="n">
        <x:v>0</x:v>
      </x:c>
    </x:row>
    <x:row r="410">
      <x:c r="A410" s="85" t="n">
        <x:v>409</x:v>
      </x:c>
      <x:c r="B410" s="86" t="n">
        <x:v>299</x:v>
      </x:c>
      <x:c r="C410" s="95" t="n">
        <x:v>45283</x:v>
      </x:c>
      <x:c r="D410" s="86" t="str">
        <x:v>Promoção</x:v>
      </x:c>
      <x:c r="E410" s="86" t="str">
        <x:v>Evolução de carreira</x:v>
      </x:c>
      <x:c r="F410" s="86" t="n">
        <x:v>1</x:v>
      </x:c>
      <x:c r="G410" s="86" t="n">
        <x:v>1</x:v>
      </x:c>
      <x:c r="H410" s="86" t="n">
        <x:v>1</x:v>
      </x:c>
      <x:c r="I410" s="86" t="n">
        <x:v>1</x:v>
      </x:c>
      <x:c r="J410" s="97" t="n">
        <x:v>0.1453</x:v>
      </x:c>
    </x:row>
    <x:row r="411">
      <x:c r="A411" s="85" t="n">
        <x:v>410</x:v>
      </x:c>
      <x:c r="B411" s="86" t="n">
        <x:v>300</x:v>
      </x:c>
      <x:c r="C411" s="95" t="n">
        <x:v>44941</x:v>
      </x:c>
      <x:c r="D411" s="86" t="str">
        <x:v>Admissão</x:v>
      </x:c>
      <x:c r="E411" s="86" t="str">
        <x:v>Nova contratação</x:v>
      </x:c>
      <x:c r="F411" s="86"/>
      <x:c r="G411" s="86" t="n">
        <x:v>8</x:v>
      </x:c>
      <x:c r="H411" s="86"/>
      <x:c r="I411" s="86" t="n">
        <x:v>8</x:v>
      </x:c>
      <x:c r="J411" s="97" t="n">
        <x:v>0</x:v>
      </x:c>
    </x:row>
    <x:row r="412">
      <x:c r="A412" s="85" t="n">
        <x:v>411</x:v>
      </x:c>
      <x:c r="B412" s="86" t="n">
        <x:v>301</x:v>
      </x:c>
      <x:c r="C412" s="95" t="n">
        <x:v>45709</x:v>
      </x:c>
      <x:c r="D412" s="86" t="str">
        <x:v>Admissão</x:v>
      </x:c>
      <x:c r="E412" s="86" t="str">
        <x:v>Nova contratação</x:v>
      </x:c>
      <x:c r="F412" s="86"/>
      <x:c r="G412" s="86" t="n">
        <x:v>6</x:v>
      </x:c>
      <x:c r="H412" s="86"/>
      <x:c r="I412" s="86" t="n">
        <x:v>6</x:v>
      </x:c>
      <x:c r="J412" s="97" t="n">
        <x:v>0</x:v>
      </x:c>
    </x:row>
    <x:row r="413">
      <x:c r="A413" s="85" t="n">
        <x:v>412</x:v>
      </x:c>
      <x:c r="B413" s="86" t="n">
        <x:v>302</x:v>
      </x:c>
      <x:c r="C413" s="95" t="n">
        <x:v>45235</x:v>
      </x:c>
      <x:c r="D413" s="86" t="str">
        <x:v>Admissão</x:v>
      </x:c>
      <x:c r="E413" s="86" t="str">
        <x:v>Nova contratação</x:v>
      </x:c>
      <x:c r="F413" s="86"/>
      <x:c r="G413" s="86" t="n">
        <x:v>3</x:v>
      </x:c>
      <x:c r="H413" s="86"/>
      <x:c r="I413" s="86" t="n">
        <x:v>3</x:v>
      </x:c>
      <x:c r="J413" s="97" t="n">
        <x:v>0</x:v>
      </x:c>
    </x:row>
    <x:row r="414">
      <x:c r="A414" s="85" t="n">
        <x:v>413</x:v>
      </x:c>
      <x:c r="B414" s="86" t="n">
        <x:v>302</x:v>
      </x:c>
      <x:c r="C414" s="95" t="n">
        <x:v>45434</x:v>
      </x:c>
      <x:c r="D414" s="86" t="str">
        <x:v>Promoção</x:v>
      </x:c>
      <x:c r="E414" s="86" t="str">
        <x:v>Evolução de carreira</x:v>
      </x:c>
      <x:c r="F414" s="86" t="n">
        <x:v>3</x:v>
      </x:c>
      <x:c r="G414" s="86" t="n">
        <x:v>3</x:v>
      </x:c>
      <x:c r="H414" s="86" t="n">
        <x:v>3</x:v>
      </x:c>
      <x:c r="I414" s="86" t="n">
        <x:v>3</x:v>
      </x:c>
      <x:c r="J414" s="97" t="n">
        <x:v>0.0807</x:v>
      </x:c>
    </x:row>
    <x:row r="415">
      <x:c r="A415" s="85" t="n">
        <x:v>414</x:v>
      </x:c>
      <x:c r="B415" s="86" t="n">
        <x:v>303</x:v>
      </x:c>
      <x:c r="C415" s="95" t="n">
        <x:v>45569</x:v>
      </x:c>
      <x:c r="D415" s="86" t="str">
        <x:v>Admissão</x:v>
      </x:c>
      <x:c r="E415" s="86" t="str">
        <x:v>Nova contratação</x:v>
      </x:c>
      <x:c r="F415" s="86"/>
      <x:c r="G415" s="86" t="n">
        <x:v>1</x:v>
      </x:c>
      <x:c r="H415" s="86"/>
      <x:c r="I415" s="86" t="n">
        <x:v>1</x:v>
      </x:c>
      <x:c r="J415" s="97" t="n">
        <x:v>0</x:v>
      </x:c>
    </x:row>
    <x:row r="416">
      <x:c r="A416" s="85" t="n">
        <x:v>415</x:v>
      </x:c>
      <x:c r="B416" s="86" t="n">
        <x:v>304</x:v>
      </x:c>
      <x:c r="C416" s="95" t="n">
        <x:v>45192</x:v>
      </x:c>
      <x:c r="D416" s="86" t="str">
        <x:v>Admissão</x:v>
      </x:c>
      <x:c r="E416" s="86" t="str">
        <x:v>Nova contratação</x:v>
      </x:c>
      <x:c r="F416" s="86"/>
      <x:c r="G416" s="86" t="n">
        <x:v>1</x:v>
      </x:c>
      <x:c r="H416" s="86"/>
      <x:c r="I416" s="86" t="n">
        <x:v>1</x:v>
      </x:c>
      <x:c r="J416" s="97" t="n">
        <x:v>0</x:v>
      </x:c>
    </x:row>
    <x:row r="417">
      <x:c r="A417" s="85" t="n">
        <x:v>416</x:v>
      </x:c>
      <x:c r="B417" s="86" t="n">
        <x:v>305</x:v>
      </x:c>
      <x:c r="C417" s="95" t="n">
        <x:v>45051</x:v>
      </x:c>
      <x:c r="D417" s="86" t="str">
        <x:v>Admissão</x:v>
      </x:c>
      <x:c r="E417" s="86" t="str">
        <x:v>Nova contratação</x:v>
      </x:c>
      <x:c r="F417" s="86"/>
      <x:c r="G417" s="86" t="n">
        <x:v>1</x:v>
      </x:c>
      <x:c r="H417" s="86"/>
      <x:c r="I417" s="86" t="n">
        <x:v>1</x:v>
      </x:c>
      <x:c r="J417" s="97" t="n">
        <x:v>0</x:v>
      </x:c>
    </x:row>
    <x:row r="418">
      <x:c r="A418" s="85" t="n">
        <x:v>417</x:v>
      </x:c>
      <x:c r="B418" s="86" t="n">
        <x:v>305</x:v>
      </x:c>
      <x:c r="C418" s="95" t="n">
        <x:v>45271</x:v>
      </x:c>
      <x:c r="D418" s="86" t="str">
        <x:v>Promoção</x:v>
      </x:c>
      <x:c r="E418" s="86" t="str">
        <x:v>Evolução de carreira</x:v>
      </x:c>
      <x:c r="F418" s="86" t="n">
        <x:v>1</x:v>
      </x:c>
      <x:c r="G418" s="86" t="n">
        <x:v>1</x:v>
      </x:c>
      <x:c r="H418" s="86" t="n">
        <x:v>1</x:v>
      </x:c>
      <x:c r="I418" s="86" t="n">
        <x:v>1</x:v>
      </x:c>
      <x:c r="J418" s="97" t="n">
        <x:v>0.1043</x:v>
      </x:c>
    </x:row>
    <x:row r="419">
      <x:c r="A419" s="85" t="n">
        <x:v>418</x:v>
      </x:c>
      <x:c r="B419" s="86" t="n">
        <x:v>306</x:v>
      </x:c>
      <x:c r="C419" s="95" t="n">
        <x:v>45960</x:v>
      </x:c>
      <x:c r="D419" s="86" t="str">
        <x:v>Admissão</x:v>
      </x:c>
      <x:c r="E419" s="86" t="str">
        <x:v>Nova contratação</x:v>
      </x:c>
      <x:c r="F419" s="86"/>
      <x:c r="G419" s="86" t="n">
        <x:v>1</x:v>
      </x:c>
      <x:c r="H419" s="86"/>
      <x:c r="I419" s="86" t="n">
        <x:v>1</x:v>
      </x:c>
      <x:c r="J419" s="97" t="n">
        <x:v>0</x:v>
      </x:c>
    </x:row>
    <x:row r="420">
      <x:c r="A420" s="85" t="n">
        <x:v>419</x:v>
      </x:c>
      <x:c r="B420" s="86" t="n">
        <x:v>307</x:v>
      </x:c>
      <x:c r="C420" s="95" t="n">
        <x:v>45280</x:v>
      </x:c>
      <x:c r="D420" s="86" t="str">
        <x:v>Admissão</x:v>
      </x:c>
      <x:c r="E420" s="86" t="str">
        <x:v>Nova contratação</x:v>
      </x:c>
      <x:c r="F420" s="86"/>
      <x:c r="G420" s="86" t="n">
        <x:v>3</x:v>
      </x:c>
      <x:c r="H420" s="86"/>
      <x:c r="I420" s="86" t="n">
        <x:v>3</x:v>
      </x:c>
      <x:c r="J420" s="97" t="n">
        <x:v>0</x:v>
      </x:c>
    </x:row>
    <x:row r="421">
      <x:c r="A421" s="85" t="n">
        <x:v>420</x:v>
      </x:c>
      <x:c r="B421" s="86" t="n">
        <x:v>308</x:v>
      </x:c>
      <x:c r="C421" s="95" t="n">
        <x:v>45760</x:v>
      </x:c>
      <x:c r="D421" s="86" t="str">
        <x:v>Admissão</x:v>
      </x:c>
      <x:c r="E421" s="86" t="str">
        <x:v>Nova contratação</x:v>
      </x:c>
      <x:c r="F421" s="86"/>
      <x:c r="G421" s="86" t="n">
        <x:v>3</x:v>
      </x:c>
      <x:c r="H421" s="86"/>
      <x:c r="I421" s="86" t="n">
        <x:v>3</x:v>
      </x:c>
      <x:c r="J421" s="97" t="n">
        <x:v>0</x:v>
      </x:c>
    </x:row>
    <x:row r="422">
      <x:c r="A422" s="85" t="n">
        <x:v>421</x:v>
      </x:c>
      <x:c r="B422" s="86" t="n">
        <x:v>309</x:v>
      </x:c>
      <x:c r="C422" s="95" t="n">
        <x:v>45828</x:v>
      </x:c>
      <x:c r="D422" s="86" t="str">
        <x:v>Admissão</x:v>
      </x:c>
      <x:c r="E422" s="86" t="str">
        <x:v>Nova contratação</x:v>
      </x:c>
      <x:c r="F422" s="86"/>
      <x:c r="G422" s="86" t="n">
        <x:v>10</x:v>
      </x:c>
      <x:c r="H422" s="86"/>
      <x:c r="I422" s="86" t="n">
        <x:v>20</x:v>
      </x:c>
      <x:c r="J422" s="97" t="n">
        <x:v>0</x:v>
      </x:c>
    </x:row>
    <x:row r="423">
      <x:c r="A423" s="85" t="n">
        <x:v>422</x:v>
      </x:c>
      <x:c r="B423" s="86" t="n">
        <x:v>310</x:v>
      </x:c>
      <x:c r="C423" s="95" t="n">
        <x:v>45693</x:v>
      </x:c>
      <x:c r="D423" s="86" t="str">
        <x:v>Admissão</x:v>
      </x:c>
      <x:c r="E423" s="86" t="str">
        <x:v>Nova contratação</x:v>
      </x:c>
      <x:c r="F423" s="86"/>
      <x:c r="G423" s="86" t="n">
        <x:v>1</x:v>
      </x:c>
      <x:c r="H423" s="86"/>
      <x:c r="I423" s="86" t="n">
        <x:v>1</x:v>
      </x:c>
      <x:c r="J423" s="97" t="n">
        <x:v>0</x:v>
      </x:c>
    </x:row>
    <x:row r="424">
      <x:c r="A424" s="85" t="n">
        <x:v>423</x:v>
      </x:c>
      <x:c r="B424" s="86" t="n">
        <x:v>311</x:v>
      </x:c>
      <x:c r="C424" s="95" t="n">
        <x:v>45433</x:v>
      </x:c>
      <x:c r="D424" s="86" t="str">
        <x:v>Admissão</x:v>
      </x:c>
      <x:c r="E424" s="86" t="str">
        <x:v>Nova contratação</x:v>
      </x:c>
      <x:c r="F424" s="86"/>
      <x:c r="G424" s="86" t="n">
        <x:v>5</x:v>
      </x:c>
      <x:c r="H424" s="86"/>
      <x:c r="I424" s="86" t="n">
        <x:v>15</x:v>
      </x:c>
      <x:c r="J424" s="97" t="n">
        <x:v>0</x:v>
      </x:c>
    </x:row>
    <x:row r="425">
      <x:c r="A425" s="85" t="n">
        <x:v>424</x:v>
      </x:c>
      <x:c r="B425" s="86" t="n">
        <x:v>311</x:v>
      </x:c>
      <x:c r="C425" s="95" t="n">
        <x:v>45659</x:v>
      </x:c>
      <x:c r="D425" s="86" t="str">
        <x:v>Desligamento</x:v>
      </x:c>
      <x:c r="E425" s="86" t="str">
        <x:v>Reestruturação</x:v>
      </x:c>
      <x:c r="F425" s="86" t="n">
        <x:v>5</x:v>
      </x:c>
      <x:c r="G425" s="86"/>
      <x:c r="H425" s="86" t="n">
        <x:v>15</x:v>
      </x:c>
      <x:c r="I425" s="86"/>
      <x:c r="J425" s="97" t="n">
        <x:v>0</x:v>
      </x:c>
    </x:row>
    <x:row r="426">
      <x:c r="A426" s="85" t="n">
        <x:v>425</x:v>
      </x:c>
      <x:c r="B426" s="86" t="n">
        <x:v>312</x:v>
      </x:c>
      <x:c r="C426" s="95" t="n">
        <x:v>45179</x:v>
      </x:c>
      <x:c r="D426" s="86" t="str">
        <x:v>Admissão</x:v>
      </x:c>
      <x:c r="E426" s="86" t="str">
        <x:v>Nova contratação</x:v>
      </x:c>
      <x:c r="F426" s="86"/>
      <x:c r="G426" s="86" t="n">
        <x:v>10</x:v>
      </x:c>
      <x:c r="H426" s="86"/>
      <x:c r="I426" s="86" t="n">
        <x:v>20</x:v>
      </x:c>
      <x:c r="J426" s="97" t="n">
        <x:v>0</x:v>
      </x:c>
    </x:row>
    <x:row r="427">
      <x:c r="A427" s="85" t="n">
        <x:v>426</x:v>
      </x:c>
      <x:c r="B427" s="86" t="n">
        <x:v>313</x:v>
      </x:c>
      <x:c r="C427" s="95" t="n">
        <x:v>45015</x:v>
      </x:c>
      <x:c r="D427" s="86" t="str">
        <x:v>Admissão</x:v>
      </x:c>
      <x:c r="E427" s="86" t="str">
        <x:v>Nova contratação</x:v>
      </x:c>
      <x:c r="F427" s="86"/>
      <x:c r="G427" s="86" t="n">
        <x:v>1</x:v>
      </x:c>
      <x:c r="H427" s="86"/>
      <x:c r="I427" s="86" t="n">
        <x:v>1</x:v>
      </x:c>
      <x:c r="J427" s="97" t="n">
        <x:v>0</x:v>
      </x:c>
    </x:row>
    <x:row r="428">
      <x:c r="A428" s="85" t="n">
        <x:v>427</x:v>
      </x:c>
      <x:c r="B428" s="86" t="n">
        <x:v>314</x:v>
      </x:c>
      <x:c r="C428" s="95" t="n">
        <x:v>45747</x:v>
      </x:c>
      <x:c r="D428" s="86" t="str">
        <x:v>Admissão</x:v>
      </x:c>
      <x:c r="E428" s="86" t="str">
        <x:v>Nova contratação</x:v>
      </x:c>
      <x:c r="F428" s="86"/>
      <x:c r="G428" s="86" t="n">
        <x:v>8</x:v>
      </x:c>
      <x:c r="H428" s="86"/>
      <x:c r="I428" s="86" t="n">
        <x:v>8</x:v>
      </x:c>
      <x:c r="J428" s="97" t="n">
        <x:v>0</x:v>
      </x:c>
    </x:row>
    <x:row r="429">
      <x:c r="A429" s="85" t="n">
        <x:v>428</x:v>
      </x:c>
      <x:c r="B429" s="86" t="n">
        <x:v>315</x:v>
      </x:c>
      <x:c r="C429" s="95" t="n">
        <x:v>45055</x:v>
      </x:c>
      <x:c r="D429" s="86" t="str">
        <x:v>Admissão</x:v>
      </x:c>
      <x:c r="E429" s="86" t="str">
        <x:v>Nova contratação</x:v>
      </x:c>
      <x:c r="F429" s="86"/>
      <x:c r="G429" s="86" t="n">
        <x:v>7</x:v>
      </x:c>
      <x:c r="H429" s="86"/>
      <x:c r="I429" s="86" t="n">
        <x:v>7</x:v>
      </x:c>
      <x:c r="J429" s="97" t="n">
        <x:v>0</x:v>
      </x:c>
    </x:row>
    <x:row r="430">
      <x:c r="A430" s="85" t="n">
        <x:v>429</x:v>
      </x:c>
      <x:c r="B430" s="86" t="n">
        <x:v>315</x:v>
      </x:c>
      <x:c r="C430" s="95" t="n">
        <x:v>45187</x:v>
      </x:c>
      <x:c r="D430" s="86" t="str">
        <x:v>Desligamento</x:v>
      </x:c>
      <x:c r="E430" s="86" t="str">
        <x:v>Fim de contrato</x:v>
      </x:c>
      <x:c r="F430" s="86" t="n">
        <x:v>7</x:v>
      </x:c>
      <x:c r="G430" s="86"/>
      <x:c r="H430" s="86" t="n">
        <x:v>7</x:v>
      </x:c>
      <x:c r="I430" s="86"/>
      <x:c r="J430" s="97" t="n">
        <x:v>0</x:v>
      </x:c>
    </x:row>
    <x:row r="431">
      <x:c r="A431" s="85" t="n">
        <x:v>430</x:v>
      </x:c>
      <x:c r="B431" s="86" t="n">
        <x:v>316</x:v>
      </x:c>
      <x:c r="C431" s="95" t="n">
        <x:v>45457</x:v>
      </x:c>
      <x:c r="D431" s="86" t="str">
        <x:v>Admissão</x:v>
      </x:c>
      <x:c r="E431" s="86" t="str">
        <x:v>Nova contratação</x:v>
      </x:c>
      <x:c r="F431" s="86"/>
      <x:c r="G431" s="86" t="n">
        <x:v>6</x:v>
      </x:c>
      <x:c r="H431" s="86"/>
      <x:c r="I431" s="86" t="n">
        <x:v>6</x:v>
      </x:c>
      <x:c r="J431" s="97" t="n">
        <x:v>0</x:v>
      </x:c>
    </x:row>
    <x:row r="432">
      <x:c r="A432" s="85" t="n">
        <x:v>431</x:v>
      </x:c>
      <x:c r="B432" s="86" t="n">
        <x:v>317</x:v>
      </x:c>
      <x:c r="C432" s="95" t="n">
        <x:v>45297</x:v>
      </x:c>
      <x:c r="D432" s="86" t="str">
        <x:v>Admissão</x:v>
      </x:c>
      <x:c r="E432" s="86" t="str">
        <x:v>Nova contratação</x:v>
      </x:c>
      <x:c r="F432" s="86"/>
      <x:c r="G432" s="86" t="n">
        <x:v>5</x:v>
      </x:c>
      <x:c r="H432" s="86"/>
      <x:c r="I432" s="86" t="n">
        <x:v>5</x:v>
      </x:c>
      <x:c r="J432" s="97" t="n">
        <x:v>0</x:v>
      </x:c>
    </x:row>
    <x:row r="433">
      <x:c r="A433" s="85" t="n">
        <x:v>432</x:v>
      </x:c>
      <x:c r="B433" s="86" t="n">
        <x:v>318</x:v>
      </x:c>
      <x:c r="C433" s="95" t="n">
        <x:v>45571</x:v>
      </x:c>
      <x:c r="D433" s="86" t="str">
        <x:v>Admissão</x:v>
      </x:c>
      <x:c r="E433" s="86" t="str">
        <x:v>Nova contratação</x:v>
      </x:c>
      <x:c r="F433" s="86"/>
      <x:c r="G433" s="86" t="n">
        <x:v>5</x:v>
      </x:c>
      <x:c r="H433" s="86"/>
      <x:c r="I433" s="86" t="n">
        <x:v>5</x:v>
      </x:c>
      <x:c r="J433" s="97" t="n">
        <x:v>0</x:v>
      </x:c>
    </x:row>
    <x:row r="434">
      <x:c r="A434" s="85" t="n">
        <x:v>433</x:v>
      </x:c>
      <x:c r="B434" s="86" t="n">
        <x:v>319</x:v>
      </x:c>
      <x:c r="C434" s="95" t="n">
        <x:v>45858</x:v>
      </x:c>
      <x:c r="D434" s="86" t="str">
        <x:v>Admissão</x:v>
      </x:c>
      <x:c r="E434" s="86" t="str">
        <x:v>Nova contratação</x:v>
      </x:c>
      <x:c r="F434" s="86"/>
      <x:c r="G434" s="86" t="n">
        <x:v>8</x:v>
      </x:c>
      <x:c r="H434" s="86"/>
      <x:c r="I434" s="86" t="n">
        <x:v>8</x:v>
      </x:c>
      <x:c r="J434" s="97" t="n">
        <x:v>0</x:v>
      </x:c>
    </x:row>
    <x:row r="435">
      <x:c r="A435" s="85" t="n">
        <x:v>434</x:v>
      </x:c>
      <x:c r="B435" s="86" t="n">
        <x:v>320</x:v>
      </x:c>
      <x:c r="C435" s="95" t="n">
        <x:v>45112</x:v>
      </x:c>
      <x:c r="D435" s="86" t="str">
        <x:v>Admissão</x:v>
      </x:c>
      <x:c r="E435" s="86" t="str">
        <x:v>Nova contratação</x:v>
      </x:c>
      <x:c r="F435" s="86"/>
      <x:c r="G435" s="86" t="n">
        <x:v>1</x:v>
      </x:c>
      <x:c r="H435" s="86"/>
      <x:c r="I435" s="86" t="n">
        <x:v>1</x:v>
      </x:c>
      <x:c r="J435" s="97" t="n">
        <x:v>0</x:v>
      </x:c>
    </x:row>
    <x:row r="436">
      <x:c r="A436" s="85" t="n">
        <x:v>435</x:v>
      </x:c>
      <x:c r="B436" s="86" t="n">
        <x:v>321</x:v>
      </x:c>
      <x:c r="C436" s="95" t="n">
        <x:v>45048</x:v>
      </x:c>
      <x:c r="D436" s="86" t="str">
        <x:v>Admissão</x:v>
      </x:c>
      <x:c r="E436" s="86" t="str">
        <x:v>Nova contratação</x:v>
      </x:c>
      <x:c r="F436" s="86"/>
      <x:c r="G436" s="86" t="n">
        <x:v>7</x:v>
      </x:c>
      <x:c r="H436" s="86"/>
      <x:c r="I436" s="86" t="n">
        <x:v>20</x:v>
      </x:c>
      <x:c r="J436" s="97" t="n">
        <x:v>0</x:v>
      </x:c>
    </x:row>
    <x:row r="437">
      <x:c r="A437" s="85" t="n">
        <x:v>436</x:v>
      </x:c>
      <x:c r="B437" s="86" t="n">
        <x:v>322</x:v>
      </x:c>
      <x:c r="C437" s="95" t="n">
        <x:v>45333</x:v>
      </x:c>
      <x:c r="D437" s="86" t="str">
        <x:v>Admissão</x:v>
      </x:c>
      <x:c r="E437" s="86" t="str">
        <x:v>Nova contratação</x:v>
      </x:c>
      <x:c r="F437" s="86"/>
      <x:c r="G437" s="86" t="n">
        <x:v>7</x:v>
      </x:c>
      <x:c r="H437" s="86"/>
      <x:c r="I437" s="86" t="n">
        <x:v>7</x:v>
      </x:c>
      <x:c r="J437" s="97" t="n">
        <x:v>0</x:v>
      </x:c>
    </x:row>
    <x:row r="438">
      <x:c r="A438" s="85" t="n">
        <x:v>437</x:v>
      </x:c>
      <x:c r="B438" s="86" t="n">
        <x:v>323</x:v>
      </x:c>
      <x:c r="C438" s="95" t="n">
        <x:v>45935</x:v>
      </x:c>
      <x:c r="D438" s="86" t="str">
        <x:v>Admissão</x:v>
      </x:c>
      <x:c r="E438" s="86" t="str">
        <x:v>Nova contratação</x:v>
      </x:c>
      <x:c r="F438" s="86"/>
      <x:c r="G438" s="86" t="n">
        <x:v>5</x:v>
      </x:c>
      <x:c r="H438" s="86"/>
      <x:c r="I438" s="86" t="n">
        <x:v>5</x:v>
      </x:c>
      <x:c r="J438" s="97" t="n">
        <x:v>0</x:v>
      </x:c>
    </x:row>
    <x:row r="439">
      <x:c r="A439" s="85" t="n">
        <x:v>438</x:v>
      </x:c>
      <x:c r="B439" s="86" t="n">
        <x:v>324</x:v>
      </x:c>
      <x:c r="C439" s="95" t="n">
        <x:v>45919</x:v>
      </x:c>
      <x:c r="D439" s="86" t="str">
        <x:v>Admissão</x:v>
      </x:c>
      <x:c r="E439" s="86" t="str">
        <x:v>Nova contratação</x:v>
      </x:c>
      <x:c r="F439" s="86"/>
      <x:c r="G439" s="86" t="n">
        <x:v>7</x:v>
      </x:c>
      <x:c r="H439" s="86"/>
      <x:c r="I439" s="86" t="n">
        <x:v>7</x:v>
      </x:c>
      <x:c r="J439" s="97" t="n">
        <x:v>0</x:v>
      </x:c>
    </x:row>
    <x:row r="440">
      <x:c r="A440" s="85" t="n">
        <x:v>439</x:v>
      </x:c>
      <x:c r="B440" s="86" t="n">
        <x:v>325</x:v>
      </x:c>
      <x:c r="C440" s="95" t="n">
        <x:v>45473</x:v>
      </x:c>
      <x:c r="D440" s="86" t="str">
        <x:v>Admissão</x:v>
      </x:c>
      <x:c r="E440" s="86" t="str">
        <x:v>Nova contratação</x:v>
      </x:c>
      <x:c r="F440" s="86"/>
      <x:c r="G440" s="86" t="n">
        <x:v>1</x:v>
      </x:c>
      <x:c r="H440" s="86"/>
      <x:c r="I440" s="86" t="n">
        <x:v>1</x:v>
      </x:c>
      <x:c r="J440" s="97" t="n">
        <x:v>0</x:v>
      </x:c>
    </x:row>
    <x:row r="441">
      <x:c r="A441" s="85" t="n">
        <x:v>440</x:v>
      </x:c>
      <x:c r="B441" s="86" t="n">
        <x:v>325</x:v>
      </x:c>
      <x:c r="C441" s="95" t="n">
        <x:v>45989</x:v>
      </x:c>
      <x:c r="D441" s="86" t="str">
        <x:v>Desligamento</x:v>
      </x:c>
      <x:c r="E441" s="86" t="str">
        <x:v>Desempenho</x:v>
      </x:c>
      <x:c r="F441" s="86" t="n">
        <x:v>1</x:v>
      </x:c>
      <x:c r="G441" s="86"/>
      <x:c r="H441" s="86" t="n">
        <x:v>1</x:v>
      </x:c>
      <x:c r="I441" s="86"/>
      <x:c r="J441" s="97" t="n">
        <x:v>0</x:v>
      </x:c>
    </x:row>
    <x:row r="442">
      <x:c r="A442" s="85" t="n">
        <x:v>441</x:v>
      </x:c>
      <x:c r="B442" s="86" t="n">
        <x:v>326</x:v>
      </x:c>
      <x:c r="C442" s="95" t="n">
        <x:v>45659</x:v>
      </x:c>
      <x:c r="D442" s="86" t="str">
        <x:v>Admissão</x:v>
      </x:c>
      <x:c r="E442" s="86" t="str">
        <x:v>Nova contratação</x:v>
      </x:c>
      <x:c r="F442" s="86"/>
      <x:c r="G442" s="86" t="n">
        <x:v>5</x:v>
      </x:c>
      <x:c r="H442" s="86"/>
      <x:c r="I442" s="86" t="n">
        <x:v>15</x:v>
      </x:c>
      <x:c r="J442" s="97" t="n">
        <x:v>0</x:v>
      </x:c>
    </x:row>
    <x:row r="443">
      <x:c r="A443" s="85" t="n">
        <x:v>442</x:v>
      </x:c>
      <x:c r="B443" s="86" t="n">
        <x:v>327</x:v>
      </x:c>
      <x:c r="C443" s="95" t="n">
        <x:v>45012</x:v>
      </x:c>
      <x:c r="D443" s="86" t="str">
        <x:v>Admissão</x:v>
      </x:c>
      <x:c r="E443" s="86" t="str">
        <x:v>Nova contratação</x:v>
      </x:c>
      <x:c r="F443" s="86"/>
      <x:c r="G443" s="86" t="n">
        <x:v>7</x:v>
      </x:c>
      <x:c r="H443" s="86"/>
      <x:c r="I443" s="86" t="n">
        <x:v>7</x:v>
      </x:c>
      <x:c r="J443" s="97" t="n">
        <x:v>0</x:v>
      </x:c>
    </x:row>
    <x:row r="444">
      <x:c r="A444" s="85" t="n">
        <x:v>443</x:v>
      </x:c>
      <x:c r="B444" s="86" t="n">
        <x:v>327</x:v>
      </x:c>
      <x:c r="C444" s="95" t="n">
        <x:v>45722</x:v>
      </x:c>
      <x:c r="D444" s="86" t="str">
        <x:v>Desligamento</x:v>
      </x:c>
      <x:c r="E444" s="86" t="str">
        <x:v>Desempenho</x:v>
      </x:c>
      <x:c r="F444" s="86" t="n">
        <x:v>7</x:v>
      </x:c>
      <x:c r="G444" s="86"/>
      <x:c r="H444" s="86" t="n">
        <x:v>7</x:v>
      </x:c>
      <x:c r="I444" s="86"/>
      <x:c r="J444" s="97" t="n">
        <x:v>0</x:v>
      </x:c>
    </x:row>
    <x:row r="445">
      <x:c r="A445" s="85" t="n">
        <x:v>444</x:v>
      </x:c>
      <x:c r="B445" s="86" t="n">
        <x:v>328</x:v>
      </x:c>
      <x:c r="C445" s="95" t="n">
        <x:v>45323</x:v>
      </x:c>
      <x:c r="D445" s="86" t="str">
        <x:v>Admissão</x:v>
      </x:c>
      <x:c r="E445" s="86" t="str">
        <x:v>Nova contratação</x:v>
      </x:c>
      <x:c r="F445" s="86"/>
      <x:c r="G445" s="86" t="n">
        <x:v>6</x:v>
      </x:c>
      <x:c r="H445" s="86"/>
      <x:c r="I445" s="86" t="n">
        <x:v>6</x:v>
      </x:c>
      <x:c r="J445" s="97" t="n">
        <x:v>0</x:v>
      </x:c>
    </x:row>
    <x:row r="446">
      <x:c r="A446" s="85" t="n">
        <x:v>445</x:v>
      </x:c>
      <x:c r="B446" s="86" t="n">
        <x:v>329</x:v>
      </x:c>
      <x:c r="C446" s="95" t="n">
        <x:v>45430</x:v>
      </x:c>
      <x:c r="D446" s="86" t="str">
        <x:v>Admissão</x:v>
      </x:c>
      <x:c r="E446" s="86" t="str">
        <x:v>Nova contratação</x:v>
      </x:c>
      <x:c r="F446" s="86"/>
      <x:c r="G446" s="86" t="n">
        <x:v>7</x:v>
      </x:c>
      <x:c r="H446" s="86"/>
      <x:c r="I446" s="86" t="n">
        <x:v>7</x:v>
      </x:c>
      <x:c r="J446" s="97" t="n">
        <x:v>0</x:v>
      </x:c>
    </x:row>
    <x:row r="447">
      <x:c r="A447" s="85" t="n">
        <x:v>446</x:v>
      </x:c>
      <x:c r="B447" s="86" t="n">
        <x:v>329</x:v>
      </x:c>
      <x:c r="C447" s="95" t="n">
        <x:v>45755</x:v>
      </x:c>
      <x:c r="D447" s="86" t="str">
        <x:v>Promoção</x:v>
      </x:c>
      <x:c r="E447" s="86" t="str">
        <x:v>Evolução de carreira</x:v>
      </x:c>
      <x:c r="F447" s="86" t="n">
        <x:v>7</x:v>
      </x:c>
      <x:c r="G447" s="86" t="n">
        <x:v>7</x:v>
      </x:c>
      <x:c r="H447" s="86" t="n">
        <x:v>7</x:v>
      </x:c>
      <x:c r="I447" s="86" t="n">
        <x:v>7</x:v>
      </x:c>
      <x:c r="J447" s="97" t="n">
        <x:v>0.0952</x:v>
      </x:c>
    </x:row>
    <x:row r="448">
      <x:c r="A448" s="85" t="n">
        <x:v>447</x:v>
      </x:c>
      <x:c r="B448" s="86" t="n">
        <x:v>330</x:v>
      </x:c>
      <x:c r="C448" s="95" t="n">
        <x:v>45076</x:v>
      </x:c>
      <x:c r="D448" s="86" t="str">
        <x:v>Admissão</x:v>
      </x:c>
      <x:c r="E448" s="86" t="str">
        <x:v>Nova contratação</x:v>
      </x:c>
      <x:c r="F448" s="86"/>
      <x:c r="G448" s="86" t="n">
        <x:v>1</x:v>
      </x:c>
      <x:c r="H448" s="86"/>
      <x:c r="I448" s="86" t="n">
        <x:v>1</x:v>
      </x:c>
      <x:c r="J448" s="97" t="n">
        <x:v>0</x:v>
      </x:c>
    </x:row>
    <x:row r="449">
      <x:c r="A449" s="85" t="n">
        <x:v>448</x:v>
      </x:c>
      <x:c r="B449" s="86" t="n">
        <x:v>331</x:v>
      </x:c>
      <x:c r="C449" s="95" t="n">
        <x:v>45612</x:v>
      </x:c>
      <x:c r="D449" s="86" t="str">
        <x:v>Admissão</x:v>
      </x:c>
      <x:c r="E449" s="86" t="str">
        <x:v>Nova contratação</x:v>
      </x:c>
      <x:c r="F449" s="86"/>
      <x:c r="G449" s="86" t="n">
        <x:v>3</x:v>
      </x:c>
      <x:c r="H449" s="86"/>
      <x:c r="I449" s="86" t="n">
        <x:v>3</x:v>
      </x:c>
      <x:c r="J449" s="97" t="n">
        <x:v>0</x:v>
      </x:c>
    </x:row>
    <x:row r="450">
      <x:c r="A450" s="85" t="n">
        <x:v>449</x:v>
      </x:c>
      <x:c r="B450" s="86" t="n">
        <x:v>332</x:v>
      </x:c>
      <x:c r="C450" s="95" t="n">
        <x:v>45744</x:v>
      </x:c>
      <x:c r="D450" s="86" t="str">
        <x:v>Admissão</x:v>
      </x:c>
      <x:c r="E450" s="86" t="str">
        <x:v>Nova contratação</x:v>
      </x:c>
      <x:c r="F450" s="86"/>
      <x:c r="G450" s="86" t="n">
        <x:v>5</x:v>
      </x:c>
      <x:c r="H450" s="86"/>
      <x:c r="I450" s="86" t="n">
        <x:v>5</x:v>
      </x:c>
      <x:c r="J450" s="97" t="n">
        <x:v>0</x:v>
      </x:c>
    </x:row>
    <x:row r="451">
      <x:c r="A451" s="85" t="n">
        <x:v>450</x:v>
      </x:c>
      <x:c r="B451" s="86" t="n">
        <x:v>332</x:v>
      </x:c>
      <x:c r="C451" s="95" t="n">
        <x:v>46012</x:v>
      </x:c>
      <x:c r="D451" s="86" t="str">
        <x:v>Promoção</x:v>
      </x:c>
      <x:c r="E451" s="86" t="str">
        <x:v>Evolução de carreira</x:v>
      </x:c>
      <x:c r="F451" s="86" t="n">
        <x:v>5</x:v>
      </x:c>
      <x:c r="G451" s="86" t="n">
        <x:v>5</x:v>
      </x:c>
      <x:c r="H451" s="86" t="n">
        <x:v>5</x:v>
      </x:c>
      <x:c r="I451" s="86" t="n">
        <x:v>5</x:v>
      </x:c>
      <x:c r="J451" s="97" t="n">
        <x:v>0.1474</x:v>
      </x:c>
    </x:row>
    <x:row r="452">
      <x:c r="A452" s="85" t="n">
        <x:v>451</x:v>
      </x:c>
      <x:c r="B452" s="86" t="n">
        <x:v>333</x:v>
      </x:c>
      <x:c r="C452" s="95" t="n">
        <x:v>44970</x:v>
      </x:c>
      <x:c r="D452" s="86" t="str">
        <x:v>Admissão</x:v>
      </x:c>
      <x:c r="E452" s="86" t="str">
        <x:v>Nova contratação</x:v>
      </x:c>
      <x:c r="F452" s="86"/>
      <x:c r="G452" s="86" t="n">
        <x:v>6</x:v>
      </x:c>
      <x:c r="H452" s="86"/>
      <x:c r="I452" s="86" t="n">
        <x:v>6</x:v>
      </x:c>
      <x:c r="J452" s="97" t="n">
        <x:v>0</x:v>
      </x:c>
    </x:row>
    <x:row r="453">
      <x:c r="A453" s="85" t="n">
        <x:v>452</x:v>
      </x:c>
      <x:c r="B453" s="86" t="n">
        <x:v>333</x:v>
      </x:c>
      <x:c r="C453" s="95" t="n">
        <x:v>45394</x:v>
      </x:c>
      <x:c r="D453" s="86" t="str">
        <x:v>Desligamento</x:v>
      </x:c>
      <x:c r="E453" s="86" t="str">
        <x:v>Desempenho</x:v>
      </x:c>
      <x:c r="F453" s="86" t="n">
        <x:v>6</x:v>
      </x:c>
      <x:c r="G453" s="86"/>
      <x:c r="H453" s="86" t="n">
        <x:v>6</x:v>
      </x:c>
      <x:c r="I453" s="86"/>
      <x:c r="J453" s="97" t="n">
        <x:v>0</x:v>
      </x:c>
    </x:row>
    <x:row r="454">
      <x:c r="A454" s="85" t="n">
        <x:v>453</x:v>
      </x:c>
      <x:c r="B454" s="86" t="n">
        <x:v>334</x:v>
      </x:c>
      <x:c r="C454" s="95" t="n">
        <x:v>45174</x:v>
      </x:c>
      <x:c r="D454" s="86" t="str">
        <x:v>Admissão</x:v>
      </x:c>
      <x:c r="E454" s="86" t="str">
        <x:v>Nova contratação</x:v>
      </x:c>
      <x:c r="F454" s="86"/>
      <x:c r="G454" s="86" t="n">
        <x:v>5</x:v>
      </x:c>
      <x:c r="H454" s="86"/>
      <x:c r="I454" s="86" t="n">
        <x:v>5</x:v>
      </x:c>
      <x:c r="J454" s="97" t="n">
        <x:v>0</x:v>
      </x:c>
    </x:row>
    <x:row r="455">
      <x:c r="A455" s="85" t="n">
        <x:v>454</x:v>
      </x:c>
      <x:c r="B455" s="86" t="n">
        <x:v>335</x:v>
      </x:c>
      <x:c r="C455" s="95" t="n">
        <x:v>45859</x:v>
      </x:c>
      <x:c r="D455" s="86" t="str">
        <x:v>Admissão</x:v>
      </x:c>
      <x:c r="E455" s="86" t="str">
        <x:v>Nova contratação</x:v>
      </x:c>
      <x:c r="F455" s="86"/>
      <x:c r="G455" s="86" t="n">
        <x:v>7</x:v>
      </x:c>
      <x:c r="H455" s="86"/>
      <x:c r="I455" s="86" t="n">
        <x:v>7</x:v>
      </x:c>
      <x:c r="J455" s="97" t="n">
        <x:v>0</x:v>
      </x:c>
    </x:row>
    <x:row r="456">
      <x:c r="A456" s="85" t="n">
        <x:v>455</x:v>
      </x:c>
      <x:c r="B456" s="86" t="n">
        <x:v>335</x:v>
      </x:c>
      <x:c r="C456" s="95" t="n">
        <x:v>45988</x:v>
      </x:c>
      <x:c r="D456" s="86" t="str">
        <x:v>Desligamento</x:v>
      </x:c>
      <x:c r="E456" s="86" t="str">
        <x:v>Reestruturação</x:v>
      </x:c>
      <x:c r="F456" s="86" t="n">
        <x:v>7</x:v>
      </x:c>
      <x:c r="G456" s="86"/>
      <x:c r="H456" s="86" t="n">
        <x:v>7</x:v>
      </x:c>
      <x:c r="I456" s="86"/>
      <x:c r="J456" s="97" t="n">
        <x:v>0</x:v>
      </x:c>
    </x:row>
    <x:row r="457">
      <x:c r="A457" s="85" t="n">
        <x:v>456</x:v>
      </x:c>
      <x:c r="B457" s="86" t="n">
        <x:v>336</x:v>
      </x:c>
      <x:c r="C457" s="95" t="n">
        <x:v>45714</x:v>
      </x:c>
      <x:c r="D457" s="86" t="str">
        <x:v>Admissão</x:v>
      </x:c>
      <x:c r="E457" s="86" t="str">
        <x:v>Nova contratação</x:v>
      </x:c>
      <x:c r="F457" s="86"/>
      <x:c r="G457" s="86" t="n">
        <x:v>4</x:v>
      </x:c>
      <x:c r="H457" s="86"/>
      <x:c r="I457" s="86" t="n">
        <x:v>4</x:v>
      </x:c>
      <x:c r="J457" s="97" t="n">
        <x:v>0</x:v>
      </x:c>
    </x:row>
    <x:row r="458">
      <x:c r="A458" s="85" t="n">
        <x:v>457</x:v>
      </x:c>
      <x:c r="B458" s="86" t="n">
        <x:v>336</x:v>
      </x:c>
      <x:c r="C458" s="95" t="n">
        <x:v>46015</x:v>
      </x:c>
      <x:c r="D458" s="86" t="str">
        <x:v>Promoção</x:v>
      </x:c>
      <x:c r="E458" s="86" t="str">
        <x:v>Evolução de carreira</x:v>
      </x:c>
      <x:c r="F458" s="86" t="n">
        <x:v>4</x:v>
      </x:c>
      <x:c r="G458" s="86" t="n">
        <x:v>4</x:v>
      </x:c>
      <x:c r="H458" s="86" t="n">
        <x:v>4</x:v>
      </x:c>
      <x:c r="I458" s="86" t="n">
        <x:v>4</x:v>
      </x:c>
      <x:c r="J458" s="97" t="n">
        <x:v>0.1178</x:v>
      </x:c>
    </x:row>
    <x:row r="459">
      <x:c r="A459" s="85" t="n">
        <x:v>458</x:v>
      </x:c>
      <x:c r="B459" s="86" t="n">
        <x:v>337</x:v>
      </x:c>
      <x:c r="C459" s="95" t="n">
        <x:v>45161</x:v>
      </x:c>
      <x:c r="D459" s="86" t="str">
        <x:v>Admissão</x:v>
      </x:c>
      <x:c r="E459" s="86" t="str">
        <x:v>Nova contratação</x:v>
      </x:c>
      <x:c r="F459" s="86"/>
      <x:c r="G459" s="86" t="n">
        <x:v>6</x:v>
      </x:c>
      <x:c r="H459" s="86"/>
      <x:c r="I459" s="86" t="n">
        <x:v>6</x:v>
      </x:c>
      <x:c r="J459" s="97" t="n">
        <x:v>0</x:v>
      </x:c>
    </x:row>
    <x:row r="460">
      <x:c r="A460" s="85" t="n">
        <x:v>459</x:v>
      </x:c>
      <x:c r="B460" s="86" t="n">
        <x:v>338</x:v>
      </x:c>
      <x:c r="C460" s="95" t="n">
        <x:v>45076</x:v>
      </x:c>
      <x:c r="D460" s="86" t="str">
        <x:v>Admissão</x:v>
      </x:c>
      <x:c r="E460" s="86" t="str">
        <x:v>Nova contratação</x:v>
      </x:c>
      <x:c r="F460" s="86"/>
      <x:c r="G460" s="86" t="n">
        <x:v>3</x:v>
      </x:c>
      <x:c r="H460" s="86"/>
      <x:c r="I460" s="86" t="n">
        <x:v>3</x:v>
      </x:c>
      <x:c r="J460" s="97" t="n">
        <x:v>0</x:v>
      </x:c>
    </x:row>
    <x:row r="461">
      <x:c r="A461" s="85" t="n">
        <x:v>460</x:v>
      </x:c>
      <x:c r="B461" s="86" t="n">
        <x:v>338</x:v>
      </x:c>
      <x:c r="C461" s="95" t="n">
        <x:v>46018</x:v>
      </x:c>
      <x:c r="D461" s="86" t="str">
        <x:v>Promoção</x:v>
      </x:c>
      <x:c r="E461" s="86" t="str">
        <x:v>Evolução de carreira</x:v>
      </x:c>
      <x:c r="F461" s="86" t="n">
        <x:v>3</x:v>
      </x:c>
      <x:c r="G461" s="86" t="n">
        <x:v>3</x:v>
      </x:c>
      <x:c r="H461" s="86" t="n">
        <x:v>3</x:v>
      </x:c>
      <x:c r="I461" s="86" t="n">
        <x:v>3</x:v>
      </x:c>
      <x:c r="J461" s="97" t="n">
        <x:v>0.0795</x:v>
      </x:c>
    </x:row>
    <x:row r="462">
      <x:c r="A462" s="85" t="n">
        <x:v>461</x:v>
      </x:c>
      <x:c r="B462" s="86" t="n">
        <x:v>339</x:v>
      </x:c>
      <x:c r="C462" s="95" t="n">
        <x:v>45522</x:v>
      </x:c>
      <x:c r="D462" s="86" t="str">
        <x:v>Admissão</x:v>
      </x:c>
      <x:c r="E462" s="86" t="str">
        <x:v>Nova contratação</x:v>
      </x:c>
      <x:c r="F462" s="86"/>
      <x:c r="G462" s="86" t="n">
        <x:v>7</x:v>
      </x:c>
      <x:c r="H462" s="86"/>
      <x:c r="I462" s="86" t="n">
        <x:v>7</x:v>
      </x:c>
      <x:c r="J462" s="97" t="n">
        <x:v>0</x:v>
      </x:c>
    </x:row>
    <x:row r="463">
      <x:c r="A463" s="85" t="n">
        <x:v>462</x:v>
      </x:c>
      <x:c r="B463" s="86" t="n">
        <x:v>340</x:v>
      </x:c>
      <x:c r="C463" s="95" t="n">
        <x:v>45652</x:v>
      </x:c>
      <x:c r="D463" s="86" t="str">
        <x:v>Admissão</x:v>
      </x:c>
      <x:c r="E463" s="86" t="str">
        <x:v>Nova contratação</x:v>
      </x:c>
      <x:c r="F463" s="86"/>
      <x:c r="G463" s="86" t="n">
        <x:v>1</x:v>
      </x:c>
      <x:c r="H463" s="86"/>
      <x:c r="I463" s="86" t="n">
        <x:v>1</x:v>
      </x:c>
      <x:c r="J463" s="97" t="n">
        <x:v>0</x:v>
      </x:c>
    </x:row>
    <x:row r="464">
      <x:c r="A464" s="85" t="n">
        <x:v>463</x:v>
      </x:c>
      <x:c r="B464" s="86" t="n">
        <x:v>341</x:v>
      </x:c>
      <x:c r="C464" s="95" t="n">
        <x:v>45239</x:v>
      </x:c>
      <x:c r="D464" s="86" t="str">
        <x:v>Admissão</x:v>
      </x:c>
      <x:c r="E464" s="86" t="str">
        <x:v>Nova contratação</x:v>
      </x:c>
      <x:c r="F464" s="86"/>
      <x:c r="G464" s="86" t="n">
        <x:v>1</x:v>
      </x:c>
      <x:c r="H464" s="86"/>
      <x:c r="I464" s="86" t="n">
        <x:v>1</x:v>
      </x:c>
      <x:c r="J464" s="97" t="n">
        <x:v>0</x:v>
      </x:c>
    </x:row>
    <x:row r="465">
      <x:c r="A465" s="85" t="n">
        <x:v>464</x:v>
      </x:c>
      <x:c r="B465" s="86" t="n">
        <x:v>342</x:v>
      </x:c>
      <x:c r="C465" s="95" t="n">
        <x:v>45715</x:v>
      </x:c>
      <x:c r="D465" s="86" t="str">
        <x:v>Admissão</x:v>
      </x:c>
      <x:c r="E465" s="86" t="str">
        <x:v>Nova contratação</x:v>
      </x:c>
      <x:c r="F465" s="86"/>
      <x:c r="G465" s="86" t="n">
        <x:v>9</x:v>
      </x:c>
      <x:c r="H465" s="86"/>
      <x:c r="I465" s="86" t="n">
        <x:v>19</x:v>
      </x:c>
      <x:c r="J465" s="97" t="n">
        <x:v>0</x:v>
      </x:c>
    </x:row>
    <x:row r="466">
      <x:c r="A466" s="85" t="n">
        <x:v>465</x:v>
      </x:c>
      <x:c r="B466" s="86" t="n">
        <x:v>343</x:v>
      </x:c>
      <x:c r="C466" s="95" t="n">
        <x:v>45885</x:v>
      </x:c>
      <x:c r="D466" s="86" t="str">
        <x:v>Admissão</x:v>
      </x:c>
      <x:c r="E466" s="86" t="str">
        <x:v>Nova contratação</x:v>
      </x:c>
      <x:c r="F466" s="86"/>
      <x:c r="G466" s="86" t="n">
        <x:v>8</x:v>
      </x:c>
      <x:c r="H466" s="86"/>
      <x:c r="I466" s="86" t="n">
        <x:v>8</x:v>
      </x:c>
      <x:c r="J466" s="97" t="n">
        <x:v>0</x:v>
      </x:c>
    </x:row>
    <x:row r="467">
      <x:c r="A467" s="85" t="n">
        <x:v>466</x:v>
      </x:c>
      <x:c r="B467" s="86" t="n">
        <x:v>344</x:v>
      </x:c>
      <x:c r="C467" s="95" t="n">
        <x:v>45598</x:v>
      </x:c>
      <x:c r="D467" s="86" t="str">
        <x:v>Admissão</x:v>
      </x:c>
      <x:c r="E467" s="86" t="str">
        <x:v>Nova contratação</x:v>
      </x:c>
      <x:c r="F467" s="86"/>
      <x:c r="G467" s="86" t="n">
        <x:v>1</x:v>
      </x:c>
      <x:c r="H467" s="86"/>
      <x:c r="I467" s="86" t="n">
        <x:v>1</x:v>
      </x:c>
      <x:c r="J467" s="97" t="n">
        <x:v>0</x:v>
      </x:c>
    </x:row>
    <x:row r="468">
      <x:c r="A468" s="85" t="n">
        <x:v>467</x:v>
      </x:c>
      <x:c r="B468" s="86" t="n">
        <x:v>345</x:v>
      </x:c>
      <x:c r="C468" s="95" t="n">
        <x:v>45236</x:v>
      </x:c>
      <x:c r="D468" s="86" t="str">
        <x:v>Admissão</x:v>
      </x:c>
      <x:c r="E468" s="86" t="str">
        <x:v>Nova contratação</x:v>
      </x:c>
      <x:c r="F468" s="86"/>
      <x:c r="G468" s="86" t="n">
        <x:v>3</x:v>
      </x:c>
      <x:c r="H468" s="86"/>
      <x:c r="I468" s="86" t="n">
        <x:v>3</x:v>
      </x:c>
      <x:c r="J468" s="97" t="n">
        <x:v>0</x:v>
      </x:c>
    </x:row>
    <x:row r="469">
      <x:c r="A469" s="85" t="n">
        <x:v>468</x:v>
      </x:c>
      <x:c r="B469" s="86" t="n">
        <x:v>346</x:v>
      </x:c>
      <x:c r="C469" s="95" t="n">
        <x:v>45502</x:v>
      </x:c>
      <x:c r="D469" s="86" t="str">
        <x:v>Admissão</x:v>
      </x:c>
      <x:c r="E469" s="86" t="str">
        <x:v>Nova contratação</x:v>
      </x:c>
      <x:c r="F469" s="86"/>
      <x:c r="G469" s="86" t="n">
        <x:v>9</x:v>
      </x:c>
      <x:c r="H469" s="86"/>
      <x:c r="I469" s="86" t="n">
        <x:v>9</x:v>
      </x:c>
      <x:c r="J469" s="97" t="n">
        <x:v>0</x:v>
      </x:c>
    </x:row>
    <x:row r="470">
      <x:c r="A470" s="85" t="n">
        <x:v>469</x:v>
      </x:c>
      <x:c r="B470" s="86" t="n">
        <x:v>346</x:v>
      </x:c>
      <x:c r="C470" s="95" t="n">
        <x:v>45678</x:v>
      </x:c>
      <x:c r="D470" s="86" t="str">
        <x:v>Desligamento</x:v>
      </x:c>
      <x:c r="E470" s="86" t="str">
        <x:v>Pedido do colaborador</x:v>
      </x:c>
      <x:c r="F470" s="86" t="n">
        <x:v>9</x:v>
      </x:c>
      <x:c r="G470" s="86"/>
      <x:c r="H470" s="86" t="n">
        <x:v>9</x:v>
      </x:c>
      <x:c r="I470" s="86"/>
      <x:c r="J470" s="97" t="n">
        <x:v>0</x:v>
      </x:c>
    </x:row>
    <x:row r="471">
      <x:c r="A471" s="85" t="n">
        <x:v>470</x:v>
      </x:c>
      <x:c r="B471" s="86" t="n">
        <x:v>347</x:v>
      </x:c>
      <x:c r="C471" s="95" t="n">
        <x:v>45910</x:v>
      </x:c>
      <x:c r="D471" s="86" t="str">
        <x:v>Admissão</x:v>
      </x:c>
      <x:c r="E471" s="86" t="str">
        <x:v>Nova contratação</x:v>
      </x:c>
      <x:c r="F471" s="86"/>
      <x:c r="G471" s="86" t="n">
        <x:v>7</x:v>
      </x:c>
      <x:c r="H471" s="86"/>
      <x:c r="I471" s="86" t="n">
        <x:v>7</x:v>
      </x:c>
      <x:c r="J471" s="97" t="n">
        <x:v>0</x:v>
      </x:c>
    </x:row>
    <x:row r="472">
      <x:c r="A472" s="85" t="n">
        <x:v>471</x:v>
      </x:c>
      <x:c r="B472" s="86" t="n">
        <x:v>348</x:v>
      </x:c>
      <x:c r="C472" s="95" t="n">
        <x:v>45240</x:v>
      </x:c>
      <x:c r="D472" s="86" t="str">
        <x:v>Admissão</x:v>
      </x:c>
      <x:c r="E472" s="86" t="str">
        <x:v>Nova contratação</x:v>
      </x:c>
      <x:c r="F472" s="86"/>
      <x:c r="G472" s="86" t="n">
        <x:v>7</x:v>
      </x:c>
      <x:c r="H472" s="86"/>
      <x:c r="I472" s="86" t="n">
        <x:v>7</x:v>
      </x:c>
      <x:c r="J472" s="97" t="n">
        <x:v>0</x:v>
      </x:c>
    </x:row>
    <x:row r="473">
      <x:c r="A473" s="85" t="n">
        <x:v>472</x:v>
      </x:c>
      <x:c r="B473" s="86" t="n">
        <x:v>349</x:v>
      </x:c>
      <x:c r="C473" s="95" t="n">
        <x:v>45490</x:v>
      </x:c>
      <x:c r="D473" s="86" t="str">
        <x:v>Admissão</x:v>
      </x:c>
      <x:c r="E473" s="86" t="str">
        <x:v>Nova contratação</x:v>
      </x:c>
      <x:c r="F473" s="86"/>
      <x:c r="G473" s="86" t="n">
        <x:v>9</x:v>
      </x:c>
      <x:c r="H473" s="86"/>
      <x:c r="I473" s="86" t="n">
        <x:v>9</x:v>
      </x:c>
      <x:c r="J473" s="97" t="n">
        <x:v>0</x:v>
      </x:c>
    </x:row>
    <x:row r="474">
      <x:c r="A474" s="85" t="n">
        <x:v>473</x:v>
      </x:c>
      <x:c r="B474" s="86" t="n">
        <x:v>350</x:v>
      </x:c>
      <x:c r="C474" s="95" t="n">
        <x:v>45896</x:v>
      </x:c>
      <x:c r="D474" s="86" t="str">
        <x:v>Admissão</x:v>
      </x:c>
      <x:c r="E474" s="86" t="str">
        <x:v>Nova contratação</x:v>
      </x:c>
      <x:c r="F474" s="86"/>
      <x:c r="G474" s="86" t="n">
        <x:v>1</x:v>
      </x:c>
      <x:c r="H474" s="86"/>
      <x:c r="I474" s="86" t="n">
        <x:v>1</x:v>
      </x:c>
      <x:c r="J474" s="97" t="n">
        <x:v>0</x:v>
      </x:c>
    </x:row>
    <x:row r="475">
      <x:c r="A475" s="85" t="n">
        <x:v>474</x:v>
      </x:c>
      <x:c r="B475" s="86" t="n">
        <x:v>351</x:v>
      </x:c>
      <x:c r="C475" s="95" t="n">
        <x:v>45823</x:v>
      </x:c>
      <x:c r="D475" s="86" t="str">
        <x:v>Admissão</x:v>
      </x:c>
      <x:c r="E475" s="86" t="str">
        <x:v>Nova contratação</x:v>
      </x:c>
      <x:c r="F475" s="86"/>
      <x:c r="G475" s="86" t="n">
        <x:v>10</x:v>
      </x:c>
      <x:c r="H475" s="86"/>
      <x:c r="I475" s="86" t="n">
        <x:v>20</x:v>
      </x:c>
      <x:c r="J475" s="97" t="n">
        <x:v>0</x:v>
      </x:c>
    </x:row>
    <x:row r="476">
      <x:c r="A476" s="85" t="n">
        <x:v>475</x:v>
      </x:c>
      <x:c r="B476" s="86" t="n">
        <x:v>352</x:v>
      </x:c>
      <x:c r="C476" s="95" t="n">
        <x:v>44963</x:v>
      </x:c>
      <x:c r="D476" s="86" t="str">
        <x:v>Admissão</x:v>
      </x:c>
      <x:c r="E476" s="86" t="str">
        <x:v>Nova contratação</x:v>
      </x:c>
      <x:c r="F476" s="86"/>
      <x:c r="G476" s="86" t="n">
        <x:v>6</x:v>
      </x:c>
      <x:c r="H476" s="86"/>
      <x:c r="I476" s="86" t="n">
        <x:v>6</x:v>
      </x:c>
      <x:c r="J476" s="97" t="n">
        <x:v>0</x:v>
      </x:c>
    </x:row>
    <x:row r="477">
      <x:c r="A477" s="85" t="n">
        <x:v>476</x:v>
      </x:c>
      <x:c r="B477" s="86" t="n">
        <x:v>353</x:v>
      </x:c>
      <x:c r="C477" s="95" t="n">
        <x:v>45584</x:v>
      </x:c>
      <x:c r="D477" s="86" t="str">
        <x:v>Admissão</x:v>
      </x:c>
      <x:c r="E477" s="86" t="str">
        <x:v>Nova contratação</x:v>
      </x:c>
      <x:c r="F477" s="86"/>
      <x:c r="G477" s="86" t="n">
        <x:v>1</x:v>
      </x:c>
      <x:c r="H477" s="86"/>
      <x:c r="I477" s="86" t="n">
        <x:v>1</x:v>
      </x:c>
      <x:c r="J477" s="97" t="n">
        <x:v>0</x:v>
      </x:c>
    </x:row>
    <x:row r="478">
      <x:c r="A478" s="85" t="n">
        <x:v>477</x:v>
      </x:c>
      <x:c r="B478" s="86" t="n">
        <x:v>354</x:v>
      </x:c>
      <x:c r="C478" s="95" t="n">
        <x:v>45568</x:v>
      </x:c>
      <x:c r="D478" s="86" t="str">
        <x:v>Admissão</x:v>
      </x:c>
      <x:c r="E478" s="86" t="str">
        <x:v>Nova contratação</x:v>
      </x:c>
      <x:c r="F478" s="86"/>
      <x:c r="G478" s="86" t="n">
        <x:v>9</x:v>
      </x:c>
      <x:c r="H478" s="86"/>
      <x:c r="I478" s="86" t="n">
        <x:v>19</x:v>
      </x:c>
      <x:c r="J478" s="97" t="n">
        <x:v>0</x:v>
      </x:c>
    </x:row>
    <x:row r="479">
      <x:c r="A479" s="85" t="n">
        <x:v>478</x:v>
      </x:c>
      <x:c r="B479" s="86" t="n">
        <x:v>354</x:v>
      </x:c>
      <x:c r="C479" s="95" t="n">
        <x:v>45774</x:v>
      </x:c>
      <x:c r="D479" s="86" t="str">
        <x:v>Promoção</x:v>
      </x:c>
      <x:c r="E479" s="86" t="str">
        <x:v>Evolução de carreira</x:v>
      </x:c>
      <x:c r="F479" s="86" t="n">
        <x:v>9</x:v>
      </x:c>
      <x:c r="G479" s="86" t="n">
        <x:v>9</x:v>
      </x:c>
      <x:c r="H479" s="86" t="n">
        <x:v>19</x:v>
      </x:c>
      <x:c r="I479" s="86" t="n">
        <x:v>19</x:v>
      </x:c>
      <x:c r="J479" s="97" t="n">
        <x:v>0.0852</x:v>
      </x:c>
    </x:row>
    <x:row r="480">
      <x:c r="A480" s="85" t="n">
        <x:v>479</x:v>
      </x:c>
      <x:c r="B480" s="86" t="n">
        <x:v>355</x:v>
      </x:c>
      <x:c r="C480" s="95" t="n">
        <x:v>44961</x:v>
      </x:c>
      <x:c r="D480" s="86" t="str">
        <x:v>Admissão</x:v>
      </x:c>
      <x:c r="E480" s="86" t="str">
        <x:v>Nova contratação</x:v>
      </x:c>
      <x:c r="F480" s="86"/>
      <x:c r="G480" s="86" t="n">
        <x:v>1</x:v>
      </x:c>
      <x:c r="H480" s="86"/>
      <x:c r="I480" s="86" t="n">
        <x:v>1</x:v>
      </x:c>
      <x:c r="J480" s="97" t="n">
        <x:v>0</x:v>
      </x:c>
    </x:row>
    <x:row r="481">
      <x:c r="A481" s="85" t="n">
        <x:v>480</x:v>
      </x:c>
      <x:c r="B481" s="86" t="n">
        <x:v>355</x:v>
      </x:c>
      <x:c r="C481" s="95" t="n">
        <x:v>45218</x:v>
      </x:c>
      <x:c r="D481" s="86" t="str">
        <x:v>Promoção</x:v>
      </x:c>
      <x:c r="E481" s="86" t="str">
        <x:v>Evolução de carreira</x:v>
      </x:c>
      <x:c r="F481" s="86" t="n">
        <x:v>1</x:v>
      </x:c>
      <x:c r="G481" s="86" t="n">
        <x:v>1</x:v>
      </x:c>
      <x:c r="H481" s="86" t="n">
        <x:v>1</x:v>
      </x:c>
      <x:c r="I481" s="86" t="n">
        <x:v>1</x:v>
      </x:c>
      <x:c r="J481" s="97" t="n">
        <x:v>0.0629</x:v>
      </x:c>
    </x:row>
    <x:row r="482">
      <x:c r="A482" s="85" t="n">
        <x:v>481</x:v>
      </x:c>
      <x:c r="B482" s="86" t="n">
        <x:v>356</x:v>
      </x:c>
      <x:c r="C482" s="95" t="n">
        <x:v>45131</x:v>
      </x:c>
      <x:c r="D482" s="86" t="str">
        <x:v>Admissão</x:v>
      </x:c>
      <x:c r="E482" s="86" t="str">
        <x:v>Nova contratação</x:v>
      </x:c>
      <x:c r="F482" s="86"/>
      <x:c r="G482" s="86" t="n">
        <x:v>8</x:v>
      </x:c>
      <x:c r="H482" s="86"/>
      <x:c r="I482" s="86" t="n">
        <x:v>8</x:v>
      </x:c>
      <x:c r="J482" s="97" t="n">
        <x:v>0</x:v>
      </x:c>
    </x:row>
    <x:row r="483">
      <x:c r="A483" s="85" t="n">
        <x:v>482</x:v>
      </x:c>
      <x:c r="B483" s="86" t="n">
        <x:v>357</x:v>
      </x:c>
      <x:c r="C483" s="95" t="n">
        <x:v>45904</x:v>
      </x:c>
      <x:c r="D483" s="86" t="str">
        <x:v>Admissão</x:v>
      </x:c>
      <x:c r="E483" s="86" t="str">
        <x:v>Nova contratação</x:v>
      </x:c>
      <x:c r="F483" s="86"/>
      <x:c r="G483" s="86" t="n">
        <x:v>10</x:v>
      </x:c>
      <x:c r="H483" s="86"/>
      <x:c r="I483" s="86" t="n">
        <x:v>10</x:v>
      </x:c>
      <x:c r="J483" s="97" t="n">
        <x:v>0</x:v>
      </x:c>
    </x:row>
    <x:row r="484">
      <x:c r="A484" s="85" t="n">
        <x:v>483</x:v>
      </x:c>
      <x:c r="B484" s="86" t="n">
        <x:v>358</x:v>
      </x:c>
      <x:c r="C484" s="95" t="n">
        <x:v>45077</x:v>
      </x:c>
      <x:c r="D484" s="86" t="str">
        <x:v>Admissão</x:v>
      </x:c>
      <x:c r="E484" s="86" t="str">
        <x:v>Nova contratação</x:v>
      </x:c>
      <x:c r="F484" s="86"/>
      <x:c r="G484" s="86" t="n">
        <x:v>9</x:v>
      </x:c>
      <x:c r="H484" s="86"/>
      <x:c r="I484" s="86" t="n">
        <x:v>9</x:v>
      </x:c>
      <x:c r="J484" s="97" t="n">
        <x:v>0</x:v>
      </x:c>
    </x:row>
    <x:row r="485">
      <x:c r="A485" s="85" t="n">
        <x:v>484</x:v>
      </x:c>
      <x:c r="B485" s="86" t="n">
        <x:v>358</x:v>
      </x:c>
      <x:c r="C485" s="95" t="n">
        <x:v>45206</x:v>
      </x:c>
      <x:c r="D485" s="86" t="str">
        <x:v>Desligamento</x:v>
      </x:c>
      <x:c r="E485" s="86" t="str">
        <x:v>Desempenho</x:v>
      </x:c>
      <x:c r="F485" s="86" t="n">
        <x:v>9</x:v>
      </x:c>
      <x:c r="G485" s="86"/>
      <x:c r="H485" s="86" t="n">
        <x:v>9</x:v>
      </x:c>
      <x:c r="I485" s="86"/>
      <x:c r="J485" s="97" t="n">
        <x:v>0</x:v>
      </x:c>
    </x:row>
    <x:row r="486">
      <x:c r="A486" s="85" t="n">
        <x:v>485</x:v>
      </x:c>
      <x:c r="B486" s="86" t="n">
        <x:v>359</x:v>
      </x:c>
      <x:c r="C486" s="95" t="n">
        <x:v>45339</x:v>
      </x:c>
      <x:c r="D486" s="86" t="str">
        <x:v>Admissão</x:v>
      </x:c>
      <x:c r="E486" s="86" t="str">
        <x:v>Nova contratação</x:v>
      </x:c>
      <x:c r="F486" s="86"/>
      <x:c r="G486" s="86" t="n">
        <x:v>1</x:v>
      </x:c>
      <x:c r="H486" s="86"/>
      <x:c r="I486" s="86" t="n">
        <x:v>1</x:v>
      </x:c>
      <x:c r="J486" s="97" t="n">
        <x:v>0</x:v>
      </x:c>
    </x:row>
    <x:row r="487">
      <x:c r="A487" s="85" t="n">
        <x:v>486</x:v>
      </x:c>
      <x:c r="B487" s="86" t="n">
        <x:v>360</x:v>
      </x:c>
      <x:c r="C487" s="95" t="n">
        <x:v>45045</x:v>
      </x:c>
      <x:c r="D487" s="86" t="str">
        <x:v>Admissão</x:v>
      </x:c>
      <x:c r="E487" s="86" t="str">
        <x:v>Nova contratação</x:v>
      </x:c>
      <x:c r="F487" s="86"/>
      <x:c r="G487" s="86" t="n">
        <x:v>2</x:v>
      </x:c>
      <x:c r="H487" s="86"/>
      <x:c r="I487" s="86" t="n">
        <x:v>2</x:v>
      </x:c>
      <x:c r="J487" s="97" t="n">
        <x:v>0</x:v>
      </x:c>
    </x:row>
    <x:row r="488">
      <x:c r="A488" s="85" t="n">
        <x:v>487</x:v>
      </x:c>
      <x:c r="B488" s="86" t="n">
        <x:v>361</x:v>
      </x:c>
      <x:c r="C488" s="95" t="n">
        <x:v>45657</x:v>
      </x:c>
      <x:c r="D488" s="86" t="str">
        <x:v>Admissão</x:v>
      </x:c>
      <x:c r="E488" s="86" t="str">
        <x:v>Nova contratação</x:v>
      </x:c>
      <x:c r="F488" s="86"/>
      <x:c r="G488" s="86" t="n">
        <x:v>8</x:v>
      </x:c>
      <x:c r="H488" s="86"/>
      <x:c r="I488" s="86" t="n">
        <x:v>8</x:v>
      </x:c>
      <x:c r="J488" s="97" t="n">
        <x:v>0</x:v>
      </x:c>
    </x:row>
    <x:row r="489">
      <x:c r="A489" s="85" t="n">
        <x:v>488</x:v>
      </x:c>
      <x:c r="B489" s="86" t="n">
        <x:v>362</x:v>
      </x:c>
      <x:c r="C489" s="95" t="n">
        <x:v>45561</x:v>
      </x:c>
      <x:c r="D489" s="86" t="str">
        <x:v>Admissão</x:v>
      </x:c>
      <x:c r="E489" s="86" t="str">
        <x:v>Nova contratação</x:v>
      </x:c>
      <x:c r="F489" s="86"/>
      <x:c r="G489" s="86" t="n">
        <x:v>10</x:v>
      </x:c>
      <x:c r="H489" s="86"/>
      <x:c r="I489" s="86" t="n">
        <x:v>10</x:v>
      </x:c>
      <x:c r="J489" s="97" t="n">
        <x:v>0</x:v>
      </x:c>
    </x:row>
    <x:row r="490">
      <x:c r="A490" s="85" t="n">
        <x:v>489</x:v>
      </x:c>
      <x:c r="B490" s="86" t="n">
        <x:v>363</x:v>
      </x:c>
      <x:c r="C490" s="95" t="n">
        <x:v>45194</x:v>
      </x:c>
      <x:c r="D490" s="86" t="str">
        <x:v>Admissão</x:v>
      </x:c>
      <x:c r="E490" s="86" t="str">
        <x:v>Nova contratação</x:v>
      </x:c>
      <x:c r="F490" s="86"/>
      <x:c r="G490" s="86" t="n">
        <x:v>1</x:v>
      </x:c>
      <x:c r="H490" s="86"/>
      <x:c r="I490" s="86" t="n">
        <x:v>1</x:v>
      </x:c>
      <x:c r="J490" s="97" t="n">
        <x:v>0</x:v>
      </x:c>
    </x:row>
    <x:row r="491">
      <x:c r="A491" s="85" t="n">
        <x:v>490</x:v>
      </x:c>
      <x:c r="B491" s="86" t="n">
        <x:v>363</x:v>
      </x:c>
      <x:c r="C491" s="95" t="n">
        <x:v>45823</x:v>
      </x:c>
      <x:c r="D491" s="86" t="str">
        <x:v>Promoção</x:v>
      </x:c>
      <x:c r="E491" s="86" t="str">
        <x:v>Evolução de carreira</x:v>
      </x:c>
      <x:c r="F491" s="86" t="n">
        <x:v>1</x:v>
      </x:c>
      <x:c r="G491" s="86" t="n">
        <x:v>1</x:v>
      </x:c>
      <x:c r="H491" s="86" t="n">
        <x:v>1</x:v>
      </x:c>
      <x:c r="I491" s="86" t="n">
        <x:v>1</x:v>
      </x:c>
      <x:c r="J491" s="97" t="n">
        <x:v>0.141</x:v>
      </x:c>
    </x:row>
    <x:row r="492">
      <x:c r="A492" s="85" t="n">
        <x:v>491</x:v>
      </x:c>
      <x:c r="B492" s="86" t="n">
        <x:v>364</x:v>
      </x:c>
      <x:c r="C492" s="95" t="n">
        <x:v>45181</x:v>
      </x:c>
      <x:c r="D492" s="86" t="str">
        <x:v>Admissão</x:v>
      </x:c>
      <x:c r="E492" s="86" t="str">
        <x:v>Nova contratação</x:v>
      </x:c>
      <x:c r="F492" s="86"/>
      <x:c r="G492" s="86" t="n">
        <x:v>5</x:v>
      </x:c>
      <x:c r="H492" s="86"/>
      <x:c r="I492" s="86" t="n">
        <x:v>5</x:v>
      </x:c>
      <x:c r="J492" s="97" t="n">
        <x:v>0</x:v>
      </x:c>
    </x:row>
    <x:row r="493">
      <x:c r="A493" s="85" t="n">
        <x:v>492</x:v>
      </x:c>
      <x:c r="B493" s="86" t="n">
        <x:v>365</x:v>
      </x:c>
      <x:c r="C493" s="95" t="n">
        <x:v>45728</x:v>
      </x:c>
      <x:c r="D493" s="86" t="str">
        <x:v>Admissão</x:v>
      </x:c>
      <x:c r="E493" s="86" t="str">
        <x:v>Nova contratação</x:v>
      </x:c>
      <x:c r="F493" s="86"/>
      <x:c r="G493" s="86" t="n">
        <x:v>1</x:v>
      </x:c>
      <x:c r="H493" s="86"/>
      <x:c r="I493" s="86" t="n">
        <x:v>1</x:v>
      </x:c>
      <x:c r="J493" s="97" t="n">
        <x:v>0</x:v>
      </x:c>
    </x:row>
    <x:row r="494">
      <x:c r="A494" s="85" t="n">
        <x:v>493</x:v>
      </x:c>
      <x:c r="B494" s="86" t="n">
        <x:v>366</x:v>
      </x:c>
      <x:c r="C494" s="95" t="n">
        <x:v>45507</x:v>
      </x:c>
      <x:c r="D494" s="86" t="str">
        <x:v>Admissão</x:v>
      </x:c>
      <x:c r="E494" s="86" t="str">
        <x:v>Nova contratação</x:v>
      </x:c>
      <x:c r="F494" s="86"/>
      <x:c r="G494" s="86" t="n">
        <x:v>1</x:v>
      </x:c>
      <x:c r="H494" s="86"/>
      <x:c r="I494" s="86" t="n">
        <x:v>1</x:v>
      </x:c>
      <x:c r="J494" s="97" t="n">
        <x:v>0</x:v>
      </x:c>
    </x:row>
    <x:row r="495">
      <x:c r="A495" s="85" t="n">
        <x:v>494</x:v>
      </x:c>
      <x:c r="B495" s="86" t="n">
        <x:v>366</x:v>
      </x:c>
      <x:c r="C495" s="95" t="n">
        <x:v>45955</x:v>
      </x:c>
      <x:c r="D495" s="86" t="str">
        <x:v>Desligamento</x:v>
      </x:c>
      <x:c r="E495" s="86" t="str">
        <x:v>Reestruturação</x:v>
      </x:c>
      <x:c r="F495" s="86" t="n">
        <x:v>1</x:v>
      </x:c>
      <x:c r="G495" s="86"/>
      <x:c r="H495" s="86" t="n">
        <x:v>1</x:v>
      </x:c>
      <x:c r="I495" s="86"/>
      <x:c r="J495" s="97" t="n">
        <x:v>0</x:v>
      </x:c>
    </x:row>
    <x:row r="496">
      <x:c r="A496" s="85" t="n">
        <x:v>495</x:v>
      </x:c>
      <x:c r="B496" s="86" t="n">
        <x:v>367</x:v>
      </x:c>
      <x:c r="C496" s="95" t="n">
        <x:v>45944</x:v>
      </x:c>
      <x:c r="D496" s="86" t="str">
        <x:v>Admissão</x:v>
      </x:c>
      <x:c r="E496" s="86" t="str">
        <x:v>Nova contratação</x:v>
      </x:c>
      <x:c r="F496" s="86"/>
      <x:c r="G496" s="86" t="n">
        <x:v>3</x:v>
      </x:c>
      <x:c r="H496" s="86"/>
      <x:c r="I496" s="86" t="n">
        <x:v>3</x:v>
      </x:c>
      <x:c r="J496" s="97" t="n">
        <x:v>0</x:v>
      </x:c>
    </x:row>
    <x:row r="497">
      <x:c r="A497" s="85" t="n">
        <x:v>496</x:v>
      </x:c>
      <x:c r="B497" s="86" t="n">
        <x:v>368</x:v>
      </x:c>
      <x:c r="C497" s="95" t="n">
        <x:v>45039</x:v>
      </x:c>
      <x:c r="D497" s="86" t="str">
        <x:v>Admissão</x:v>
      </x:c>
      <x:c r="E497" s="86" t="str">
        <x:v>Nova contratação</x:v>
      </x:c>
      <x:c r="F497" s="86"/>
      <x:c r="G497" s="86" t="n">
        <x:v>1</x:v>
      </x:c>
      <x:c r="H497" s="86"/>
      <x:c r="I497" s="86" t="n">
        <x:v>1</x:v>
      </x:c>
      <x:c r="J497" s="97" t="n">
        <x:v>0</x:v>
      </x:c>
    </x:row>
    <x:row r="498">
      <x:c r="A498" s="85" t="n">
        <x:v>497</x:v>
      </x:c>
      <x:c r="B498" s="86" t="n">
        <x:v>368</x:v>
      </x:c>
      <x:c r="C498" s="95" t="n">
        <x:v>45737</x:v>
      </x:c>
      <x:c r="D498" s="86" t="str">
        <x:v>Promoção</x:v>
      </x:c>
      <x:c r="E498" s="86" t="str">
        <x:v>Evolução de carreira</x:v>
      </x:c>
      <x:c r="F498" s="86" t="n">
        <x:v>1</x:v>
      </x:c>
      <x:c r="G498" s="86" t="n">
        <x:v>1</x:v>
      </x:c>
      <x:c r="H498" s="86" t="n">
        <x:v>1</x:v>
      </x:c>
      <x:c r="I498" s="86" t="n">
        <x:v>1</x:v>
      </x:c>
      <x:c r="J498" s="97" t="n">
        <x:v>0.1526</x:v>
      </x:c>
    </x:row>
    <x:row r="499">
      <x:c r="A499" s="85" t="n">
        <x:v>498</x:v>
      </x:c>
      <x:c r="B499" s="86" t="n">
        <x:v>369</x:v>
      </x:c>
      <x:c r="C499" s="95" t="n">
        <x:v>45473</x:v>
      </x:c>
      <x:c r="D499" s="86" t="str">
        <x:v>Admissão</x:v>
      </x:c>
      <x:c r="E499" s="86" t="str">
        <x:v>Nova contratação</x:v>
      </x:c>
      <x:c r="F499" s="86"/>
      <x:c r="G499" s="86" t="n">
        <x:v>1</x:v>
      </x:c>
      <x:c r="H499" s="86"/>
      <x:c r="I499" s="86" t="n">
        <x:v>1</x:v>
      </x:c>
      <x:c r="J499" s="97" t="n">
        <x:v>0</x:v>
      </x:c>
    </x:row>
    <x:row r="500">
      <x:c r="A500" s="85" t="n">
        <x:v>499</x:v>
      </x:c>
      <x:c r="B500" s="86" t="n">
        <x:v>370</x:v>
      </x:c>
      <x:c r="C500" s="95" t="n">
        <x:v>45949</x:v>
      </x:c>
      <x:c r="D500" s="86" t="str">
        <x:v>Admissão</x:v>
      </x:c>
      <x:c r="E500" s="86" t="str">
        <x:v>Nova contratação</x:v>
      </x:c>
      <x:c r="F500" s="86"/>
      <x:c r="G500" s="86" t="n">
        <x:v>4</x:v>
      </x:c>
      <x:c r="H500" s="86"/>
      <x:c r="I500" s="86" t="n">
        <x:v>4</x:v>
      </x:c>
      <x:c r="J500" s="97" t="n">
        <x:v>0</x:v>
      </x:c>
    </x:row>
    <x:row r="501">
      <x:c r="A501" s="85" t="n">
        <x:v>500</x:v>
      </x:c>
      <x:c r="B501" s="86" t="n">
        <x:v>371</x:v>
      </x:c>
      <x:c r="C501" s="95" t="n">
        <x:v>45095</x:v>
      </x:c>
      <x:c r="D501" s="86" t="str">
        <x:v>Admissão</x:v>
      </x:c>
      <x:c r="E501" s="86" t="str">
        <x:v>Nova contratação</x:v>
      </x:c>
      <x:c r="F501" s="86"/>
      <x:c r="G501" s="86" t="n">
        <x:v>1</x:v>
      </x:c>
      <x:c r="H501" s="86"/>
      <x:c r="I501" s="86" t="n">
        <x:v>11</x:v>
      </x:c>
      <x:c r="J501" s="97" t="n">
        <x:v>0</x:v>
      </x:c>
    </x:row>
    <x:row r="502">
      <x:c r="A502" s="85" t="n">
        <x:v>501</x:v>
      </x:c>
      <x:c r="B502" s="86" t="n">
        <x:v>372</x:v>
      </x:c>
      <x:c r="C502" s="95" t="n">
        <x:v>45631</x:v>
      </x:c>
      <x:c r="D502" s="86" t="str">
        <x:v>Admissão</x:v>
      </x:c>
      <x:c r="E502" s="86" t="str">
        <x:v>Nova contratação</x:v>
      </x:c>
      <x:c r="F502" s="86"/>
      <x:c r="G502" s="86" t="n">
        <x:v>2</x:v>
      </x:c>
      <x:c r="H502" s="86"/>
      <x:c r="I502" s="86" t="n">
        <x:v>2</x:v>
      </x:c>
      <x:c r="J502" s="97" t="n">
        <x:v>0</x:v>
      </x:c>
    </x:row>
    <x:row r="503">
      <x:c r="A503" s="85" t="n">
        <x:v>502</x:v>
      </x:c>
      <x:c r="B503" s="86" t="n">
        <x:v>373</x:v>
      </x:c>
      <x:c r="C503" s="95" t="n">
        <x:v>45780</x:v>
      </x:c>
      <x:c r="D503" s="86" t="str">
        <x:v>Admissão</x:v>
      </x:c>
      <x:c r="E503" s="86" t="str">
        <x:v>Nova contratação</x:v>
      </x:c>
      <x:c r="F503" s="86"/>
      <x:c r="G503" s="86" t="n">
        <x:v>1</x:v>
      </x:c>
      <x:c r="H503" s="86"/>
      <x:c r="I503" s="86" t="n">
        <x:v>1</x:v>
      </x:c>
      <x:c r="J503" s="97" t="n">
        <x:v>0</x:v>
      </x:c>
    </x:row>
    <x:row r="504">
      <x:c r="A504" s="85" t="n">
        <x:v>503</x:v>
      </x:c>
      <x:c r="B504" s="86" t="n">
        <x:v>374</x:v>
      </x:c>
      <x:c r="C504" s="95" t="n">
        <x:v>45167</x:v>
      </x:c>
      <x:c r="D504" s="86" t="str">
        <x:v>Admissão</x:v>
      </x:c>
      <x:c r="E504" s="86" t="str">
        <x:v>Nova contratação</x:v>
      </x:c>
      <x:c r="F504" s="86"/>
      <x:c r="G504" s="86" t="n">
        <x:v>1</x:v>
      </x:c>
      <x:c r="H504" s="86"/>
      <x:c r="I504" s="86" t="n">
        <x:v>1</x:v>
      </x:c>
      <x:c r="J504" s="97" t="n">
        <x:v>0</x:v>
      </x:c>
    </x:row>
    <x:row r="505">
      <x:c r="A505" s="85" t="n">
        <x:v>504</x:v>
      </x:c>
      <x:c r="B505" s="86" t="n">
        <x:v>374</x:v>
      </x:c>
      <x:c r="C505" s="95" t="n">
        <x:v>45414</x:v>
      </x:c>
      <x:c r="D505" s="86" t="str">
        <x:v>Desligamento</x:v>
      </x:c>
      <x:c r="E505" s="86" t="str">
        <x:v>Desempenho</x:v>
      </x:c>
      <x:c r="F505" s="86" t="n">
        <x:v>1</x:v>
      </x:c>
      <x:c r="G505" s="86"/>
      <x:c r="H505" s="86" t="n">
        <x:v>1</x:v>
      </x:c>
      <x:c r="I505" s="86"/>
      <x:c r="J505" s="97" t="n">
        <x:v>0</x:v>
      </x:c>
    </x:row>
    <x:row r="506">
      <x:c r="A506" s="85" t="n">
        <x:v>505</x:v>
      </x:c>
      <x:c r="B506" s="86" t="n">
        <x:v>375</x:v>
      </x:c>
      <x:c r="C506" s="95" t="n">
        <x:v>45114</x:v>
      </x:c>
      <x:c r="D506" s="86" t="str">
        <x:v>Admissão</x:v>
      </x:c>
      <x:c r="E506" s="86" t="str">
        <x:v>Nova contratação</x:v>
      </x:c>
      <x:c r="F506" s="86"/>
      <x:c r="G506" s="86" t="n">
        <x:v>1</x:v>
      </x:c>
      <x:c r="H506" s="86"/>
      <x:c r="I506" s="86" t="n">
        <x:v>1</x:v>
      </x:c>
      <x:c r="J506" s="97" t="n">
        <x:v>0</x:v>
      </x:c>
    </x:row>
    <x:row r="507">
      <x:c r="A507" s="85" t="n">
        <x:v>506</x:v>
      </x:c>
      <x:c r="B507" s="86" t="n">
        <x:v>375</x:v>
      </x:c>
      <x:c r="C507" s="95" t="n">
        <x:v>45294</x:v>
      </x:c>
      <x:c r="D507" s="86" t="str">
        <x:v>Promoção</x:v>
      </x:c>
      <x:c r="E507" s="86" t="str">
        <x:v>Evolução de carreira</x:v>
      </x:c>
      <x:c r="F507" s="86" t="n">
        <x:v>1</x:v>
      </x:c>
      <x:c r="G507" s="86" t="n">
        <x:v>1</x:v>
      </x:c>
      <x:c r="H507" s="86" t="n">
        <x:v>1</x:v>
      </x:c>
      <x:c r="I507" s="86" t="n">
        <x:v>1</x:v>
      </x:c>
      <x:c r="J507" s="97" t="n">
        <x:v>0.1147</x:v>
      </x:c>
    </x:row>
    <x:row r="508">
      <x:c r="A508" s="85" t="n">
        <x:v>507</x:v>
      </x:c>
      <x:c r="B508" s="86" t="n">
        <x:v>376</x:v>
      </x:c>
      <x:c r="C508" s="95" t="n">
        <x:v>45840</x:v>
      </x:c>
      <x:c r="D508" s="86" t="str">
        <x:v>Admissão</x:v>
      </x:c>
      <x:c r="E508" s="86" t="str">
        <x:v>Nova contratação</x:v>
      </x:c>
      <x:c r="F508" s="86"/>
      <x:c r="G508" s="86" t="n">
        <x:v>4</x:v>
      </x:c>
      <x:c r="H508" s="86"/>
      <x:c r="I508" s="86" t="n">
        <x:v>14</x:v>
      </x:c>
      <x:c r="J508" s="97" t="n">
        <x:v>0</x:v>
      </x:c>
    </x:row>
    <x:row r="509">
      <x:c r="A509" s="85" t="n">
        <x:v>508</x:v>
      </x:c>
      <x:c r="B509" s="86" t="n">
        <x:v>376</x:v>
      </x:c>
      <x:c r="C509" s="95" t="n">
        <x:v>45982</x:v>
      </x:c>
      <x:c r="D509" s="86" t="str">
        <x:v>Desligamento</x:v>
      </x:c>
      <x:c r="E509" s="86" t="str">
        <x:v>Pedido do colaborador</x:v>
      </x:c>
      <x:c r="F509" s="86" t="n">
        <x:v>4</x:v>
      </x:c>
      <x:c r="G509" s="86"/>
      <x:c r="H509" s="86" t="n">
        <x:v>14</x:v>
      </x:c>
      <x:c r="I509" s="86"/>
      <x:c r="J509" s="97" t="n">
        <x:v>0</x:v>
      </x:c>
    </x:row>
    <x:row r="510">
      <x:c r="A510" s="85" t="n">
        <x:v>509</x:v>
      </x:c>
      <x:c r="B510" s="86" t="n">
        <x:v>377</x:v>
      </x:c>
      <x:c r="C510" s="95" t="n">
        <x:v>45786</x:v>
      </x:c>
      <x:c r="D510" s="86" t="str">
        <x:v>Admissão</x:v>
      </x:c>
      <x:c r="E510" s="86" t="str">
        <x:v>Nova contratação</x:v>
      </x:c>
      <x:c r="F510" s="86"/>
      <x:c r="G510" s="86" t="n">
        <x:v>7</x:v>
      </x:c>
      <x:c r="H510" s="86"/>
      <x:c r="I510" s="86" t="n">
        <x:v>7</x:v>
      </x:c>
      <x:c r="J510" s="97" t="n">
        <x:v>0</x:v>
      </x:c>
    </x:row>
    <x:row r="511">
      <x:c r="A511" s="85" t="n">
        <x:v>510</x:v>
      </x:c>
      <x:c r="B511" s="86" t="n">
        <x:v>378</x:v>
      </x:c>
      <x:c r="C511" s="95" t="n">
        <x:v>45647</x:v>
      </x:c>
      <x:c r="D511" s="86" t="str">
        <x:v>Admissão</x:v>
      </x:c>
      <x:c r="E511" s="86" t="str">
        <x:v>Nova contratação</x:v>
      </x:c>
      <x:c r="F511" s="86"/>
      <x:c r="G511" s="86" t="n">
        <x:v>5</x:v>
      </x:c>
      <x:c r="H511" s="86"/>
      <x:c r="I511" s="86" t="n">
        <x:v>5</x:v>
      </x:c>
      <x:c r="J511" s="97" t="n">
        <x:v>0</x:v>
      </x:c>
    </x:row>
    <x:row r="512">
      <x:c r="A512" s="85" t="n">
        <x:v>511</x:v>
      </x:c>
      <x:c r="B512" s="86" t="n">
        <x:v>379</x:v>
      </x:c>
      <x:c r="C512" s="95" t="n">
        <x:v>45024</x:v>
      </x:c>
      <x:c r="D512" s="86" t="str">
        <x:v>Admissão</x:v>
      </x:c>
      <x:c r="E512" s="86" t="str">
        <x:v>Nova contratação</x:v>
      </x:c>
      <x:c r="F512" s="86"/>
      <x:c r="G512" s="86" t="n">
        <x:v>2</x:v>
      </x:c>
      <x:c r="H512" s="86"/>
      <x:c r="I512" s="86" t="n">
        <x:v>2</x:v>
      </x:c>
      <x:c r="J512" s="97" t="n">
        <x:v>0</x:v>
      </x:c>
    </x:row>
    <x:row r="513">
      <x:c r="A513" s="85" t="n">
        <x:v>512</x:v>
      </x:c>
      <x:c r="B513" s="86" t="n">
        <x:v>380</x:v>
      </x:c>
      <x:c r="C513" s="95" t="n">
        <x:v>45356</x:v>
      </x:c>
      <x:c r="D513" s="86" t="str">
        <x:v>Admissão</x:v>
      </x:c>
      <x:c r="E513" s="86" t="str">
        <x:v>Nova contratação</x:v>
      </x:c>
      <x:c r="F513" s="86"/>
      <x:c r="G513" s="86" t="n">
        <x:v>1</x:v>
      </x:c>
      <x:c r="H513" s="86"/>
      <x:c r="I513" s="86" t="n">
        <x:v>1</x:v>
      </x:c>
      <x:c r="J513" s="97" t="n">
        <x:v>0</x:v>
      </x:c>
    </x:row>
    <x:row r="514">
      <x:c r="A514" s="85" t="n">
        <x:v>513</x:v>
      </x:c>
      <x:c r="B514" s="86" t="n">
        <x:v>381</x:v>
      </x:c>
      <x:c r="C514" s="95" t="n">
        <x:v>45302</x:v>
      </x:c>
      <x:c r="D514" s="86" t="str">
        <x:v>Admissão</x:v>
      </x:c>
      <x:c r="E514" s="86" t="str">
        <x:v>Nova contratação</x:v>
      </x:c>
      <x:c r="F514" s="86"/>
      <x:c r="G514" s="86" t="n">
        <x:v>5</x:v>
      </x:c>
      <x:c r="H514" s="86"/>
      <x:c r="I514" s="86" t="n">
        <x:v>5</x:v>
      </x:c>
      <x:c r="J514" s="97" t="n">
        <x:v>0</x:v>
      </x:c>
    </x:row>
    <x:row r="515">
      <x:c r="A515" s="85" t="n">
        <x:v>514</x:v>
      </x:c>
      <x:c r="B515" s="86" t="n">
        <x:v>382</x:v>
      </x:c>
      <x:c r="C515" s="95" t="n">
        <x:v>45244</x:v>
      </x:c>
      <x:c r="D515" s="86" t="str">
        <x:v>Admissão</x:v>
      </x:c>
      <x:c r="E515" s="86" t="str">
        <x:v>Nova contratação</x:v>
      </x:c>
      <x:c r="F515" s="86"/>
      <x:c r="G515" s="86" t="n">
        <x:v>5</x:v>
      </x:c>
      <x:c r="H515" s="86"/>
      <x:c r="I515" s="86" t="n">
        <x:v>5</x:v>
      </x:c>
      <x:c r="J515" s="97" t="n">
        <x:v>0</x:v>
      </x:c>
    </x:row>
    <x:row r="516">
      <x:c r="A516" s="85" t="n">
        <x:v>515</x:v>
      </x:c>
      <x:c r="B516" s="86" t="n">
        <x:v>382</x:v>
      </x:c>
      <x:c r="C516" s="95" t="n">
        <x:v>45543</x:v>
      </x:c>
      <x:c r="D516" s="86" t="str">
        <x:v>Promoção</x:v>
      </x:c>
      <x:c r="E516" s="86" t="str">
        <x:v>Evolução de carreira</x:v>
      </x:c>
      <x:c r="F516" s="86" t="n">
        <x:v>5</x:v>
      </x:c>
      <x:c r="G516" s="86" t="n">
        <x:v>5</x:v>
      </x:c>
      <x:c r="H516" s="86" t="n">
        <x:v>5</x:v>
      </x:c>
      <x:c r="I516" s="86" t="n">
        <x:v>5</x:v>
      </x:c>
      <x:c r="J516" s="97" t="n">
        <x:v>0.116</x:v>
      </x:c>
    </x:row>
    <x:row r="517">
      <x:c r="A517" s="85" t="n">
        <x:v>516</x:v>
      </x:c>
      <x:c r="B517" s="86" t="n">
        <x:v>383</x:v>
      </x:c>
      <x:c r="C517" s="95" t="n">
        <x:v>45920</x:v>
      </x:c>
      <x:c r="D517" s="86" t="str">
        <x:v>Admissão</x:v>
      </x:c>
      <x:c r="E517" s="86" t="str">
        <x:v>Nova contratação</x:v>
      </x:c>
      <x:c r="F517" s="86"/>
      <x:c r="G517" s="86" t="n">
        <x:v>3</x:v>
      </x:c>
      <x:c r="H517" s="86"/>
      <x:c r="I517" s="86" t="n">
        <x:v>3</x:v>
      </x:c>
      <x:c r="J517" s="97" t="n">
        <x:v>0</x:v>
      </x:c>
    </x:row>
    <x:row r="518">
      <x:c r="A518" s="85" t="n">
        <x:v>517</x:v>
      </x:c>
      <x:c r="B518" s="86" t="n">
        <x:v>384</x:v>
      </x:c>
      <x:c r="C518" s="95" t="n">
        <x:v>45701</x:v>
      </x:c>
      <x:c r="D518" s="86" t="str">
        <x:v>Admissão</x:v>
      </x:c>
      <x:c r="E518" s="86" t="str">
        <x:v>Nova contratação</x:v>
      </x:c>
      <x:c r="F518" s="86"/>
      <x:c r="G518" s="86" t="n">
        <x:v>5</x:v>
      </x:c>
      <x:c r="H518" s="86"/>
      <x:c r="I518" s="86" t="n">
        <x:v>5</x:v>
      </x:c>
      <x:c r="J518" s="97" t="n">
        <x:v>0</x:v>
      </x:c>
    </x:row>
    <x:row r="519">
      <x:c r="A519" s="85" t="n">
        <x:v>518</x:v>
      </x:c>
      <x:c r="B519" s="86" t="n">
        <x:v>385</x:v>
      </x:c>
      <x:c r="C519" s="95" t="n">
        <x:v>45794</x:v>
      </x:c>
      <x:c r="D519" s="86" t="str">
        <x:v>Admissão</x:v>
      </x:c>
      <x:c r="E519" s="86" t="str">
        <x:v>Nova contratação</x:v>
      </x:c>
      <x:c r="F519" s="86"/>
      <x:c r="G519" s="86" t="n">
        <x:v>3</x:v>
      </x:c>
      <x:c r="H519" s="86"/>
      <x:c r="I519" s="86" t="n">
        <x:v>3</x:v>
      </x:c>
      <x:c r="J519" s="97" t="n">
        <x:v>0</x:v>
      </x:c>
    </x:row>
    <x:row r="520">
      <x:c r="A520" s="85" t="n">
        <x:v>519</x:v>
      </x:c>
      <x:c r="B520" s="86" t="n">
        <x:v>386</x:v>
      </x:c>
      <x:c r="C520" s="95" t="n">
        <x:v>45257</x:v>
      </x:c>
      <x:c r="D520" s="86" t="str">
        <x:v>Admissão</x:v>
      </x:c>
      <x:c r="E520" s="86" t="str">
        <x:v>Nova contratação</x:v>
      </x:c>
      <x:c r="F520" s="86"/>
      <x:c r="G520" s="86" t="n">
        <x:v>1</x:v>
      </x:c>
      <x:c r="H520" s="86"/>
      <x:c r="I520" s="86" t="n">
        <x:v>1</x:v>
      </x:c>
      <x:c r="J520" s="97" t="n">
        <x:v>0</x:v>
      </x:c>
    </x:row>
    <x:row r="521">
      <x:c r="A521" s="85" t="n">
        <x:v>520</x:v>
      </x:c>
      <x:c r="B521" s="86" t="n">
        <x:v>387</x:v>
      </x:c>
      <x:c r="C521" s="95" t="n">
        <x:v>45469</x:v>
      </x:c>
      <x:c r="D521" s="86" t="str">
        <x:v>Admissão</x:v>
      </x:c>
      <x:c r="E521" s="86" t="str">
        <x:v>Nova contratação</x:v>
      </x:c>
      <x:c r="F521" s="86"/>
      <x:c r="G521" s="86" t="n">
        <x:v>5</x:v>
      </x:c>
      <x:c r="H521" s="86"/>
      <x:c r="I521" s="86" t="n">
        <x:v>5</x:v>
      </x:c>
      <x:c r="J521" s="97" t="n">
        <x:v>0</x:v>
      </x:c>
    </x:row>
    <x:row r="522">
      <x:c r="A522" s="85" t="n">
        <x:v>521</x:v>
      </x:c>
      <x:c r="B522" s="86" t="n">
        <x:v>388</x:v>
      </x:c>
      <x:c r="C522" s="95" t="n">
        <x:v>45316</x:v>
      </x:c>
      <x:c r="D522" s="86" t="str">
        <x:v>Admissão</x:v>
      </x:c>
      <x:c r="E522" s="86" t="str">
        <x:v>Nova contratação</x:v>
      </x:c>
      <x:c r="F522" s="86"/>
      <x:c r="G522" s="86" t="n">
        <x:v>1</x:v>
      </x:c>
      <x:c r="H522" s="86"/>
      <x:c r="I522" s="86" t="n">
        <x:v>1</x:v>
      </x:c>
      <x:c r="J522" s="97" t="n">
        <x:v>0</x:v>
      </x:c>
    </x:row>
    <x:row r="523">
      <x:c r="A523" s="85" t="n">
        <x:v>522</x:v>
      </x:c>
      <x:c r="B523" s="86" t="n">
        <x:v>388</x:v>
      </x:c>
      <x:c r="C523" s="95" t="n">
        <x:v>45703</x:v>
      </x:c>
      <x:c r="D523" s="86" t="str">
        <x:v>Promoção</x:v>
      </x:c>
      <x:c r="E523" s="86" t="str">
        <x:v>Evolução de carreira</x:v>
      </x:c>
      <x:c r="F523" s="86" t="n">
        <x:v>1</x:v>
      </x:c>
      <x:c r="G523" s="86" t="n">
        <x:v>1</x:v>
      </x:c>
      <x:c r="H523" s="86" t="n">
        <x:v>1</x:v>
      </x:c>
      <x:c r="I523" s="86" t="n">
        <x:v>1</x:v>
      </x:c>
      <x:c r="J523" s="97" t="n">
        <x:v>0.1349</x:v>
      </x:c>
    </x:row>
    <x:row r="524">
      <x:c r="A524" s="85" t="n">
        <x:v>523</x:v>
      </x:c>
      <x:c r="B524" s="86" t="n">
        <x:v>389</x:v>
      </x:c>
      <x:c r="C524" s="95" t="n">
        <x:v>45340</x:v>
      </x:c>
      <x:c r="D524" s="86" t="str">
        <x:v>Admissão</x:v>
      </x:c>
      <x:c r="E524" s="86" t="str">
        <x:v>Nova contratação</x:v>
      </x:c>
      <x:c r="F524" s="86"/>
      <x:c r="G524" s="86" t="n">
        <x:v>3</x:v>
      </x:c>
      <x:c r="H524" s="86"/>
      <x:c r="I524" s="86" t="n">
        <x:v>3</x:v>
      </x:c>
      <x:c r="J524" s="97" t="n">
        <x:v>0</x:v>
      </x:c>
    </x:row>
    <x:row r="525">
      <x:c r="A525" s="85" t="n">
        <x:v>524</x:v>
      </x:c>
      <x:c r="B525" s="86" t="n">
        <x:v>390</x:v>
      </x:c>
      <x:c r="C525" s="95" t="n">
        <x:v>45215</x:v>
      </x:c>
      <x:c r="D525" s="86" t="str">
        <x:v>Admissão</x:v>
      </x:c>
      <x:c r="E525" s="86" t="str">
        <x:v>Nova contratação</x:v>
      </x:c>
      <x:c r="F525" s="86"/>
      <x:c r="G525" s="86" t="n">
        <x:v>5</x:v>
      </x:c>
      <x:c r="H525" s="86"/>
      <x:c r="I525" s="86" t="n">
        <x:v>5</x:v>
      </x:c>
      <x:c r="J525" s="97" t="n">
        <x:v>0</x:v>
      </x:c>
    </x:row>
    <x:row r="526">
      <x:c r="A526" s="85" t="n">
        <x:v>525</x:v>
      </x:c>
      <x:c r="B526" s="86" t="n">
        <x:v>391</x:v>
      </x:c>
      <x:c r="C526" s="95" t="n">
        <x:v>45722</x:v>
      </x:c>
      <x:c r="D526" s="86" t="str">
        <x:v>Admissão</x:v>
      </x:c>
      <x:c r="E526" s="86" t="str">
        <x:v>Nova contratação</x:v>
      </x:c>
      <x:c r="F526" s="86"/>
      <x:c r="G526" s="86" t="n">
        <x:v>2</x:v>
      </x:c>
      <x:c r="H526" s="86"/>
      <x:c r="I526" s="86" t="n">
        <x:v>2</x:v>
      </x:c>
      <x:c r="J526" s="97" t="n">
        <x:v>0</x:v>
      </x:c>
    </x:row>
    <x:row r="527">
      <x:c r="A527" s="85" t="n">
        <x:v>526</x:v>
      </x:c>
      <x:c r="B527" s="86" t="n">
        <x:v>392</x:v>
      </x:c>
      <x:c r="C527" s="95" t="n">
        <x:v>45288</x:v>
      </x:c>
      <x:c r="D527" s="86" t="str">
        <x:v>Admissão</x:v>
      </x:c>
      <x:c r="E527" s="86" t="str">
        <x:v>Nova contratação</x:v>
      </x:c>
      <x:c r="F527" s="86"/>
      <x:c r="G527" s="86" t="n">
        <x:v>7</x:v>
      </x:c>
      <x:c r="H527" s="86"/>
      <x:c r="I527" s="86" t="n">
        <x:v>7</x:v>
      </x:c>
      <x:c r="J527" s="97" t="n">
        <x:v>0</x:v>
      </x:c>
    </x:row>
    <x:row r="528">
      <x:c r="A528" s="85" t="n">
        <x:v>527</x:v>
      </x:c>
      <x:c r="B528" s="86" t="n">
        <x:v>392</x:v>
      </x:c>
      <x:c r="C528" s="95" t="n">
        <x:v>45708</x:v>
      </x:c>
      <x:c r="D528" s="86" t="str">
        <x:v>Desligamento</x:v>
      </x:c>
      <x:c r="E528" s="86" t="str">
        <x:v>Fim de contrato</x:v>
      </x:c>
      <x:c r="F528" s="86" t="n">
        <x:v>7</x:v>
      </x:c>
      <x:c r="G528" s="86"/>
      <x:c r="H528" s="86" t="n">
        <x:v>7</x:v>
      </x:c>
      <x:c r="I528" s="86"/>
      <x:c r="J528" s="97" t="n">
        <x:v>0</x:v>
      </x:c>
    </x:row>
    <x:row r="529">
      <x:c r="A529" s="85" t="n">
        <x:v>528</x:v>
      </x:c>
      <x:c r="B529" s="86" t="n">
        <x:v>393</x:v>
      </x:c>
      <x:c r="C529" s="95" t="n">
        <x:v>44937</x:v>
      </x:c>
      <x:c r="D529" s="86" t="str">
        <x:v>Admissão</x:v>
      </x:c>
      <x:c r="E529" s="86" t="str">
        <x:v>Nova contratação</x:v>
      </x:c>
      <x:c r="F529" s="86"/>
      <x:c r="G529" s="86" t="n">
        <x:v>1</x:v>
      </x:c>
      <x:c r="H529" s="86"/>
      <x:c r="I529" s="86" t="n">
        <x:v>1</x:v>
      </x:c>
      <x:c r="J529" s="97" t="n">
        <x:v>0</x:v>
      </x:c>
    </x:row>
    <x:row r="530">
      <x:c r="A530" s="85" t="n">
        <x:v>529</x:v>
      </x:c>
      <x:c r="B530" s="86" t="n">
        <x:v>394</x:v>
      </x:c>
      <x:c r="C530" s="95" t="n">
        <x:v>45678</x:v>
      </x:c>
      <x:c r="D530" s="86" t="str">
        <x:v>Admissão</x:v>
      </x:c>
      <x:c r="E530" s="86" t="str">
        <x:v>Nova contratação</x:v>
      </x:c>
      <x:c r="F530" s="86"/>
      <x:c r="G530" s="86" t="n">
        <x:v>9</x:v>
      </x:c>
      <x:c r="H530" s="86"/>
      <x:c r="I530" s="86" t="n">
        <x:v>9</x:v>
      </x:c>
      <x:c r="J530" s="97" t="n">
        <x:v>0</x:v>
      </x:c>
    </x:row>
    <x:row r="531">
      <x:c r="A531" s="85" t="n">
        <x:v>530</x:v>
      </x:c>
      <x:c r="B531" s="86" t="n">
        <x:v>395</x:v>
      </x:c>
      <x:c r="C531" s="95" t="n">
        <x:v>45864</x:v>
      </x:c>
      <x:c r="D531" s="86" t="str">
        <x:v>Admissão</x:v>
      </x:c>
      <x:c r="E531" s="86" t="str">
        <x:v>Nova contratação</x:v>
      </x:c>
      <x:c r="F531" s="86"/>
      <x:c r="G531" s="86" t="n">
        <x:v>4</x:v>
      </x:c>
      <x:c r="H531" s="86"/>
      <x:c r="I531" s="86" t="n">
        <x:v>4</x:v>
      </x:c>
      <x:c r="J531" s="97" t="n">
        <x:v>0</x:v>
      </x:c>
    </x:row>
    <x:row r="532">
      <x:c r="A532" s="85" t="n">
        <x:v>531</x:v>
      </x:c>
      <x:c r="B532" s="86" t="n">
        <x:v>396</x:v>
      </x:c>
      <x:c r="C532" s="95" t="n">
        <x:v>45518</x:v>
      </x:c>
      <x:c r="D532" s="86" t="str">
        <x:v>Admissão</x:v>
      </x:c>
      <x:c r="E532" s="86" t="str">
        <x:v>Nova contratação</x:v>
      </x:c>
      <x:c r="F532" s="86"/>
      <x:c r="G532" s="86" t="n">
        <x:v>1</x:v>
      </x:c>
      <x:c r="H532" s="86"/>
      <x:c r="I532" s="86" t="n">
        <x:v>11</x:v>
      </x:c>
      <x:c r="J532" s="97" t="n">
        <x:v>0</x:v>
      </x:c>
    </x:row>
    <x:row r="533">
      <x:c r="A533" s="85" t="n">
        <x:v>532</x:v>
      </x:c>
      <x:c r="B533" s="86" t="n">
        <x:v>397</x:v>
      </x:c>
      <x:c r="C533" s="95" t="n">
        <x:v>45077</x:v>
      </x:c>
      <x:c r="D533" s="86" t="str">
        <x:v>Admissão</x:v>
      </x:c>
      <x:c r="E533" s="86" t="str">
        <x:v>Nova contratação</x:v>
      </x:c>
      <x:c r="F533" s="86"/>
      <x:c r="G533" s="86" t="n">
        <x:v>6</x:v>
      </x:c>
      <x:c r="H533" s="86"/>
      <x:c r="I533" s="86" t="n">
        <x:v>6</x:v>
      </x:c>
      <x:c r="J533" s="97" t="n">
        <x:v>0</x:v>
      </x:c>
    </x:row>
    <x:row r="534">
      <x:c r="A534" s="85" t="n">
        <x:v>533</x:v>
      </x:c>
      <x:c r="B534" s="86" t="n">
        <x:v>398</x:v>
      </x:c>
      <x:c r="C534" s="95" t="n">
        <x:v>45717</x:v>
      </x:c>
      <x:c r="D534" s="86" t="str">
        <x:v>Admissão</x:v>
      </x:c>
      <x:c r="E534" s="86" t="str">
        <x:v>Nova contratação</x:v>
      </x:c>
      <x:c r="F534" s="86"/>
      <x:c r="G534" s="86" t="n">
        <x:v>1</x:v>
      </x:c>
      <x:c r="H534" s="86"/>
      <x:c r="I534" s="86" t="n">
        <x:v>1</x:v>
      </x:c>
      <x:c r="J534" s="97" t="n">
        <x:v>0</x:v>
      </x:c>
    </x:row>
    <x:row r="535">
      <x:c r="A535" s="85" t="n">
        <x:v>534</x:v>
      </x:c>
      <x:c r="B535" s="86" t="n">
        <x:v>398</x:v>
      </x:c>
      <x:c r="C535" s="95" t="n">
        <x:v>46014</x:v>
      </x:c>
      <x:c r="D535" s="86" t="str">
        <x:v>Promoção</x:v>
      </x:c>
      <x:c r="E535" s="86" t="str">
        <x:v>Evolução de carreira</x:v>
      </x:c>
      <x:c r="F535" s="86" t="n">
        <x:v>1</x:v>
      </x:c>
      <x:c r="G535" s="86" t="n">
        <x:v>1</x:v>
      </x:c>
      <x:c r="H535" s="86" t="n">
        <x:v>1</x:v>
      </x:c>
      <x:c r="I535" s="86" t="n">
        <x:v>1</x:v>
      </x:c>
      <x:c r="J535" s="97" t="n">
        <x:v>0.0906</x:v>
      </x:c>
    </x:row>
    <x:row r="536">
      <x:c r="A536" s="85" t="n">
        <x:v>535</x:v>
      </x:c>
      <x:c r="B536" s="86" t="n">
        <x:v>399</x:v>
      </x:c>
      <x:c r="C536" s="95" t="n">
        <x:v>45271</x:v>
      </x:c>
      <x:c r="D536" s="86" t="str">
        <x:v>Admissão</x:v>
      </x:c>
      <x:c r="E536" s="86" t="str">
        <x:v>Nova contratação</x:v>
      </x:c>
      <x:c r="F536" s="86"/>
      <x:c r="G536" s="86" t="n">
        <x:v>1</x:v>
      </x:c>
      <x:c r="H536" s="86"/>
      <x:c r="I536" s="86" t="n">
        <x:v>1</x:v>
      </x:c>
      <x:c r="J536" s="97" t="n">
        <x:v>0</x:v>
      </x:c>
    </x:row>
    <x:row r="537">
      <x:c r="A537" s="85" t="n">
        <x:v>536</x:v>
      </x:c>
      <x:c r="B537" s="86" t="n">
        <x:v>400</x:v>
      </x:c>
      <x:c r="C537" s="95" t="n">
        <x:v>44933</x:v>
      </x:c>
      <x:c r="D537" s="86" t="str">
        <x:v>Admissão</x:v>
      </x:c>
      <x:c r="E537" s="86" t="str">
        <x:v>Nova contratação</x:v>
      </x:c>
      <x:c r="F537" s="86"/>
      <x:c r="G537" s="86" t="n">
        <x:v>1</x:v>
      </x:c>
      <x:c r="H537" s="86"/>
      <x:c r="I537" s="86" t="n">
        <x:v>1</x:v>
      </x:c>
      <x:c r="J537" s="97" t="n">
        <x:v>0</x:v>
      </x:c>
    </x:row>
    <x:row r="538">
      <x:c r="A538" s="85" t="n">
        <x:v>537</x:v>
      </x:c>
      <x:c r="B538" s="86" t="n">
        <x:v>400</x:v>
      </x:c>
      <x:c r="C538" s="95" t="n">
        <x:v>45295</x:v>
      </x:c>
      <x:c r="D538" s="86" t="str">
        <x:v>Promoção</x:v>
      </x:c>
      <x:c r="E538" s="86" t="str">
        <x:v>Evolução de carreira</x:v>
      </x:c>
      <x:c r="F538" s="86" t="n">
        <x:v>1</x:v>
      </x:c>
      <x:c r="G538" s="86" t="n">
        <x:v>1</x:v>
      </x:c>
      <x:c r="H538" s="86" t="n">
        <x:v>1</x:v>
      </x:c>
      <x:c r="I538" s="86" t="n">
        <x:v>1</x:v>
      </x:c>
      <x:c r="J538" s="97" t="n">
        <x:v>0.0761</x:v>
      </x:c>
    </x:row>
    <x:row r="539">
      <x:c r="A539" s="85" t="n">
        <x:v>538</x:v>
      </x:c>
      <x:c r="B539" s="86" t="n">
        <x:v>401</x:v>
      </x:c>
      <x:c r="C539" s="95" t="n">
        <x:v>45636</x:v>
      </x:c>
      <x:c r="D539" s="86" t="str">
        <x:v>Admissão</x:v>
      </x:c>
      <x:c r="E539" s="86" t="str">
        <x:v>Nova contratação</x:v>
      </x:c>
      <x:c r="F539" s="86"/>
      <x:c r="G539" s="86" t="n">
        <x:v>1</x:v>
      </x:c>
      <x:c r="H539" s="86"/>
      <x:c r="I539" s="86" t="n">
        <x:v>11</x:v>
      </x:c>
      <x:c r="J539" s="97" t="n">
        <x:v>0</x:v>
      </x:c>
    </x:row>
    <x:row r="540">
      <x:c r="A540" s="85" t="n">
        <x:v>539</x:v>
      </x:c>
      <x:c r="B540" s="86" t="n">
        <x:v>401</x:v>
      </x:c>
      <x:c r="C540" s="95" t="n">
        <x:v>45954</x:v>
      </x:c>
      <x:c r="D540" s="86" t="str">
        <x:v>Desligamento</x:v>
      </x:c>
      <x:c r="E540" s="86" t="str">
        <x:v>Pedido do colaborador</x:v>
      </x:c>
      <x:c r="F540" s="86" t="n">
        <x:v>1</x:v>
      </x:c>
      <x:c r="G540" s="86"/>
      <x:c r="H540" s="86" t="n">
        <x:v>11</x:v>
      </x:c>
      <x:c r="I540" s="86"/>
      <x:c r="J540" s="97" t="n">
        <x:v>0</x:v>
      </x:c>
    </x:row>
    <x:row r="541">
      <x:c r="A541" s="85" t="n">
        <x:v>540</x:v>
      </x:c>
      <x:c r="B541" s="86" t="n">
        <x:v>402</x:v>
      </x:c>
      <x:c r="C541" s="95" t="n">
        <x:v>45358</x:v>
      </x:c>
      <x:c r="D541" s="86" t="str">
        <x:v>Admissão</x:v>
      </x:c>
      <x:c r="E541" s="86" t="str">
        <x:v>Nova contratação</x:v>
      </x:c>
      <x:c r="F541" s="86"/>
      <x:c r="G541" s="86" t="n">
        <x:v>1</x:v>
      </x:c>
      <x:c r="H541" s="86"/>
      <x:c r="I541" s="86" t="n">
        <x:v>1</x:v>
      </x:c>
      <x:c r="J541" s="97" t="n">
        <x:v>0</x:v>
      </x:c>
    </x:row>
    <x:row r="542">
      <x:c r="A542" s="85" t="n">
        <x:v>541</x:v>
      </x:c>
      <x:c r="B542" s="86" t="n">
        <x:v>403</x:v>
      </x:c>
      <x:c r="C542" s="95" t="n">
        <x:v>45063</x:v>
      </x:c>
      <x:c r="D542" s="86" t="str">
        <x:v>Admissão</x:v>
      </x:c>
      <x:c r="E542" s="86" t="str">
        <x:v>Nova contratação</x:v>
      </x:c>
      <x:c r="F542" s="86"/>
      <x:c r="G542" s="86" t="n">
        <x:v>6</x:v>
      </x:c>
      <x:c r="H542" s="86"/>
      <x:c r="I542" s="86" t="n">
        <x:v>6</x:v>
      </x:c>
      <x:c r="J542" s="97" t="n">
        <x:v>0</x:v>
      </x:c>
    </x:row>
    <x:row r="543">
      <x:c r="A543" s="85" t="n">
        <x:v>542</x:v>
      </x:c>
      <x:c r="B543" s="86" t="n">
        <x:v>404</x:v>
      </x:c>
      <x:c r="C543" s="95" t="n">
        <x:v>44956</x:v>
      </x:c>
      <x:c r="D543" s="86" t="str">
        <x:v>Admissão</x:v>
      </x:c>
      <x:c r="E543" s="86" t="str">
        <x:v>Nova contratação</x:v>
      </x:c>
      <x:c r="F543" s="86"/>
      <x:c r="G543" s="86" t="n">
        <x:v>1</x:v>
      </x:c>
      <x:c r="H543" s="86"/>
      <x:c r="I543" s="86" t="n">
        <x:v>11</x:v>
      </x:c>
      <x:c r="J543" s="97" t="n">
        <x:v>0</x:v>
      </x:c>
    </x:row>
    <x:row r="544">
      <x:c r="A544" s="85" t="n">
        <x:v>543</x:v>
      </x:c>
      <x:c r="B544" s="86" t="n">
        <x:v>404</x:v>
      </x:c>
      <x:c r="C544" s="95" t="n">
        <x:v>45596</x:v>
      </x:c>
      <x:c r="D544" s="86" t="str">
        <x:v>Desligamento</x:v>
      </x:c>
      <x:c r="E544" s="86" t="str">
        <x:v>Reestruturação</x:v>
      </x:c>
      <x:c r="F544" s="86" t="n">
        <x:v>1</x:v>
      </x:c>
      <x:c r="G544" s="86"/>
      <x:c r="H544" s="86" t="n">
        <x:v>11</x:v>
      </x:c>
      <x:c r="I544" s="86"/>
      <x:c r="J544" s="97" t="n">
        <x:v>0</x:v>
      </x:c>
    </x:row>
    <x:row r="545">
      <x:c r="A545" s="85" t="n">
        <x:v>544</x:v>
      </x:c>
      <x:c r="B545" s="86" t="n">
        <x:v>405</x:v>
      </x:c>
      <x:c r="C545" s="95" t="n">
        <x:v>45627</x:v>
      </x:c>
      <x:c r="D545" s="86" t="str">
        <x:v>Admissão</x:v>
      </x:c>
      <x:c r="E545" s="86" t="str">
        <x:v>Nova contratação</x:v>
      </x:c>
      <x:c r="F545" s="86"/>
      <x:c r="G545" s="86" t="n">
        <x:v>10</x:v>
      </x:c>
      <x:c r="H545" s="86"/>
      <x:c r="I545" s="86" t="n">
        <x:v>10</x:v>
      </x:c>
      <x:c r="J545" s="97" t="n">
        <x:v>0</x:v>
      </x:c>
    </x:row>
    <x:row r="546">
      <x:c r="A546" s="85" t="n">
        <x:v>545</x:v>
      </x:c>
      <x:c r="B546" s="86" t="n">
        <x:v>405</x:v>
      </x:c>
      <x:c r="C546" s="95" t="n">
        <x:v>45762</x:v>
      </x:c>
      <x:c r="D546" s="86" t="str">
        <x:v>Desligamento</x:v>
      </x:c>
      <x:c r="E546" s="86" t="str">
        <x:v>Reestruturação</x:v>
      </x:c>
      <x:c r="F546" s="86" t="n">
        <x:v>10</x:v>
      </x:c>
      <x:c r="G546" s="86"/>
      <x:c r="H546" s="86" t="n">
        <x:v>10</x:v>
      </x:c>
      <x:c r="I546" s="86"/>
      <x:c r="J546" s="97" t="n">
        <x:v>0</x:v>
      </x:c>
    </x:row>
    <x:row r="547">
      <x:c r="A547" s="85" t="n">
        <x:v>546</x:v>
      </x:c>
      <x:c r="B547" s="86" t="n">
        <x:v>406</x:v>
      </x:c>
      <x:c r="C547" s="95" t="n">
        <x:v>45494</x:v>
      </x:c>
      <x:c r="D547" s="86" t="str">
        <x:v>Admissão</x:v>
      </x:c>
      <x:c r="E547" s="86" t="str">
        <x:v>Nova contratação</x:v>
      </x:c>
      <x:c r="F547" s="86"/>
      <x:c r="G547" s="86" t="n">
        <x:v>10</x:v>
      </x:c>
      <x:c r="H547" s="86"/>
      <x:c r="I547" s="86" t="n">
        <x:v>10</x:v>
      </x:c>
      <x:c r="J547" s="97" t="n">
        <x:v>0</x:v>
      </x:c>
    </x:row>
    <x:row r="548">
      <x:c r="A548" s="85" t="n">
        <x:v>547</x:v>
      </x:c>
      <x:c r="B548" s="86" t="n">
        <x:v>406</x:v>
      </x:c>
      <x:c r="C548" s="95" t="n">
        <x:v>45752</x:v>
      </x:c>
      <x:c r="D548" s="86" t="str">
        <x:v>Desligamento</x:v>
      </x:c>
      <x:c r="E548" s="86" t="str">
        <x:v>Reestruturação</x:v>
      </x:c>
      <x:c r="F548" s="86" t="n">
        <x:v>10</x:v>
      </x:c>
      <x:c r="G548" s="86"/>
      <x:c r="H548" s="86" t="n">
        <x:v>10</x:v>
      </x:c>
      <x:c r="I548" s="86"/>
      <x:c r="J548" s="97" t="n">
        <x:v>0</x:v>
      </x:c>
    </x:row>
    <x:row r="549">
      <x:c r="A549" s="85" t="n">
        <x:v>548</x:v>
      </x:c>
      <x:c r="B549" s="86" t="n">
        <x:v>407</x:v>
      </x:c>
      <x:c r="C549" s="95" t="n">
        <x:v>45315</x:v>
      </x:c>
      <x:c r="D549" s="86" t="str">
        <x:v>Admissão</x:v>
      </x:c>
      <x:c r="E549" s="86" t="str">
        <x:v>Nova contratação</x:v>
      </x:c>
      <x:c r="F549" s="86"/>
      <x:c r="G549" s="86" t="n">
        <x:v>5</x:v>
      </x:c>
      <x:c r="H549" s="86"/>
      <x:c r="I549" s="86" t="n">
        <x:v>5</x:v>
      </x:c>
      <x:c r="J549" s="97" t="n">
        <x:v>0</x:v>
      </x:c>
    </x:row>
    <x:row r="550">
      <x:c r="A550" s="85" t="n">
        <x:v>549</x:v>
      </x:c>
      <x:c r="B550" s="86" t="n">
        <x:v>407</x:v>
      </x:c>
      <x:c r="C550" s="95" t="n">
        <x:v>45681</x:v>
      </x:c>
      <x:c r="D550" s="86" t="str">
        <x:v>Promoção</x:v>
      </x:c>
      <x:c r="E550" s="86" t="str">
        <x:v>Evolução de carreira</x:v>
      </x:c>
      <x:c r="F550" s="86" t="n">
        <x:v>5</x:v>
      </x:c>
      <x:c r="G550" s="86" t="n">
        <x:v>5</x:v>
      </x:c>
      <x:c r="H550" s="86" t="n">
        <x:v>5</x:v>
      </x:c>
      <x:c r="I550" s="86" t="n">
        <x:v>5</x:v>
      </x:c>
      <x:c r="J550" s="97" t="n">
        <x:v>0.0891</x:v>
      </x:c>
    </x:row>
    <x:row r="551">
      <x:c r="A551" s="85" t="n">
        <x:v>550</x:v>
      </x:c>
      <x:c r="B551" s="86" t="n">
        <x:v>408</x:v>
      </x:c>
      <x:c r="C551" s="95" t="n">
        <x:v>45221</x:v>
      </x:c>
      <x:c r="D551" s="86" t="str">
        <x:v>Admissão</x:v>
      </x:c>
      <x:c r="E551" s="86" t="str">
        <x:v>Nova contratação</x:v>
      </x:c>
      <x:c r="F551" s="86"/>
      <x:c r="G551" s="86" t="n">
        <x:v>4</x:v>
      </x:c>
      <x:c r="H551" s="86"/>
      <x:c r="I551" s="86" t="n">
        <x:v>4</x:v>
      </x:c>
      <x:c r="J551" s="97" t="n">
        <x:v>0</x:v>
      </x:c>
    </x:row>
    <x:row r="552">
      <x:c r="A552" s="85" t="n">
        <x:v>551</x:v>
      </x:c>
      <x:c r="B552" s="86" t="n">
        <x:v>409</x:v>
      </x:c>
      <x:c r="C552" s="95" t="n">
        <x:v>45607</x:v>
      </x:c>
      <x:c r="D552" s="86" t="str">
        <x:v>Admissão</x:v>
      </x:c>
      <x:c r="E552" s="86" t="str">
        <x:v>Nova contratação</x:v>
      </x:c>
      <x:c r="F552" s="86"/>
      <x:c r="G552" s="86" t="n">
        <x:v>6</x:v>
      </x:c>
      <x:c r="H552" s="86"/>
      <x:c r="I552" s="86" t="n">
        <x:v>6</x:v>
      </x:c>
      <x:c r="J552" s="97" t="n">
        <x:v>0</x:v>
      </x:c>
    </x:row>
    <x:row r="553">
      <x:c r="A553" s="85" t="n">
        <x:v>552</x:v>
      </x:c>
      <x:c r="B553" s="86" t="n">
        <x:v>410</x:v>
      </x:c>
      <x:c r="C553" s="95" t="n">
        <x:v>45040</x:v>
      </x:c>
      <x:c r="D553" s="86" t="str">
        <x:v>Admissão</x:v>
      </x:c>
      <x:c r="E553" s="86" t="str">
        <x:v>Nova contratação</x:v>
      </x:c>
      <x:c r="F553" s="86"/>
      <x:c r="G553" s="86" t="n">
        <x:v>2</x:v>
      </x:c>
      <x:c r="H553" s="86"/>
      <x:c r="I553" s="86" t="n">
        <x:v>2</x:v>
      </x:c>
      <x:c r="J553" s="97" t="n">
        <x:v>0</x:v>
      </x:c>
    </x:row>
    <x:row r="554">
      <x:c r="A554" s="85" t="n">
        <x:v>553</x:v>
      </x:c>
      <x:c r="B554" s="86" t="n">
        <x:v>411</x:v>
      </x:c>
      <x:c r="C554" s="95" t="n">
        <x:v>45095</x:v>
      </x:c>
      <x:c r="D554" s="86" t="str">
        <x:v>Admissão</x:v>
      </x:c>
      <x:c r="E554" s="86" t="str">
        <x:v>Nova contratação</x:v>
      </x:c>
      <x:c r="F554" s="86"/>
      <x:c r="G554" s="86" t="n">
        <x:v>4</x:v>
      </x:c>
      <x:c r="H554" s="86"/>
      <x:c r="I554" s="86" t="n">
        <x:v>4</x:v>
      </x:c>
      <x:c r="J554" s="97" t="n">
        <x:v>0</x:v>
      </x:c>
    </x:row>
    <x:row r="555">
      <x:c r="A555" s="85" t="n">
        <x:v>554</x:v>
      </x:c>
      <x:c r="B555" s="86" t="n">
        <x:v>411</x:v>
      </x:c>
      <x:c r="C555" s="95" t="n">
        <x:v>45767</x:v>
      </x:c>
      <x:c r="D555" s="86" t="str">
        <x:v>Desligamento</x:v>
      </x:c>
      <x:c r="E555" s="86" t="str">
        <x:v>Desempenho</x:v>
      </x:c>
      <x:c r="F555" s="86" t="n">
        <x:v>4</x:v>
      </x:c>
      <x:c r="G555" s="86"/>
      <x:c r="H555" s="86" t="n">
        <x:v>4</x:v>
      </x:c>
      <x:c r="I555" s="86"/>
      <x:c r="J555" s="97" t="n">
        <x:v>0</x:v>
      </x:c>
    </x:row>
    <x:row r="556">
      <x:c r="A556" s="85" t="n">
        <x:v>555</x:v>
      </x:c>
      <x:c r="B556" s="86" t="n">
        <x:v>412</x:v>
      </x:c>
      <x:c r="C556" s="95" t="n">
        <x:v>45144</x:v>
      </x:c>
      <x:c r="D556" s="86" t="str">
        <x:v>Admissão</x:v>
      </x:c>
      <x:c r="E556" s="86" t="str">
        <x:v>Nova contratação</x:v>
      </x:c>
      <x:c r="F556" s="86"/>
      <x:c r="G556" s="86" t="n">
        <x:v>10</x:v>
      </x:c>
      <x:c r="H556" s="86"/>
      <x:c r="I556" s="86" t="n">
        <x:v>10</x:v>
      </x:c>
      <x:c r="J556" s="97" t="n">
        <x:v>0</x:v>
      </x:c>
    </x:row>
    <x:row r="557">
      <x:c r="A557" s="85" t="n">
        <x:v>556</x:v>
      </x:c>
      <x:c r="B557" s="86" t="n">
        <x:v>412</x:v>
      </x:c>
      <x:c r="C557" s="95" t="n">
        <x:v>45803</x:v>
      </x:c>
      <x:c r="D557" s="86" t="str">
        <x:v>Promoção</x:v>
      </x:c>
      <x:c r="E557" s="86" t="str">
        <x:v>Evolução de carreira</x:v>
      </x:c>
      <x:c r="F557" s="86" t="n">
        <x:v>10</x:v>
      </x:c>
      <x:c r="G557" s="86" t="n">
        <x:v>10</x:v>
      </x:c>
      <x:c r="H557" s="86" t="n">
        <x:v>10</x:v>
      </x:c>
      <x:c r="I557" s="86" t="n">
        <x:v>10</x:v>
      </x:c>
      <x:c r="J557" s="97" t="n">
        <x:v>0.0854</x:v>
      </x:c>
    </x:row>
    <x:row r="558">
      <x:c r="A558" s="85" t="n">
        <x:v>557</x:v>
      </x:c>
      <x:c r="B558" s="86" t="n">
        <x:v>413</x:v>
      </x:c>
      <x:c r="C558" s="95" t="n">
        <x:v>45945</x:v>
      </x:c>
      <x:c r="D558" s="86" t="str">
        <x:v>Admissão</x:v>
      </x:c>
      <x:c r="E558" s="86" t="str">
        <x:v>Nova contratação</x:v>
      </x:c>
      <x:c r="F558" s="86"/>
      <x:c r="G558" s="86" t="n">
        <x:v>1</x:v>
      </x:c>
      <x:c r="H558" s="86"/>
      <x:c r="I558" s="86" t="n">
        <x:v>1</x:v>
      </x:c>
      <x:c r="J558" s="97" t="n">
        <x:v>0</x:v>
      </x:c>
    </x:row>
    <x:row r="559">
      <x:c r="A559" s="85" t="n">
        <x:v>558</x:v>
      </x:c>
      <x:c r="B559" s="86" t="n">
        <x:v>414</x:v>
      </x:c>
      <x:c r="C559" s="95" t="n">
        <x:v>45225</x:v>
      </x:c>
      <x:c r="D559" s="86" t="str">
        <x:v>Admissão</x:v>
      </x:c>
      <x:c r="E559" s="86" t="str">
        <x:v>Nova contratação</x:v>
      </x:c>
      <x:c r="F559" s="86"/>
      <x:c r="G559" s="86" t="n">
        <x:v>10</x:v>
      </x:c>
      <x:c r="H559" s="86"/>
      <x:c r="I559" s="86" t="n">
        <x:v>10</x:v>
      </x:c>
      <x:c r="J559" s="97" t="n">
        <x:v>0</x:v>
      </x:c>
    </x:row>
    <x:row r="560">
      <x:c r="A560" s="85" t="n">
        <x:v>559</x:v>
      </x:c>
      <x:c r="B560" s="86" t="n">
        <x:v>415</x:v>
      </x:c>
      <x:c r="C560" s="95" t="n">
        <x:v>45914</x:v>
      </x:c>
      <x:c r="D560" s="86" t="str">
        <x:v>Admissão</x:v>
      </x:c>
      <x:c r="E560" s="86" t="str">
        <x:v>Nova contratação</x:v>
      </x:c>
      <x:c r="F560" s="86"/>
      <x:c r="G560" s="86" t="n">
        <x:v>1</x:v>
      </x:c>
      <x:c r="H560" s="86"/>
      <x:c r="I560" s="86" t="n">
        <x:v>1</x:v>
      </x:c>
      <x:c r="J560" s="97" t="n">
        <x:v>0</x:v>
      </x:c>
    </x:row>
    <x:row r="561">
      <x:c r="A561" s="85" t="n">
        <x:v>560</x:v>
      </x:c>
      <x:c r="B561" s="86" t="n">
        <x:v>416</x:v>
      </x:c>
      <x:c r="C561" s="95" t="n">
        <x:v>45801</x:v>
      </x:c>
      <x:c r="D561" s="86" t="str">
        <x:v>Admissão</x:v>
      </x:c>
      <x:c r="E561" s="86" t="str">
        <x:v>Nova contratação</x:v>
      </x:c>
      <x:c r="F561" s="86"/>
      <x:c r="G561" s="86" t="n">
        <x:v>3</x:v>
      </x:c>
      <x:c r="H561" s="86"/>
      <x:c r="I561" s="86" t="n">
        <x:v>3</x:v>
      </x:c>
      <x:c r="J561" s="97" t="n">
        <x:v>0</x:v>
      </x:c>
    </x:row>
    <x:row r="562">
      <x:c r="A562" s="85" t="n">
        <x:v>561</x:v>
      </x:c>
      <x:c r="B562" s="86" t="n">
        <x:v>416</x:v>
      </x:c>
      <x:c r="C562" s="95" t="n">
        <x:v>46000</x:v>
      </x:c>
      <x:c r="D562" s="86" t="str">
        <x:v>Promoção</x:v>
      </x:c>
      <x:c r="E562" s="86" t="str">
        <x:v>Evolução de carreira</x:v>
      </x:c>
      <x:c r="F562" s="86" t="n">
        <x:v>3</x:v>
      </x:c>
      <x:c r="G562" s="86" t="n">
        <x:v>3</x:v>
      </x:c>
      <x:c r="H562" s="86" t="n">
        <x:v>3</x:v>
      </x:c>
      <x:c r="I562" s="86" t="n">
        <x:v>3</x:v>
      </x:c>
      <x:c r="J562" s="97" t="n">
        <x:v>0.1764</x:v>
      </x:c>
    </x:row>
    <x:row r="563">
      <x:c r="A563" s="85" t="n">
        <x:v>562</x:v>
      </x:c>
      <x:c r="B563" s="86" t="n">
        <x:v>417</x:v>
      </x:c>
      <x:c r="C563" s="95" t="n">
        <x:v>45815</x:v>
      </x:c>
      <x:c r="D563" s="86" t="str">
        <x:v>Admissão</x:v>
      </x:c>
      <x:c r="E563" s="86" t="str">
        <x:v>Nova contratação</x:v>
      </x:c>
      <x:c r="F563" s="86"/>
      <x:c r="G563" s="86" t="n">
        <x:v>3</x:v>
      </x:c>
      <x:c r="H563" s="86"/>
      <x:c r="I563" s="86" t="n">
        <x:v>3</x:v>
      </x:c>
      <x:c r="J563" s="97" t="n">
        <x:v>0</x:v>
      </x:c>
    </x:row>
    <x:row r="564">
      <x:c r="A564" s="85" t="n">
        <x:v>563</x:v>
      </x:c>
      <x:c r="B564" s="86" t="n">
        <x:v>418</x:v>
      </x:c>
      <x:c r="C564" s="95" t="n">
        <x:v>45755</x:v>
      </x:c>
      <x:c r="D564" s="86" t="str">
        <x:v>Admissão</x:v>
      </x:c>
      <x:c r="E564" s="86" t="str">
        <x:v>Nova contratação</x:v>
      </x:c>
      <x:c r="F564" s="86"/>
      <x:c r="G564" s="86" t="n">
        <x:v>10</x:v>
      </x:c>
      <x:c r="H564" s="86"/>
      <x:c r="I564" s="86" t="n">
        <x:v>10</x:v>
      </x:c>
      <x:c r="J564" s="97" t="n">
        <x:v>0</x:v>
      </x:c>
    </x:row>
    <x:row r="565">
      <x:c r="A565" s="85" t="n">
        <x:v>564</x:v>
      </x:c>
      <x:c r="B565" s="86" t="n">
        <x:v>418</x:v>
      </x:c>
      <x:c r="C565" s="95" t="n">
        <x:v>45967</x:v>
      </x:c>
      <x:c r="D565" s="86" t="str">
        <x:v>Desligamento</x:v>
      </x:c>
      <x:c r="E565" s="86" t="str">
        <x:v>Fim de contrato</x:v>
      </x:c>
      <x:c r="F565" s="86" t="n">
        <x:v>10</x:v>
      </x:c>
      <x:c r="G565" s="86"/>
      <x:c r="H565" s="86" t="n">
        <x:v>10</x:v>
      </x:c>
      <x:c r="I565" s="86"/>
      <x:c r="J565" s="97" t="n">
        <x:v>0</x:v>
      </x:c>
    </x:row>
    <x:row r="566">
      <x:c r="A566" s="85" t="n">
        <x:v>565</x:v>
      </x:c>
      <x:c r="B566" s="86" t="n">
        <x:v>419</x:v>
      </x:c>
      <x:c r="C566" s="95" t="n">
        <x:v>45307</x:v>
      </x:c>
      <x:c r="D566" s="86" t="str">
        <x:v>Admissão</x:v>
      </x:c>
      <x:c r="E566" s="86" t="str">
        <x:v>Nova contratação</x:v>
      </x:c>
      <x:c r="F566" s="86"/>
      <x:c r="G566" s="86" t="n">
        <x:v>1</x:v>
      </x:c>
      <x:c r="H566" s="86"/>
      <x:c r="I566" s="86" t="n">
        <x:v>1</x:v>
      </x:c>
      <x:c r="J566" s="97" t="n">
        <x:v>0</x:v>
      </x:c>
    </x:row>
    <x:row r="567">
      <x:c r="A567" s="88" t="n">
        <x:v>566</x:v>
      </x:c>
      <x:c r="B567" s="89" t="n">
        <x:v>420</x:v>
      </x:c>
      <x:c r="C567" s="96" t="n">
        <x:v>45720</x:v>
      </x:c>
      <x:c r="D567" s="89" t="str">
        <x:v>Admissão</x:v>
      </x:c>
      <x:c r="E567" s="89" t="str">
        <x:v>Nova contratação</x:v>
      </x:c>
      <x:c r="F567" s="89"/>
      <x:c r="G567" s="89" t="n">
        <x:v>3</x:v>
      </x:c>
      <x:c r="H567" s="89"/>
      <x:c r="I567" s="89" t="n">
        <x:v>3</x:v>
      </x:c>
      <x:c r="J567" s="98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2.220000267028809" hidden="0" customWidth="1"/>
    <x:col min="3" max="3" width="9" hidden="0" customWidth="1"/>
    <x:col min="4" max="4" width="8.779999732971191" hidden="0" customWidth="1"/>
    <x:col min="5" max="5" width="15" hidden="0" customWidth="1"/>
    <x:col min="6" max="6" width="12.890000343322754" hidden="0" customWidth="1"/>
    <x:col min="7" max="7" width="8.5600004196167" hidden="0" customWidth="1"/>
    <x:col min="8" max="8" width="12.890000343322754" hidden="0" customWidth="1"/>
    <x:col min="9" max="9" width="14.5600004196167" hidden="0" customWidth="1"/>
  </x:cols>
  <x:sheetData>
    <x:row r="1">
      <x:c r="A1" s="82" t="str">
        <x:v>id_ausencia</x:v>
      </x:c>
      <x:c r="B1" s="83" t="str">
        <x:v>id_colaborador</x:v>
      </x:c>
      <x:c r="C1" s="83" t="str">
        <x:v>data_inicio</x:v>
      </x:c>
      <x:c r="D1" s="83" t="str">
        <x:v>data_fim</x:v>
      </x:c>
      <x:c r="E1" s="83" t="str">
        <x:v>tipo_ausencia</x:v>
      </x:c>
      <x:c r="F1" s="83" t="str">
        <x:v>horas_ausentes</x:v>
      </x:c>
      <x:c r="G1" s="83" t="str">
        <x:v>justificada</x:v>
      </x:c>
      <x:c r="H1" s="83" t="str">
        <x:v>custo_estimado</x:v>
      </x:c>
      <x:c r="I1" s="84" t="str">
        <x:v>id_setor_derivado</x:v>
      </x:c>
    </x:row>
    <x:row r="2">
      <x:c r="A2" s="85" t="n">
        <x:v>1</x:v>
      </x:c>
      <x:c r="B2" s="86" t="n">
        <x:v>334</x:v>
      </x:c>
      <x:c r="C2" s="95" t="n">
        <x:v>45294</x:v>
      </x:c>
      <x:c r="D2" s="95" t="n">
        <x:v>45298</x:v>
      </x:c>
      <x:c r="E2" s="86" t="str">
        <x:v>Falta não justificada</x:v>
      </x:c>
      <x:c r="F2" s="86" t="n">
        <x:v>40</x:v>
      </x:c>
      <x:c r="G2" s="86" t="n">
        <x:v>0</x:v>
      </x:c>
      <x:c r="H2" s="91" t="n">
        <x:v>1336.14</x:v>
      </x:c>
      <x:c r="I2" s="87" t="n">
        <x:v>5</x:v>
      </x:c>
    </x:row>
    <x:row r="3">
      <x:c r="A3" s="85" t="n">
        <x:v>2</x:v>
      </x:c>
      <x:c r="B3" s="86" t="n">
        <x:v>187</x:v>
      </x:c>
      <x:c r="C3" s="95" t="n">
        <x:v>45928</x:v>
      </x:c>
      <x:c r="D3" s="95" t="n">
        <x:v>45928</x:v>
      </x:c>
      <x:c r="E3" s="86" t="str">
        <x:v>Atestado médico</x:v>
      </x:c>
      <x:c r="F3" s="86" t="n">
        <x:v>8</x:v>
      </x:c>
      <x:c r="G3" s="86" t="n">
        <x:v>1</x:v>
      </x:c>
      <x:c r="H3" s="91" t="n">
        <x:v>162.96</x:v>
      </x:c>
      <x:c r="I3" s="87" t="n">
        <x:v>8</x:v>
      </x:c>
    </x:row>
    <x:row r="4">
      <x:c r="A4" s="85" t="n">
        <x:v>3</x:v>
      </x:c>
      <x:c r="B4" s="86" t="n">
        <x:v>10</x:v>
      </x:c>
      <x:c r="C4" s="95" t="n">
        <x:v>45581</x:v>
      </x:c>
      <x:c r="D4" s="95" t="n">
        <x:v>45581</x:v>
      </x:c>
      <x:c r="E4" s="86" t="str">
        <x:v>Atestado médico</x:v>
      </x:c>
      <x:c r="F4" s="86" t="n">
        <x:v>2</x:v>
      </x:c>
      <x:c r="G4" s="86" t="n">
        <x:v>1</x:v>
      </x:c>
      <x:c r="H4" s="91" t="n">
        <x:v>63.64</x:v>
      </x:c>
      <x:c r="I4" s="87" t="n">
        <x:v>1</x:v>
      </x:c>
    </x:row>
    <x:row r="5">
      <x:c r="A5" s="85" t="n">
        <x:v>4</x:v>
      </x:c>
      <x:c r="B5" s="86" t="n">
        <x:v>280</x:v>
      </x:c>
      <x:c r="C5" s="95" t="n">
        <x:v>45682</x:v>
      </x:c>
      <x:c r="D5" s="95" t="n">
        <x:v>45684</x:v>
      </x:c>
      <x:c r="E5" s="86" t="str">
        <x:v>Consulta médica</x:v>
      </x:c>
      <x:c r="F5" s="86" t="n">
        <x:v>24</x:v>
      </x:c>
      <x:c r="G5" s="86" t="n">
        <x:v>1</x:v>
      </x:c>
      <x:c r="H5" s="91" t="n">
        <x:v>331.74</x:v>
      </x:c>
      <x:c r="I5" s="87" t="n">
        <x:v>1</x:v>
      </x:c>
    </x:row>
    <x:row r="6">
      <x:c r="A6" s="85" t="n">
        <x:v>5</x:v>
      </x:c>
      <x:c r="B6" s="86" t="n">
        <x:v>286</x:v>
      </x:c>
      <x:c r="C6" s="95" t="n">
        <x:v>45867</x:v>
      </x:c>
      <x:c r="D6" s="95" t="n">
        <x:v>45867</x:v>
      </x:c>
      <x:c r="E6" s="86" t="str">
        <x:v>Atestado médico</x:v>
      </x:c>
      <x:c r="F6" s="86" t="n">
        <x:v>4</x:v>
      </x:c>
      <x:c r="G6" s="86" t="n">
        <x:v>1</x:v>
      </x:c>
      <x:c r="H6" s="91" t="n">
        <x:v>53.49</x:v>
      </x:c>
      <x:c r="I6" s="87" t="n">
        <x:v>1</x:v>
      </x:c>
    </x:row>
    <x:row r="7">
      <x:c r="A7" s="85" t="n">
        <x:v>6</x:v>
      </x:c>
      <x:c r="B7" s="86" t="n">
        <x:v>211</x:v>
      </x:c>
      <x:c r="C7" s="95" t="n">
        <x:v>45875</x:v>
      </x:c>
      <x:c r="D7" s="95" t="n">
        <x:v>45875</x:v>
      </x:c>
      <x:c r="E7" s="86" t="str">
        <x:v>Consulta médica</x:v>
      </x:c>
      <x:c r="F7" s="86" t="n">
        <x:v>4</x:v>
      </x:c>
      <x:c r="G7" s="86" t="n">
        <x:v>1</x:v>
      </x:c>
      <x:c r="H7" s="91" t="n">
        <x:v>41.31</x:v>
      </x:c>
      <x:c r="I7" s="87" t="n">
        <x:v>1</x:v>
      </x:c>
    </x:row>
    <x:row r="8">
      <x:c r="A8" s="85" t="n">
        <x:v>7</x:v>
      </x:c>
      <x:c r="B8" s="86" t="n">
        <x:v>44</x:v>
      </x:c>
      <x:c r="C8" s="95" t="n">
        <x:v>45796</x:v>
      </x:c>
      <x:c r="D8" s="95" t="n">
        <x:v>45796</x:v>
      </x:c>
      <x:c r="E8" s="86" t="str">
        <x:v>Atestado médico</x:v>
      </x:c>
      <x:c r="F8" s="86" t="n">
        <x:v>4</x:v>
      </x:c>
      <x:c r="G8" s="86" t="n">
        <x:v>1</x:v>
      </x:c>
      <x:c r="H8" s="91" t="n">
        <x:v>86.83</x:v>
      </x:c>
      <x:c r="I8" s="87" t="n">
        <x:v>2</x:v>
      </x:c>
    </x:row>
    <x:row r="9">
      <x:c r="A9" s="85" t="n">
        <x:v>8</x:v>
      </x:c>
      <x:c r="B9" s="86" t="n">
        <x:v>128</x:v>
      </x:c>
      <x:c r="C9" s="95" t="n">
        <x:v>45746</x:v>
      </x:c>
      <x:c r="D9" s="95" t="n">
        <x:v>45746</x:v>
      </x:c>
      <x:c r="E9" s="86" t="str">
        <x:v>Atraso</x:v>
      </x:c>
      <x:c r="F9" s="86" t="n">
        <x:v>3</x:v>
      </x:c>
      <x:c r="G9" s="86" t="n">
        <x:v>1</x:v>
      </x:c>
      <x:c r="H9" s="91" t="n">
        <x:v>37.56</x:v>
      </x:c>
      <x:c r="I9" s="87" t="n">
        <x:v>1</x:v>
      </x:c>
    </x:row>
    <x:row r="10">
      <x:c r="A10" s="85" t="n">
        <x:v>9</x:v>
      </x:c>
      <x:c r="B10" s="86" t="n">
        <x:v>356</x:v>
      </x:c>
      <x:c r="C10" s="95" t="n">
        <x:v>45606</x:v>
      </x:c>
      <x:c r="D10" s="95" t="n">
        <x:v>45606</x:v>
      </x:c>
      <x:c r="E10" s="86" t="str">
        <x:v>Atraso</x:v>
      </x:c>
      <x:c r="F10" s="86" t="n">
        <x:v>2</x:v>
      </x:c>
      <x:c r="G10" s="86" t="n">
        <x:v>1</x:v>
      </x:c>
      <x:c r="H10" s="91" t="n">
        <x:v>61.11</x:v>
      </x:c>
      <x:c r="I10" s="87" t="n">
        <x:v>8</x:v>
      </x:c>
    </x:row>
    <x:row r="11">
      <x:c r="A11" s="85" t="n">
        <x:v>10</x:v>
      </x:c>
      <x:c r="B11" s="86" t="n">
        <x:v>245</x:v>
      </x:c>
      <x:c r="C11" s="95" t="n">
        <x:v>45819</x:v>
      </x:c>
      <x:c r="D11" s="95" t="n">
        <x:v>45819</x:v>
      </x:c>
      <x:c r="E11" s="86" t="str">
        <x:v>Atraso</x:v>
      </x:c>
      <x:c r="F11" s="86" t="n">
        <x:v>2</x:v>
      </x:c>
      <x:c r="G11" s="86" t="n">
        <x:v>1</x:v>
      </x:c>
      <x:c r="H11" s="91" t="n">
        <x:v>36.59</x:v>
      </x:c>
      <x:c r="I11" s="87" t="n">
        <x:v>3</x:v>
      </x:c>
    </x:row>
    <x:row r="12">
      <x:c r="A12" s="85" t="n">
        <x:v>11</x:v>
      </x:c>
      <x:c r="B12" s="86" t="n">
        <x:v>244</x:v>
      </x:c>
      <x:c r="C12" s="95" t="n">
        <x:v>45975</x:v>
      </x:c>
      <x:c r="D12" s="95" t="n">
        <x:v>45975</x:v>
      </x:c>
      <x:c r="E12" s="86" t="str">
        <x:v>Licença</x:v>
      </x:c>
      <x:c r="F12" s="86" t="n">
        <x:v>4</x:v>
      </x:c>
      <x:c r="G12" s="86" t="n">
        <x:v>1</x:v>
      </x:c>
      <x:c r="H12" s="91" t="n">
        <x:v>61.49</x:v>
      </x:c>
      <x:c r="I12" s="87" t="n">
        <x:v>1</x:v>
      </x:c>
    </x:row>
    <x:row r="13">
      <x:c r="A13" s="85" t="n">
        <x:v>12</x:v>
      </x:c>
      <x:c r="B13" s="86" t="n">
        <x:v>72</x:v>
      </x:c>
      <x:c r="C13" s="95" t="n">
        <x:v>45882</x:v>
      </x:c>
      <x:c r="D13" s="95" t="n">
        <x:v>45882</x:v>
      </x:c>
      <x:c r="E13" s="86" t="str">
        <x:v>Atestado médico</x:v>
      </x:c>
      <x:c r="F13" s="86" t="n">
        <x:v>1</x:v>
      </x:c>
      <x:c r="G13" s="86" t="n">
        <x:v>1</x:v>
      </x:c>
      <x:c r="H13" s="91" t="n">
        <x:v>13.77</x:v>
      </x:c>
      <x:c r="I13" s="87" t="n">
        <x:v>1</x:v>
      </x:c>
    </x:row>
    <x:row r="14">
      <x:c r="A14" s="85" t="n">
        <x:v>13</x:v>
      </x:c>
      <x:c r="B14" s="86" t="n">
        <x:v>301</x:v>
      </x:c>
      <x:c r="C14" s="95" t="n">
        <x:v>45773</x:v>
      </x:c>
      <x:c r="D14" s="95" t="n">
        <x:v>45777</x:v>
      </x:c>
      <x:c r="E14" s="86" t="str">
        <x:v>Atestado médico</x:v>
      </x:c>
      <x:c r="F14" s="86" t="n">
        <x:v>40</x:v>
      </x:c>
      <x:c r="G14" s="86" t="n">
        <x:v>1</x:v>
      </x:c>
      <x:c r="H14" s="91" t="n">
        <x:v>1194.17</x:v>
      </x:c>
      <x:c r="I14" s="87" t="n">
        <x:v>6</x:v>
      </x:c>
    </x:row>
    <x:row r="15">
      <x:c r="A15" s="85" t="n">
        <x:v>14</x:v>
      </x:c>
      <x:c r="B15" s="86" t="n">
        <x:v>306</x:v>
      </x:c>
      <x:c r="C15" s="95" t="n">
        <x:v>45980</x:v>
      </x:c>
      <x:c r="D15" s="95" t="n">
        <x:v>45981</x:v>
      </x:c>
      <x:c r="E15" s="86" t="str">
        <x:v>Falta não justificada</x:v>
      </x:c>
      <x:c r="F15" s="86" t="n">
        <x:v>16</x:v>
      </x:c>
      <x:c r="G15" s="86" t="n">
        <x:v>0</x:v>
      </x:c>
      <x:c r="H15" s="91" t="n">
        <x:v>217.84</x:v>
      </x:c>
      <x:c r="I15" s="87" t="n">
        <x:v>1</x:v>
      </x:c>
    </x:row>
    <x:row r="16">
      <x:c r="A16" s="85" t="n">
        <x:v>15</x:v>
      </x:c>
      <x:c r="B16" s="86" t="n">
        <x:v>231</x:v>
      </x:c>
      <x:c r="C16" s="95" t="n">
        <x:v>45401</x:v>
      </x:c>
      <x:c r="D16" s="95" t="n">
        <x:v>45402</x:v>
      </x:c>
      <x:c r="E16" s="86" t="str">
        <x:v>Falta não justificada</x:v>
      </x:c>
      <x:c r="F16" s="86" t="n">
        <x:v>16</x:v>
      </x:c>
      <x:c r="G16" s="86" t="n">
        <x:v>0</x:v>
      </x:c>
      <x:c r="H16" s="91" t="n">
        <x:v>434.67</x:v>
      </x:c>
      <x:c r="I16" s="87" t="n">
        <x:v>7</x:v>
      </x:c>
    </x:row>
    <x:row r="17">
      <x:c r="A17" s="85" t="n">
        <x:v>16</x:v>
      </x:c>
      <x:c r="B17" s="86" t="n">
        <x:v>72</x:v>
      </x:c>
      <x:c r="C17" s="95" t="n">
        <x:v>45728</x:v>
      </x:c>
      <x:c r="D17" s="95" t="n">
        <x:v>45728</x:v>
      </x:c>
      <x:c r="E17" s="86" t="str">
        <x:v>Consulta médica</x:v>
      </x:c>
      <x:c r="F17" s="86" t="n">
        <x:v>2</x:v>
      </x:c>
      <x:c r="G17" s="86" t="n">
        <x:v>1</x:v>
      </x:c>
      <x:c r="H17" s="91" t="n">
        <x:v>27.54</x:v>
      </x:c>
      <x:c r="I17" s="87" t="n">
        <x:v>1</x:v>
      </x:c>
    </x:row>
    <x:row r="18">
      <x:c r="A18" s="85" t="n">
        <x:v>17</x:v>
      </x:c>
      <x:c r="B18" s="86" t="n">
        <x:v>376</x:v>
      </x:c>
      <x:c r="C18" s="95" t="n">
        <x:v>45841</x:v>
      </x:c>
      <x:c r="D18" s="95" t="n">
        <x:v>45842</x:v>
      </x:c>
      <x:c r="E18" s="86" t="str">
        <x:v>Atestado médico</x:v>
      </x:c>
      <x:c r="F18" s="86" t="n">
        <x:v>16</x:v>
      </x:c>
      <x:c r="G18" s="86" t="n">
        <x:v>1</x:v>
      </x:c>
      <x:c r="H18" s="91" t="n">
        <x:v>680.8</x:v>
      </x:c>
      <x:c r="I18" s="87" t="n">
        <x:v>4</x:v>
      </x:c>
    </x:row>
    <x:row r="19">
      <x:c r="A19" s="85" t="n">
        <x:v>18</x:v>
      </x:c>
      <x:c r="B19" s="86" t="n">
        <x:v>264</x:v>
      </x:c>
      <x:c r="C19" s="95" t="n">
        <x:v>45822</x:v>
      </x:c>
      <x:c r="D19" s="95" t="n">
        <x:v>45822</x:v>
      </x:c>
      <x:c r="E19" s="86" t="str">
        <x:v>Atestado médico</x:v>
      </x:c>
      <x:c r="F19" s="86" t="n">
        <x:v>8</x:v>
      </x:c>
      <x:c r="G19" s="86" t="n">
        <x:v>1</x:v>
      </x:c>
      <x:c r="H19" s="91" t="n">
        <x:v>179.41</x:v>
      </x:c>
      <x:c r="I19" s="87" t="n">
        <x:v>4</x:v>
      </x:c>
    </x:row>
    <x:row r="20">
      <x:c r="A20" s="85" t="n">
        <x:v>19</x:v>
      </x:c>
      <x:c r="B20" s="86" t="n">
        <x:v>61</x:v>
      </x:c>
      <x:c r="C20" s="95" t="n">
        <x:v>45753</x:v>
      </x:c>
      <x:c r="D20" s="95" t="n">
        <x:v>45757</x:v>
      </x:c>
      <x:c r="E20" s="86" t="str">
        <x:v>Atestado médico</x:v>
      </x:c>
      <x:c r="F20" s="86" t="n">
        <x:v>40</x:v>
      </x:c>
      <x:c r="G20" s="86" t="n">
        <x:v>1</x:v>
      </x:c>
      <x:c r="H20" s="91" t="n">
        <x:v>1707.49</x:v>
      </x:c>
      <x:c r="I20" s="87" t="n">
        <x:v>4</x:v>
      </x:c>
    </x:row>
    <x:row r="21">
      <x:c r="A21" s="85" t="n">
        <x:v>20</x:v>
      </x:c>
      <x:c r="B21" s="86" t="n">
        <x:v>236</x:v>
      </x:c>
      <x:c r="C21" s="95" t="n">
        <x:v>45976</x:v>
      </x:c>
      <x:c r="D21" s="95" t="n">
        <x:v>45976</x:v>
      </x:c>
      <x:c r="E21" s="86" t="str">
        <x:v>Atraso</x:v>
      </x:c>
      <x:c r="F21" s="86" t="n">
        <x:v>1</x:v>
      </x:c>
      <x:c r="G21" s="86" t="n">
        <x:v>1</x:v>
      </x:c>
      <x:c r="H21" s="91" t="n">
        <x:v>37.16</x:v>
      </x:c>
      <x:c r="I21" s="87" t="n">
        <x:v>5</x:v>
      </x:c>
    </x:row>
    <x:row r="22">
      <x:c r="A22" s="85" t="n">
        <x:v>21</x:v>
      </x:c>
      <x:c r="B22" s="86" t="n">
        <x:v>15</x:v>
      </x:c>
      <x:c r="C22" s="95" t="n">
        <x:v>45392</x:v>
      </x:c>
      <x:c r="D22" s="95" t="n">
        <x:v>45392</x:v>
      </x:c>
      <x:c r="E22" s="86" t="str">
        <x:v>Atestado médico</x:v>
      </x:c>
      <x:c r="F22" s="86" t="n">
        <x:v>8</x:v>
      </x:c>
      <x:c r="G22" s="86" t="n">
        <x:v>1</x:v>
      </x:c>
      <x:c r="H22" s="91" t="n">
        <x:v>361.94</x:v>
      </x:c>
      <x:c r="I22" s="87" t="n">
        <x:v>2</x:v>
      </x:c>
    </x:row>
    <x:row r="23">
      <x:c r="A23" s="85" t="n">
        <x:v>22</x:v>
      </x:c>
      <x:c r="B23" s="86" t="n">
        <x:v>272</x:v>
      </x:c>
      <x:c r="C23" s="95" t="n">
        <x:v>45809</x:v>
      </x:c>
      <x:c r="D23" s="95" t="n">
        <x:v>45810</x:v>
      </x:c>
      <x:c r="E23" s="86" t="str">
        <x:v>Atestado médico</x:v>
      </x:c>
      <x:c r="F23" s="86" t="n">
        <x:v>16</x:v>
      </x:c>
      <x:c r="G23" s="86" t="n">
        <x:v>1</x:v>
      </x:c>
      <x:c r="H23" s="91" t="n">
        <x:v>467.18</x:v>
      </x:c>
      <x:c r="I23" s="87" t="n">
        <x:v>10</x:v>
      </x:c>
    </x:row>
    <x:row r="24">
      <x:c r="A24" s="85" t="n">
        <x:v>23</x:v>
      </x:c>
      <x:c r="B24" s="86" t="n">
        <x:v>33</x:v>
      </x:c>
      <x:c r="C24" s="95" t="n">
        <x:v>45729</x:v>
      </x:c>
      <x:c r="D24" s="95" t="n">
        <x:v>45730</x:v>
      </x:c>
      <x:c r="E24" s="86" t="str">
        <x:v>Falta não justificada</x:v>
      </x:c>
      <x:c r="F24" s="86" t="n">
        <x:v>16</x:v>
      </x:c>
      <x:c r="G24" s="86" t="n">
        <x:v>0</x:v>
      </x:c>
      <x:c r="H24" s="91" t="n">
        <x:v>443.3</x:v>
      </x:c>
      <x:c r="I24" s="87" t="n">
        <x:v>9</x:v>
      </x:c>
    </x:row>
    <x:row r="25">
      <x:c r="A25" s="85" t="n">
        <x:v>24</x:v>
      </x:c>
      <x:c r="B25" s="86" t="n">
        <x:v>101</x:v>
      </x:c>
      <x:c r="C25" s="95" t="n">
        <x:v>46000</x:v>
      </x:c>
      <x:c r="D25" s="95" t="n">
        <x:v>46001</x:v>
      </x:c>
      <x:c r="E25" s="86" t="str">
        <x:v>Licença</x:v>
      </x:c>
      <x:c r="F25" s="86" t="n">
        <x:v>16</x:v>
      </x:c>
      <x:c r="G25" s="86" t="n">
        <x:v>1</x:v>
      </x:c>
      <x:c r="H25" s="91" t="n">
        <x:v>167.81</x:v>
      </x:c>
      <x:c r="I25" s="87" t="n">
        <x:v>1</x:v>
      </x:c>
    </x:row>
    <x:row r="26">
      <x:c r="A26" s="85" t="n">
        <x:v>25</x:v>
      </x:c>
      <x:c r="B26" s="86" t="n">
        <x:v>52</x:v>
      </x:c>
      <x:c r="C26" s="95" t="n">
        <x:v>45833</x:v>
      </x:c>
      <x:c r="D26" s="95" t="n">
        <x:v>45833</x:v>
      </x:c>
      <x:c r="E26" s="86" t="str">
        <x:v>Atestado médico</x:v>
      </x:c>
      <x:c r="F26" s="86" t="n">
        <x:v>8</x:v>
      </x:c>
      <x:c r="G26" s="86" t="n">
        <x:v>1</x:v>
      </x:c>
      <x:c r="H26" s="91" t="n">
        <x:v>164.22</x:v>
      </x:c>
      <x:c r="I26" s="87" t="n">
        <x:v>10</x:v>
      </x:c>
    </x:row>
    <x:row r="27">
      <x:c r="A27" s="85" t="n">
        <x:v>26</x:v>
      </x:c>
      <x:c r="B27" s="86" t="n">
        <x:v>347</x:v>
      </x:c>
      <x:c r="C27" s="95" t="n">
        <x:v>45931</x:v>
      </x:c>
      <x:c r="D27" s="95" t="n">
        <x:v>45931</x:v>
      </x:c>
      <x:c r="E27" s="86" t="str">
        <x:v>Consulta médica</x:v>
      </x:c>
      <x:c r="F27" s="86" t="n">
        <x:v>8</x:v>
      </x:c>
      <x:c r="G27" s="86" t="n">
        <x:v>1</x:v>
      </x:c>
      <x:c r="H27" s="91" t="n">
        <x:v>167.87</x:v>
      </x:c>
      <x:c r="I27" s="87" t="n">
        <x:v>7</x:v>
      </x:c>
    </x:row>
    <x:row r="28">
      <x:c r="A28" s="85" t="n">
        <x:v>27</x:v>
      </x:c>
      <x:c r="B28" s="86" t="n">
        <x:v>206</x:v>
      </x:c>
      <x:c r="C28" s="95" t="n">
        <x:v>45633</x:v>
      </x:c>
      <x:c r="D28" s="95" t="n">
        <x:v>45633</x:v>
      </x:c>
      <x:c r="E28" s="86" t="str">
        <x:v>Falta não justificada</x:v>
      </x:c>
      <x:c r="F28" s="86" t="n">
        <x:v>4</x:v>
      </x:c>
      <x:c r="G28" s="86" t="n">
        <x:v>0</x:v>
      </x:c>
      <x:c r="H28" s="91" t="n">
        <x:v>99.97</x:v>
      </x:c>
      <x:c r="I28" s="87" t="n">
        <x:v>6</x:v>
      </x:c>
    </x:row>
    <x:row r="29">
      <x:c r="A29" s="85" t="n">
        <x:v>28</x:v>
      </x:c>
      <x:c r="B29" s="86" t="n">
        <x:v>210</x:v>
      </x:c>
      <x:c r="C29" s="95" t="n">
        <x:v>46001</x:v>
      </x:c>
      <x:c r="D29" s="95" t="n">
        <x:v>46001</x:v>
      </x:c>
      <x:c r="E29" s="86" t="str">
        <x:v>Atraso</x:v>
      </x:c>
      <x:c r="F29" s="86" t="n">
        <x:v>1</x:v>
      </x:c>
      <x:c r="G29" s="86" t="n">
        <x:v>1</x:v>
      </x:c>
      <x:c r="H29" s="91" t="n">
        <x:v>14.95</x:v>
      </x:c>
      <x:c r="I29" s="87" t="n">
        <x:v>1</x:v>
      </x:c>
    </x:row>
    <x:row r="30">
      <x:c r="A30" s="85" t="n">
        <x:v>29</x:v>
      </x:c>
      <x:c r="B30" s="86" t="n">
        <x:v>402</x:v>
      </x:c>
      <x:c r="C30" s="95" t="n">
        <x:v>45895</x:v>
      </x:c>
      <x:c r="D30" s="95" t="n">
        <x:v>45895</x:v>
      </x:c>
      <x:c r="E30" s="86" t="str">
        <x:v>Atraso</x:v>
      </x:c>
      <x:c r="F30" s="86" t="n">
        <x:v>2</x:v>
      </x:c>
      <x:c r="G30" s="86" t="n">
        <x:v>1</x:v>
      </x:c>
      <x:c r="H30" s="91" t="n">
        <x:v>31.89</x:v>
      </x:c>
      <x:c r="I30" s="87" t="n">
        <x:v>1</x:v>
      </x:c>
    </x:row>
    <x:row r="31">
      <x:c r="A31" s="85" t="n">
        <x:v>30</x:v>
      </x:c>
      <x:c r="B31" s="86" t="n">
        <x:v>364</x:v>
      </x:c>
      <x:c r="C31" s="95" t="n">
        <x:v>45848</x:v>
      </x:c>
      <x:c r="D31" s="95" t="n">
        <x:v>45852</x:v>
      </x:c>
      <x:c r="E31" s="86" t="str">
        <x:v>Atestado médico</x:v>
      </x:c>
      <x:c r="F31" s="86" t="n">
        <x:v>40</x:v>
      </x:c>
      <x:c r="G31" s="86" t="n">
        <x:v>1</x:v>
      </x:c>
      <x:c r="H31" s="91" t="n">
        <x:v>1569.6</x:v>
      </x:c>
      <x:c r="I31" s="87" t="n">
        <x:v>5</x:v>
      </x:c>
    </x:row>
    <x:row r="32">
      <x:c r="A32" s="85" t="n">
        <x:v>31</x:v>
      </x:c>
      <x:c r="B32" s="86" t="n">
        <x:v>155</x:v>
      </x:c>
      <x:c r="C32" s="95" t="n">
        <x:v>45872</x:v>
      </x:c>
      <x:c r="D32" s="95" t="n">
        <x:v>45872</x:v>
      </x:c>
      <x:c r="E32" s="86" t="str">
        <x:v>Consulta médica</x:v>
      </x:c>
      <x:c r="F32" s="86" t="n">
        <x:v>1</x:v>
      </x:c>
      <x:c r="G32" s="86" t="n">
        <x:v>1</x:v>
      </x:c>
      <x:c r="H32" s="91" t="n">
        <x:v>13.32</x:v>
      </x:c>
      <x:c r="I32" s="87" t="n">
        <x:v>1</x:v>
      </x:c>
    </x:row>
    <x:row r="33">
      <x:c r="A33" s="85" t="n">
        <x:v>32</x:v>
      </x:c>
      <x:c r="B33" s="86" t="n">
        <x:v>337</x:v>
      </x:c>
      <x:c r="C33" s="95" t="n">
        <x:v>45519</x:v>
      </x:c>
      <x:c r="D33" s="95" t="n">
        <x:v>45519</x:v>
      </x:c>
      <x:c r="E33" s="86" t="str">
        <x:v>Atraso</x:v>
      </x:c>
      <x:c r="F33" s="86" t="n">
        <x:v>2</x:v>
      </x:c>
      <x:c r="G33" s="86" t="n">
        <x:v>1</x:v>
      </x:c>
      <x:c r="H33" s="91" t="n">
        <x:v>72.64</x:v>
      </x:c>
      <x:c r="I33" s="87" t="n">
        <x:v>6</x:v>
      </x:c>
    </x:row>
    <x:row r="34">
      <x:c r="A34" s="85" t="n">
        <x:v>33</x:v>
      </x:c>
      <x:c r="B34" s="86" t="n">
        <x:v>190</x:v>
      </x:c>
      <x:c r="C34" s="95" t="n">
        <x:v>45998</x:v>
      </x:c>
      <x:c r="D34" s="95" t="n">
        <x:v>45998</x:v>
      </x:c>
      <x:c r="E34" s="86" t="str">
        <x:v>Atestado médico</x:v>
      </x:c>
      <x:c r="F34" s="86" t="n">
        <x:v>1</x:v>
      </x:c>
      <x:c r="G34" s="86" t="n">
        <x:v>1</x:v>
      </x:c>
      <x:c r="H34" s="91" t="n">
        <x:v>30.57</x:v>
      </x:c>
      <x:c r="I34" s="87" t="n">
        <x:v>9</x:v>
      </x:c>
    </x:row>
    <x:row r="35">
      <x:c r="A35" s="85" t="n">
        <x:v>34</x:v>
      </x:c>
      <x:c r="B35" s="86" t="n">
        <x:v>109</x:v>
      </x:c>
      <x:c r="C35" s="95" t="n">
        <x:v>45399</x:v>
      </x:c>
      <x:c r="D35" s="95" t="n">
        <x:v>45401</x:v>
      </x:c>
      <x:c r="E35" s="86" t="str">
        <x:v>Atestado médico</x:v>
      </x:c>
      <x:c r="F35" s="86" t="n">
        <x:v>24</x:v>
      </x:c>
      <x:c r="G35" s="86" t="n">
        <x:v>1</x:v>
      </x:c>
      <x:c r="H35" s="91" t="n">
        <x:v>1727.55</x:v>
      </x:c>
      <x:c r="I35" s="87" t="n">
        <x:v>8</x:v>
      </x:c>
    </x:row>
    <x:row r="36">
      <x:c r="A36" s="85" t="n">
        <x:v>35</x:v>
      </x:c>
      <x:c r="B36" s="86" t="n">
        <x:v>30</x:v>
      </x:c>
      <x:c r="C36" s="95" t="n">
        <x:v>45694</x:v>
      </x:c>
      <x:c r="D36" s="95" t="n">
        <x:v>45694</x:v>
      </x:c>
      <x:c r="E36" s="86" t="str">
        <x:v>Consulta médica</x:v>
      </x:c>
      <x:c r="F36" s="86" t="n">
        <x:v>2</x:v>
      </x:c>
      <x:c r="G36" s="86" t="n">
        <x:v>1</x:v>
      </x:c>
      <x:c r="H36" s="91" t="n">
        <x:v>30.19</x:v>
      </x:c>
      <x:c r="I36" s="87" t="n">
        <x:v>3</x:v>
      </x:c>
    </x:row>
    <x:row r="37">
      <x:c r="A37" s="85" t="n">
        <x:v>36</x:v>
      </x:c>
      <x:c r="B37" s="86" t="n">
        <x:v>180</x:v>
      </x:c>
      <x:c r="C37" s="95" t="n">
        <x:v>45519</x:v>
      </x:c>
      <x:c r="D37" s="95" t="n">
        <x:v>45521</x:v>
      </x:c>
      <x:c r="E37" s="86" t="str">
        <x:v>Falta não justificada</x:v>
      </x:c>
      <x:c r="F37" s="86" t="n">
        <x:v>24</x:v>
      </x:c>
      <x:c r="G37" s="86" t="n">
        <x:v>0</x:v>
      </x:c>
      <x:c r="H37" s="91" t="n">
        <x:v>704.96</x:v>
      </x:c>
      <x:c r="I37" s="87" t="n">
        <x:v>10</x:v>
      </x:c>
    </x:row>
    <x:row r="38">
      <x:c r="A38" s="85" t="n">
        <x:v>37</x:v>
      </x:c>
      <x:c r="B38" s="86" t="n">
        <x:v>41</x:v>
      </x:c>
      <x:c r="C38" s="95" t="n">
        <x:v>45705</x:v>
      </x:c>
      <x:c r="D38" s="95" t="n">
        <x:v>45705</x:v>
      </x:c>
      <x:c r="E38" s="86" t="str">
        <x:v>Atestado médico</x:v>
      </x:c>
      <x:c r="F38" s="86" t="n">
        <x:v>2</x:v>
      </x:c>
      <x:c r="G38" s="86" t="n">
        <x:v>1</x:v>
      </x:c>
      <x:c r="H38" s="91" t="n">
        <x:v>28.49</x:v>
      </x:c>
      <x:c r="I38" s="87" t="n">
        <x:v>1</x:v>
      </x:c>
    </x:row>
    <x:row r="39">
      <x:c r="A39" s="85" t="n">
        <x:v>38</x:v>
      </x:c>
      <x:c r="B39" s="86" t="n">
        <x:v>279</x:v>
      </x:c>
      <x:c r="C39" s="95" t="n">
        <x:v>45982</x:v>
      </x:c>
      <x:c r="D39" s="95" t="n">
        <x:v>45982</x:v>
      </x:c>
      <x:c r="E39" s="86" t="str">
        <x:v>Consulta médica</x:v>
      </x:c>
      <x:c r="F39" s="86" t="n">
        <x:v>8</x:v>
      </x:c>
      <x:c r="G39" s="86" t="n">
        <x:v>1</x:v>
      </x:c>
      <x:c r="H39" s="91" t="n">
        <x:v>300.56</x:v>
      </x:c>
      <x:c r="I39" s="87" t="n">
        <x:v>6</x:v>
      </x:c>
    </x:row>
    <x:row r="40">
      <x:c r="A40" s="85" t="n">
        <x:v>39</x:v>
      </x:c>
      <x:c r="B40" s="86" t="n">
        <x:v>56</x:v>
      </x:c>
      <x:c r="C40" s="95" t="n">
        <x:v>46014</x:v>
      </x:c>
      <x:c r="D40" s="95" t="n">
        <x:v>46014</x:v>
      </x:c>
      <x:c r="E40" s="86" t="str">
        <x:v>Atraso</x:v>
      </x:c>
      <x:c r="F40" s="86" t="n">
        <x:v>1</x:v>
      </x:c>
      <x:c r="G40" s="86" t="n">
        <x:v>1</x:v>
      </x:c>
      <x:c r="H40" s="91" t="n">
        <x:v>15.74</x:v>
      </x:c>
      <x:c r="I40" s="87" t="n">
        <x:v>1</x:v>
      </x:c>
    </x:row>
    <x:row r="41">
      <x:c r="A41" s="85" t="n">
        <x:v>40</x:v>
      </x:c>
      <x:c r="B41" s="86" t="n">
        <x:v>36</x:v>
      </x:c>
      <x:c r="C41" s="95" t="n">
        <x:v>45788</x:v>
      </x:c>
      <x:c r="D41" s="95" t="n">
        <x:v>45788</x:v>
      </x:c>
      <x:c r="E41" s="86" t="str">
        <x:v>Atraso</x:v>
      </x:c>
      <x:c r="F41" s="86" t="n">
        <x:v>3</x:v>
      </x:c>
      <x:c r="G41" s="86" t="n">
        <x:v>1</x:v>
      </x:c>
      <x:c r="H41" s="91" t="n">
        <x:v>51.82</x:v>
      </x:c>
      <x:c r="I41" s="87" t="n">
        <x:v>4</x:v>
      </x:c>
    </x:row>
    <x:row r="42">
      <x:c r="A42" s="85" t="n">
        <x:v>41</x:v>
      </x:c>
      <x:c r="B42" s="86" t="n">
        <x:v>49</x:v>
      </x:c>
      <x:c r="C42" s="95" t="n">
        <x:v>45545</x:v>
      </x:c>
      <x:c r="D42" s="95" t="n">
        <x:v>45545</x:v>
      </x:c>
      <x:c r="E42" s="86" t="str">
        <x:v>Atraso</x:v>
      </x:c>
      <x:c r="F42" s="86" t="n">
        <x:v>2</x:v>
      </x:c>
      <x:c r="G42" s="86" t="n">
        <x:v>1</x:v>
      </x:c>
      <x:c r="H42" s="91" t="n">
        <x:v>59.39</x:v>
      </x:c>
      <x:c r="I42" s="87" t="n">
        <x:v>10</x:v>
      </x:c>
    </x:row>
    <x:row r="43">
      <x:c r="A43" s="85" t="n">
        <x:v>42</x:v>
      </x:c>
      <x:c r="B43" s="86" t="n">
        <x:v>322</x:v>
      </x:c>
      <x:c r="C43" s="95" t="n">
        <x:v>45651</x:v>
      </x:c>
      <x:c r="D43" s="95" t="n">
        <x:v>45651</x:v>
      </x:c>
      <x:c r="E43" s="86" t="str">
        <x:v>Consulta médica</x:v>
      </x:c>
      <x:c r="F43" s="86" t="n">
        <x:v>4</x:v>
      </x:c>
      <x:c r="G43" s="86" t="n">
        <x:v>1</x:v>
      </x:c>
      <x:c r="H43" s="91" t="n">
        <x:v>83.34</x:v>
      </x:c>
      <x:c r="I43" s="87" t="n">
        <x:v>7</x:v>
      </x:c>
    </x:row>
    <x:row r="44">
      <x:c r="A44" s="85" t="n">
        <x:v>43</x:v>
      </x:c>
      <x:c r="B44" s="86" t="n">
        <x:v>193</x:v>
      </x:c>
      <x:c r="C44" s="95" t="n">
        <x:v>45835</x:v>
      </x:c>
      <x:c r="D44" s="95" t="n">
        <x:v>45836</x:v>
      </x:c>
      <x:c r="E44" s="86" t="str">
        <x:v>Atestado médico</x:v>
      </x:c>
      <x:c r="F44" s="86" t="n">
        <x:v>16</x:v>
      </x:c>
      <x:c r="G44" s="86" t="n">
        <x:v>1</x:v>
      </x:c>
      <x:c r="H44" s="91" t="n">
        <x:v>445.23</x:v>
      </x:c>
      <x:c r="I44" s="87" t="n">
        <x:v>6</x:v>
      </x:c>
    </x:row>
    <x:row r="45">
      <x:c r="A45" s="85" t="n">
        <x:v>44</x:v>
      </x:c>
      <x:c r="B45" s="86" t="n">
        <x:v>296</x:v>
      </x:c>
      <x:c r="C45" s="95" t="n">
        <x:v>45811</x:v>
      </x:c>
      <x:c r="D45" s="95" t="n">
        <x:v>45813</x:v>
      </x:c>
      <x:c r="E45" s="86" t="str">
        <x:v>Licença</x:v>
      </x:c>
      <x:c r="F45" s="86" t="n">
        <x:v>24</x:v>
      </x:c>
      <x:c r="G45" s="86" t="n">
        <x:v>1</x:v>
      </x:c>
      <x:c r="H45" s="91" t="n">
        <x:v>490.94</x:v>
      </x:c>
      <x:c r="I45" s="87" t="n">
        <x:v>3</x:v>
      </x:c>
    </x:row>
    <x:row r="46">
      <x:c r="A46" s="85" t="n">
        <x:v>45</x:v>
      </x:c>
      <x:c r="B46" s="86" t="n">
        <x:v>143</x:v>
      </x:c>
      <x:c r="C46" s="95" t="n">
        <x:v>45893</x:v>
      </x:c>
      <x:c r="D46" s="95" t="n">
        <x:v>45897</x:v>
      </x:c>
      <x:c r="E46" s="86" t="str">
        <x:v>Atestado médico</x:v>
      </x:c>
      <x:c r="F46" s="86" t="n">
        <x:v>40</x:v>
      </x:c>
      <x:c r="G46" s="86" t="n">
        <x:v>1</x:v>
      </x:c>
      <x:c r="H46" s="91" t="n">
        <x:v>1218.68</x:v>
      </x:c>
      <x:c r="I46" s="87" t="n">
        <x:v>4</x:v>
      </x:c>
    </x:row>
    <x:row r="47">
      <x:c r="A47" s="85" t="n">
        <x:v>46</x:v>
      </x:c>
      <x:c r="B47" s="86" t="n">
        <x:v>149</x:v>
      </x:c>
      <x:c r="C47" s="95" t="n">
        <x:v>45591</x:v>
      </x:c>
      <x:c r="D47" s="95" t="n">
        <x:v>45591</x:v>
      </x:c>
      <x:c r="E47" s="86" t="str">
        <x:v>Falta não justificada</x:v>
      </x:c>
      <x:c r="F47" s="86" t="n">
        <x:v>4</x:v>
      </x:c>
      <x:c r="G47" s="86" t="n">
        <x:v>0</x:v>
      </x:c>
      <x:c r="H47" s="91" t="n">
        <x:v>133.27</x:v>
      </x:c>
      <x:c r="I47" s="87" t="n">
        <x:v>6</x:v>
      </x:c>
    </x:row>
    <x:row r="48">
      <x:c r="A48" s="85" t="n">
        <x:v>47</x:v>
      </x:c>
      <x:c r="B48" s="86" t="n">
        <x:v>63</x:v>
      </x:c>
      <x:c r="C48" s="95" t="n">
        <x:v>45915</x:v>
      </x:c>
      <x:c r="D48" s="95" t="n">
        <x:v>45915</x:v>
      </x:c>
      <x:c r="E48" s="86" t="str">
        <x:v>Falta não justificada</x:v>
      </x:c>
      <x:c r="F48" s="86" t="n">
        <x:v>4</x:v>
      </x:c>
      <x:c r="G48" s="86" t="n">
        <x:v>0</x:v>
      </x:c>
      <x:c r="H48" s="91" t="n">
        <x:v>89</x:v>
      </x:c>
      <x:c r="I48" s="87" t="n">
        <x:v>7</x:v>
      </x:c>
    </x:row>
    <x:row r="49">
      <x:c r="A49" s="85" t="n">
        <x:v>48</x:v>
      </x:c>
      <x:c r="B49" s="86" t="n">
        <x:v>371</x:v>
      </x:c>
      <x:c r="C49" s="95" t="n">
        <x:v>45386</x:v>
      </x:c>
      <x:c r="D49" s="95" t="n">
        <x:v>45386</x:v>
      </x:c>
      <x:c r="E49" s="86" t="str">
        <x:v>Atraso</x:v>
      </x:c>
      <x:c r="F49" s="86" t="n">
        <x:v>2</x:v>
      </x:c>
      <x:c r="G49" s="86" t="n">
        <x:v>1</x:v>
      </x:c>
      <x:c r="H49" s="91" t="n">
        <x:v>87.86</x:v>
      </x:c>
      <x:c r="I49" s="87" t="n">
        <x:v>1</x:v>
      </x:c>
    </x:row>
    <x:row r="50">
      <x:c r="A50" s="85" t="n">
        <x:v>49</x:v>
      </x:c>
      <x:c r="B50" s="86" t="n">
        <x:v>364</x:v>
      </x:c>
      <x:c r="C50" s="95" t="n">
        <x:v>45746</x:v>
      </x:c>
      <x:c r="D50" s="95" t="n">
        <x:v>45746</x:v>
      </x:c>
      <x:c r="E50" s="86" t="str">
        <x:v>Atestado médico</x:v>
      </x:c>
      <x:c r="F50" s="86" t="n">
        <x:v>8</x:v>
      </x:c>
      <x:c r="G50" s="86" t="n">
        <x:v>1</x:v>
      </x:c>
      <x:c r="H50" s="91" t="n">
        <x:v>313.92</x:v>
      </x:c>
      <x:c r="I50" s="87" t="n">
        <x:v>5</x:v>
      </x:c>
    </x:row>
    <x:row r="51">
      <x:c r="A51" s="85" t="n">
        <x:v>50</x:v>
      </x:c>
      <x:c r="B51" s="86" t="n">
        <x:v>239</x:v>
      </x:c>
      <x:c r="C51" s="95" t="n">
        <x:v>45538</x:v>
      </x:c>
      <x:c r="D51" s="95" t="n">
        <x:v>45542</x:v>
      </x:c>
      <x:c r="E51" s="86" t="str">
        <x:v>Atestado médico</x:v>
      </x:c>
      <x:c r="F51" s="86" t="n">
        <x:v>40</x:v>
      </x:c>
      <x:c r="G51" s="86" t="n">
        <x:v>1</x:v>
      </x:c>
      <x:c r="H51" s="91" t="n">
        <x:v>1996.99</x:v>
      </x:c>
      <x:c r="I51" s="87" t="n">
        <x:v>4</x:v>
      </x:c>
    </x:row>
    <x:row r="52">
      <x:c r="A52" s="85" t="n">
        <x:v>51</x:v>
      </x:c>
      <x:c r="B52" s="86" t="n">
        <x:v>410</x:v>
      </x:c>
      <x:c r="C52" s="95" t="n">
        <x:v>45385</x:v>
      </x:c>
      <x:c r="D52" s="95" t="n">
        <x:v>45389</x:v>
      </x:c>
      <x:c r="E52" s="86" t="str">
        <x:v>Consulta médica</x:v>
      </x:c>
      <x:c r="F52" s="86" t="n">
        <x:v>40</x:v>
      </x:c>
      <x:c r="G52" s="86" t="n">
        <x:v>1</x:v>
      </x:c>
      <x:c r="H52" s="91" t="n">
        <x:v>601.47</x:v>
      </x:c>
      <x:c r="I52" s="87" t="n">
        <x:v>2</x:v>
      </x:c>
    </x:row>
    <x:row r="53">
      <x:c r="A53" s="85" t="n">
        <x:v>52</x:v>
      </x:c>
      <x:c r="B53" s="86" t="n">
        <x:v>300</x:v>
      </x:c>
      <x:c r="C53" s="95" t="n">
        <x:v>45454</x:v>
      </x:c>
      <x:c r="D53" s="95" t="n">
        <x:v>45454</x:v>
      </x:c>
      <x:c r="E53" s="86" t="str">
        <x:v>Atraso</x:v>
      </x:c>
      <x:c r="F53" s="86" t="n">
        <x:v>3</x:v>
      </x:c>
      <x:c r="G53" s="86" t="n">
        <x:v>1</x:v>
      </x:c>
      <x:c r="H53" s="91" t="n">
        <x:v>67.86</x:v>
      </x:c>
      <x:c r="I53" s="87" t="n">
        <x:v>8</x:v>
      </x:c>
    </x:row>
    <x:row r="54">
      <x:c r="A54" s="85" t="n">
        <x:v>53</x:v>
      </x:c>
      <x:c r="B54" s="86" t="n">
        <x:v>354</x:v>
      </x:c>
      <x:c r="C54" s="95" t="n">
        <x:v>45798</x:v>
      </x:c>
      <x:c r="D54" s="95" t="n">
        <x:v>45798</x:v>
      </x:c>
      <x:c r="E54" s="86" t="str">
        <x:v>Consulta médica</x:v>
      </x:c>
      <x:c r="F54" s="86" t="n">
        <x:v>8</x:v>
      </x:c>
      <x:c r="G54" s="86" t="n">
        <x:v>1</x:v>
      </x:c>
      <x:c r="H54" s="91" t="n">
        <x:v>545.81</x:v>
      </x:c>
      <x:c r="I54" s="87" t="n">
        <x:v>9</x:v>
      </x:c>
    </x:row>
    <x:row r="55">
      <x:c r="A55" s="85" t="n">
        <x:v>54</x:v>
      </x:c>
      <x:c r="B55" s="86" t="n">
        <x:v>15</x:v>
      </x:c>
      <x:c r="C55" s="95" t="n">
        <x:v>45488</x:v>
      </x:c>
      <x:c r="D55" s="95" t="n">
        <x:v>45488</x:v>
      </x:c>
      <x:c r="E55" s="86" t="str">
        <x:v>Atraso</x:v>
      </x:c>
      <x:c r="F55" s="86" t="n">
        <x:v>1</x:v>
      </x:c>
      <x:c r="G55" s="86" t="n">
        <x:v>1</x:v>
      </x:c>
      <x:c r="H55" s="91" t="n">
        <x:v>45.24</x:v>
      </x:c>
      <x:c r="I55" s="87" t="n">
        <x:v>2</x:v>
      </x:c>
    </x:row>
    <x:row r="56">
      <x:c r="A56" s="85" t="n">
        <x:v>55</x:v>
      </x:c>
      <x:c r="B56" s="86" t="n">
        <x:v>311</x:v>
      </x:c>
      <x:c r="C56" s="95" t="n">
        <x:v>45494</x:v>
      </x:c>
      <x:c r="D56" s="95" t="n">
        <x:v>45498</x:v>
      </x:c>
      <x:c r="E56" s="86" t="str">
        <x:v>Atestado médico</x:v>
      </x:c>
      <x:c r="F56" s="86" t="n">
        <x:v>40</x:v>
      </x:c>
      <x:c r="G56" s="86" t="n">
        <x:v>1</x:v>
      </x:c>
      <x:c r="H56" s="91" t="n">
        <x:v>2957.05</x:v>
      </x:c>
      <x:c r="I56" s="87" t="n">
        <x:v>5</x:v>
      </x:c>
    </x:row>
    <x:row r="57">
      <x:c r="A57" s="85" t="n">
        <x:v>56</x:v>
      </x:c>
      <x:c r="B57" s="86" t="n">
        <x:v>98</x:v>
      </x:c>
      <x:c r="C57" s="95" t="n">
        <x:v>45602</x:v>
      </x:c>
      <x:c r="D57" s="95" t="n">
        <x:v>45602</x:v>
      </x:c>
      <x:c r="E57" s="86" t="str">
        <x:v>Atraso</x:v>
      </x:c>
      <x:c r="F57" s="86" t="n">
        <x:v>3</x:v>
      </x:c>
      <x:c r="G57" s="86" t="n">
        <x:v>1</x:v>
      </x:c>
      <x:c r="H57" s="91" t="n">
        <x:v>115.48</x:v>
      </x:c>
      <x:c r="I57" s="87" t="n">
        <x:v>1</x:v>
      </x:c>
    </x:row>
    <x:row r="58">
      <x:c r="A58" s="85" t="n">
        <x:v>57</x:v>
      </x:c>
      <x:c r="B58" s="86" t="n">
        <x:v>147</x:v>
      </x:c>
      <x:c r="C58" s="95" t="n">
        <x:v>45919</x:v>
      </x:c>
      <x:c r="D58" s="95" t="n">
        <x:v>45921</x:v>
      </x:c>
      <x:c r="E58" s="86" t="str">
        <x:v>Consulta médica</x:v>
      </x:c>
      <x:c r="F58" s="86" t="n">
        <x:v>24</x:v>
      </x:c>
      <x:c r="G58" s="86" t="n">
        <x:v>1</x:v>
      </x:c>
      <x:c r="H58" s="91" t="n">
        <x:v>1324.99</x:v>
      </x:c>
      <x:c r="I58" s="87" t="n">
        <x:v>7</x:v>
      </x:c>
    </x:row>
    <x:row r="59">
      <x:c r="A59" s="85" t="n">
        <x:v>58</x:v>
      </x:c>
      <x:c r="B59" s="86" t="n">
        <x:v>59</x:v>
      </x:c>
      <x:c r="C59" s="95" t="n">
        <x:v>45673</x:v>
      </x:c>
      <x:c r="D59" s="95" t="n">
        <x:v>45674</x:v>
      </x:c>
      <x:c r="E59" s="86" t="str">
        <x:v>Atestado médico</x:v>
      </x:c>
      <x:c r="F59" s="86" t="n">
        <x:v>16</x:v>
      </x:c>
      <x:c r="G59" s="86" t="n">
        <x:v>1</x:v>
      </x:c>
      <x:c r="H59" s="91" t="n">
        <x:v>425.87</x:v>
      </x:c>
      <x:c r="I59" s="87" t="n">
        <x:v>9</x:v>
      </x:c>
    </x:row>
    <x:row r="60">
      <x:c r="A60" s="85" t="n">
        <x:v>59</x:v>
      </x:c>
      <x:c r="B60" s="86" t="n">
        <x:v>334</x:v>
      </x:c>
      <x:c r="C60" s="95" t="n">
        <x:v>45679</x:v>
      </x:c>
      <x:c r="D60" s="95" t="n">
        <x:v>45680</x:v>
      </x:c>
      <x:c r="E60" s="86" t="str">
        <x:v>Falta não justificada</x:v>
      </x:c>
      <x:c r="F60" s="86" t="n">
        <x:v>16</x:v>
      </x:c>
      <x:c r="G60" s="86" t="n">
        <x:v>0</x:v>
      </x:c>
      <x:c r="H60" s="91" t="n">
        <x:v>534.45</x:v>
      </x:c>
      <x:c r="I60" s="87" t="n">
        <x:v>5</x:v>
      </x:c>
    </x:row>
    <x:row r="61">
      <x:c r="A61" s="85" t="n">
        <x:v>60</x:v>
      </x:c>
      <x:c r="B61" s="86" t="n">
        <x:v>46</x:v>
      </x:c>
      <x:c r="C61" s="95" t="n">
        <x:v>45695</x:v>
      </x:c>
      <x:c r="D61" s="95" t="n">
        <x:v>45695</x:v>
      </x:c>
      <x:c r="E61" s="86" t="str">
        <x:v>Atraso</x:v>
      </x:c>
      <x:c r="F61" s="86" t="n">
        <x:v>1</x:v>
      </x:c>
      <x:c r="G61" s="86" t="n">
        <x:v>1</x:v>
      </x:c>
      <x:c r="H61" s="91" t="n">
        <x:v>13.13</x:v>
      </x:c>
      <x:c r="I61" s="87" t="n">
        <x:v>1</x:v>
      </x:c>
    </x:row>
    <x:row r="62">
      <x:c r="A62" s="85" t="n">
        <x:v>61</x:v>
      </x:c>
      <x:c r="B62" s="86" t="n">
        <x:v>84</x:v>
      </x:c>
      <x:c r="C62" s="95" t="n">
        <x:v>45989</x:v>
      </x:c>
      <x:c r="D62" s="95" t="n">
        <x:v>45989</x:v>
      </x:c>
      <x:c r="E62" s="86" t="str">
        <x:v>Atestado médico</x:v>
      </x:c>
      <x:c r="F62" s="86" t="n">
        <x:v>2</x:v>
      </x:c>
      <x:c r="G62" s="86" t="n">
        <x:v>1</x:v>
      </x:c>
      <x:c r="H62" s="91" t="n">
        <x:v>50.67</x:v>
      </x:c>
      <x:c r="I62" s="87" t="n">
        <x:v>4</x:v>
      </x:c>
    </x:row>
    <x:row r="63">
      <x:c r="A63" s="85" t="n">
        <x:v>62</x:v>
      </x:c>
      <x:c r="B63" s="86" t="n">
        <x:v>225</x:v>
      </x:c>
      <x:c r="C63" s="95" t="n">
        <x:v>45713</x:v>
      </x:c>
      <x:c r="D63" s="95" t="n">
        <x:v>45713</x:v>
      </x:c>
      <x:c r="E63" s="86" t="str">
        <x:v>Atraso</x:v>
      </x:c>
      <x:c r="F63" s="86" t="n">
        <x:v>2</x:v>
      </x:c>
      <x:c r="G63" s="86" t="n">
        <x:v>1</x:v>
      </x:c>
      <x:c r="H63" s="91" t="n">
        <x:v>29.53</x:v>
      </x:c>
      <x:c r="I63" s="87" t="n">
        <x:v>1</x:v>
      </x:c>
    </x:row>
    <x:row r="64">
      <x:c r="A64" s="85" t="n">
        <x:v>63</x:v>
      </x:c>
      <x:c r="B64" s="86" t="n">
        <x:v>273</x:v>
      </x:c>
      <x:c r="C64" s="95" t="n">
        <x:v>45557</x:v>
      </x:c>
      <x:c r="D64" s="95" t="n">
        <x:v>45557</x:v>
      </x:c>
      <x:c r="E64" s="86" t="str">
        <x:v>Atestado médico</x:v>
      </x:c>
      <x:c r="F64" s="86" t="n">
        <x:v>1</x:v>
      </x:c>
      <x:c r="G64" s="86" t="n">
        <x:v>1</x:v>
      </x:c>
      <x:c r="H64" s="91" t="n">
        <x:v>29.52</x:v>
      </x:c>
      <x:c r="I64" s="87" t="n">
        <x:v>4</x:v>
      </x:c>
    </x:row>
    <x:row r="65">
      <x:c r="A65" s="85" t="n">
        <x:v>64</x:v>
      </x:c>
      <x:c r="B65" s="86" t="n">
        <x:v>314</x:v>
      </x:c>
      <x:c r="C65" s="95" t="n">
        <x:v>45976</x:v>
      </x:c>
      <x:c r="D65" s="95" t="n">
        <x:v>45978</x:v>
      </x:c>
      <x:c r="E65" s="86" t="str">
        <x:v>Consulta médica</x:v>
      </x:c>
      <x:c r="F65" s="86" t="n">
        <x:v>24</x:v>
      </x:c>
      <x:c r="G65" s="86" t="n">
        <x:v>1</x:v>
      </x:c>
      <x:c r="H65" s="91" t="n">
        <x:v>509.07</x:v>
      </x:c>
      <x:c r="I65" s="87" t="n">
        <x:v>8</x:v>
      </x:c>
    </x:row>
    <x:row r="66">
      <x:c r="A66" s="85" t="n">
        <x:v>65</x:v>
      </x:c>
      <x:c r="B66" s="86" t="n">
        <x:v>244</x:v>
      </x:c>
      <x:c r="C66" s="95" t="n">
        <x:v>45888</x:v>
      </x:c>
      <x:c r="D66" s="95" t="n">
        <x:v>45888</x:v>
      </x:c>
      <x:c r="E66" s="86" t="str">
        <x:v>Falta não justificada</x:v>
      </x:c>
      <x:c r="F66" s="86" t="n">
        <x:v>8</x:v>
      </x:c>
      <x:c r="G66" s="86" t="n">
        <x:v>0</x:v>
      </x:c>
      <x:c r="H66" s="91" t="n">
        <x:v>122.98</x:v>
      </x:c>
      <x:c r="I66" s="87" t="n">
        <x:v>1</x:v>
      </x:c>
    </x:row>
    <x:row r="67">
      <x:c r="A67" s="85" t="n">
        <x:v>66</x:v>
      </x:c>
      <x:c r="B67" s="86" t="n">
        <x:v>159</x:v>
      </x:c>
      <x:c r="C67" s="95" t="n">
        <x:v>45624</x:v>
      </x:c>
      <x:c r="D67" s="95" t="n">
        <x:v>45624</x:v>
      </x:c>
      <x:c r="E67" s="86" t="str">
        <x:v>Consulta médica</x:v>
      </x:c>
      <x:c r="F67" s="86" t="n">
        <x:v>4</x:v>
      </x:c>
      <x:c r="G67" s="86" t="n">
        <x:v>1</x:v>
      </x:c>
      <x:c r="H67" s="91" t="n">
        <x:v>128.29</x:v>
      </x:c>
      <x:c r="I67" s="87" t="n">
        <x:v>10</x:v>
      </x:c>
    </x:row>
    <x:row r="68">
      <x:c r="A68" s="85" t="n">
        <x:v>67</x:v>
      </x:c>
      <x:c r="B68" s="86" t="n">
        <x:v>94</x:v>
      </x:c>
      <x:c r="C68" s="95" t="n">
        <x:v>45695</x:v>
      </x:c>
      <x:c r="D68" s="95" t="n">
        <x:v>45695</x:v>
      </x:c>
      <x:c r="E68" s="86" t="str">
        <x:v>Atestado médico</x:v>
      </x:c>
      <x:c r="F68" s="86" t="n">
        <x:v>1</x:v>
      </x:c>
      <x:c r="G68" s="86" t="n">
        <x:v>1</x:v>
      </x:c>
      <x:c r="H68" s="91" t="n">
        <x:v>69.52</x:v>
      </x:c>
      <x:c r="I68" s="87" t="n">
        <x:v>5</x:v>
      </x:c>
    </x:row>
    <x:row r="69">
      <x:c r="A69" s="85" t="n">
        <x:v>68</x:v>
      </x:c>
      <x:c r="B69" s="86" t="n">
        <x:v>211</x:v>
      </x:c>
      <x:c r="C69" s="95" t="n">
        <x:v>45955</x:v>
      </x:c>
      <x:c r="D69" s="95" t="n">
        <x:v>45955</x:v>
      </x:c>
      <x:c r="E69" s="86" t="str">
        <x:v>Atraso</x:v>
      </x:c>
      <x:c r="F69" s="86" t="n">
        <x:v>3</x:v>
      </x:c>
      <x:c r="G69" s="86" t="n">
        <x:v>1</x:v>
      </x:c>
      <x:c r="H69" s="91" t="n">
        <x:v>30.98</x:v>
      </x:c>
      <x:c r="I69" s="87" t="n">
        <x:v>1</x:v>
      </x:c>
    </x:row>
    <x:row r="70">
      <x:c r="A70" s="85" t="n">
        <x:v>69</x:v>
      </x:c>
      <x:c r="B70" s="86" t="n">
        <x:v>374</x:v>
      </x:c>
      <x:c r="C70" s="95" t="n">
        <x:v>45332</x:v>
      </x:c>
      <x:c r="D70" s="95" t="n">
        <x:v>45332</x:v>
      </x:c>
      <x:c r="E70" s="86" t="str">
        <x:v>Atraso</x:v>
      </x:c>
      <x:c r="F70" s="86" t="n">
        <x:v>1</x:v>
      </x:c>
      <x:c r="G70" s="86" t="n">
        <x:v>1</x:v>
      </x:c>
      <x:c r="H70" s="91" t="n">
        <x:v>11.76</x:v>
      </x:c>
      <x:c r="I70" s="87" t="n">
        <x:v>1</x:v>
      </x:c>
    </x:row>
    <x:row r="71">
      <x:c r="A71" s="85" t="n">
        <x:v>70</x:v>
      </x:c>
      <x:c r="B71" s="86" t="n">
        <x:v>332</x:v>
      </x:c>
      <x:c r="C71" s="95" t="n">
        <x:v>45827</x:v>
      </x:c>
      <x:c r="D71" s="95" t="n">
        <x:v>45827</x:v>
      </x:c>
      <x:c r="E71" s="86" t="str">
        <x:v>Atestado médico</x:v>
      </x:c>
      <x:c r="F71" s="86" t="n">
        <x:v>1</x:v>
      </x:c>
      <x:c r="G71" s="86" t="n">
        <x:v>1</x:v>
      </x:c>
      <x:c r="H71" s="91" t="n">
        <x:v>37.3</x:v>
      </x:c>
      <x:c r="I71" s="87" t="n">
        <x:v>5</x:v>
      </x:c>
    </x:row>
    <x:row r="72">
      <x:c r="A72" s="85" t="n">
        <x:v>71</x:v>
      </x:c>
      <x:c r="B72" s="86" t="n">
        <x:v>177</x:v>
      </x:c>
      <x:c r="C72" s="95" t="n">
        <x:v>45989</x:v>
      </x:c>
      <x:c r="D72" s="95" t="n">
        <x:v>45989</x:v>
      </x:c>
      <x:c r="E72" s="86" t="str">
        <x:v>Atraso</x:v>
      </x:c>
      <x:c r="F72" s="86" t="n">
        <x:v>2</x:v>
      </x:c>
      <x:c r="G72" s="86" t="n">
        <x:v>1</x:v>
      </x:c>
      <x:c r="H72" s="91" t="n">
        <x:v>80.79</x:v>
      </x:c>
      <x:c r="I72" s="87" t="n">
        <x:v>3</x:v>
      </x:c>
    </x:row>
    <x:row r="73">
      <x:c r="A73" s="85" t="n">
        <x:v>72</x:v>
      </x:c>
      <x:c r="B73" s="86" t="n">
        <x:v>198</x:v>
      </x:c>
      <x:c r="C73" s="95" t="n">
        <x:v>45843</x:v>
      </x:c>
      <x:c r="D73" s="95" t="n">
        <x:v>45845</x:v>
      </x:c>
      <x:c r="E73" s="86" t="str">
        <x:v>Falta não justificada</x:v>
      </x:c>
      <x:c r="F73" s="86" t="n">
        <x:v>24</x:v>
      </x:c>
      <x:c r="G73" s="86" t="n">
        <x:v>0</x:v>
      </x:c>
      <x:c r="H73" s="91" t="n">
        <x:v>1000.1</x:v>
      </x:c>
      <x:c r="I73" s="87" t="n">
        <x:v>5</x:v>
      </x:c>
    </x:row>
    <x:row r="74">
      <x:c r="A74" s="85" t="n">
        <x:v>73</x:v>
      </x:c>
      <x:c r="B74" s="86" t="n">
        <x:v>116</x:v>
      </x:c>
      <x:c r="C74" s="95" t="n">
        <x:v>45909</x:v>
      </x:c>
      <x:c r="D74" s="95" t="n">
        <x:v>45910</x:v>
      </x:c>
      <x:c r="E74" s="86" t="str">
        <x:v>Consulta médica</x:v>
      </x:c>
      <x:c r="F74" s="86" t="n">
        <x:v>16</x:v>
      </x:c>
      <x:c r="G74" s="86" t="n">
        <x:v>1</x:v>
      </x:c>
      <x:c r="H74" s="91" t="n">
        <x:v>1088.35</x:v>
      </x:c>
      <x:c r="I74" s="87" t="n">
        <x:v>6</x:v>
      </x:c>
    </x:row>
    <x:row r="75">
      <x:c r="A75" s="85" t="n">
        <x:v>74</x:v>
      </x:c>
      <x:c r="B75" s="86" t="n">
        <x:v>339</x:v>
      </x:c>
      <x:c r="C75" s="95" t="n">
        <x:v>45962</x:v>
      </x:c>
      <x:c r="D75" s="95" t="n">
        <x:v>45964</x:v>
      </x:c>
      <x:c r="E75" s="86" t="str">
        <x:v>Consulta médica</x:v>
      </x:c>
      <x:c r="F75" s="86" t="n">
        <x:v>24</x:v>
      </x:c>
      <x:c r="G75" s="86" t="n">
        <x:v>1</x:v>
      </x:c>
      <x:c r="H75" s="91" t="n">
        <x:v>692.65</x:v>
      </x:c>
      <x:c r="I75" s="87" t="n">
        <x:v>7</x:v>
      </x:c>
    </x:row>
    <x:row r="76">
      <x:c r="A76" s="85" t="n">
        <x:v>75</x:v>
      </x:c>
      <x:c r="B76" s="86" t="n">
        <x:v>407</x:v>
      </x:c>
      <x:c r="C76" s="95" t="n">
        <x:v>45989</x:v>
      </x:c>
      <x:c r="D76" s="95" t="n">
        <x:v>45989</x:v>
      </x:c>
      <x:c r="E76" s="86" t="str">
        <x:v>Atraso</x:v>
      </x:c>
      <x:c r="F76" s="86" t="n">
        <x:v>2</x:v>
      </x:c>
      <x:c r="G76" s="86" t="n">
        <x:v>1</x:v>
      </x:c>
      <x:c r="H76" s="91" t="n">
        <x:v>87.71</x:v>
      </x:c>
      <x:c r="I76" s="87" t="n">
        <x:v>5</x:v>
      </x:c>
    </x:row>
    <x:row r="77">
      <x:c r="A77" s="85" t="n">
        <x:v>76</x:v>
      </x:c>
      <x:c r="B77" s="86" t="n">
        <x:v>223</x:v>
      </x:c>
      <x:c r="C77" s="95" t="n">
        <x:v>45893</x:v>
      </x:c>
      <x:c r="D77" s="95" t="n">
        <x:v>45893</x:v>
      </x:c>
      <x:c r="E77" s="86" t="str">
        <x:v>Falta não justificada</x:v>
      </x:c>
      <x:c r="F77" s="86" t="n">
        <x:v>2</x:v>
      </x:c>
      <x:c r="G77" s="86" t="n">
        <x:v>0</x:v>
      </x:c>
      <x:c r="H77" s="91" t="n">
        <x:v>30.24</x:v>
      </x:c>
      <x:c r="I77" s="87" t="n">
        <x:v>2</x:v>
      </x:c>
    </x:row>
    <x:row r="78">
      <x:c r="A78" s="85" t="n">
        <x:v>77</x:v>
      </x:c>
      <x:c r="B78" s="86" t="n">
        <x:v>17</x:v>
      </x:c>
      <x:c r="C78" s="95" t="n">
        <x:v>46019</x:v>
      </x:c>
      <x:c r="D78" s="95" t="n">
        <x:v>46019</x:v>
      </x:c>
      <x:c r="E78" s="86" t="str">
        <x:v>Atraso</x:v>
      </x:c>
      <x:c r="F78" s="86" t="n">
        <x:v>3</x:v>
      </x:c>
      <x:c r="G78" s="86" t="n">
        <x:v>1</x:v>
      </x:c>
      <x:c r="H78" s="91" t="n">
        <x:v>102.9</x:v>
      </x:c>
      <x:c r="I78" s="87" t="n">
        <x:v>8</x:v>
      </x:c>
    </x:row>
    <x:row r="79">
      <x:c r="A79" s="85" t="n">
        <x:v>78</x:v>
      </x:c>
      <x:c r="B79" s="86" t="n">
        <x:v>250</x:v>
      </x:c>
      <x:c r="C79" s="95" t="n">
        <x:v>45947</x:v>
      </x:c>
      <x:c r="D79" s="95" t="n">
        <x:v>45948</x:v>
      </x:c>
      <x:c r="E79" s="86" t="str">
        <x:v>Consulta médica</x:v>
      </x:c>
      <x:c r="F79" s="86" t="n">
        <x:v>16</x:v>
      </x:c>
      <x:c r="G79" s="86" t="n">
        <x:v>1</x:v>
      </x:c>
      <x:c r="H79" s="91" t="n">
        <x:v>360.53</x:v>
      </x:c>
      <x:c r="I79" s="87" t="n">
        <x:v>10</x:v>
      </x:c>
    </x:row>
    <x:row r="80">
      <x:c r="A80" s="85" t="n">
        <x:v>79</x:v>
      </x:c>
      <x:c r="B80" s="86" t="n">
        <x:v>23</x:v>
      </x:c>
      <x:c r="C80" s="95" t="n">
        <x:v>45911</x:v>
      </x:c>
      <x:c r="D80" s="95" t="n">
        <x:v>45911</x:v>
      </x:c>
      <x:c r="E80" s="86" t="str">
        <x:v>Falta não justificada</x:v>
      </x:c>
      <x:c r="F80" s="86" t="n">
        <x:v>1</x:v>
      </x:c>
      <x:c r="G80" s="86" t="n">
        <x:v>0</x:v>
      </x:c>
      <x:c r="H80" s="91" t="n">
        <x:v>44.42</x:v>
      </x:c>
      <x:c r="I80" s="87" t="n">
        <x:v>5</x:v>
      </x:c>
    </x:row>
    <x:row r="81">
      <x:c r="A81" s="85" t="n">
        <x:v>80</x:v>
      </x:c>
      <x:c r="B81" s="86" t="n">
        <x:v>272</x:v>
      </x:c>
      <x:c r="C81" s="95" t="n">
        <x:v>45851</x:v>
      </x:c>
      <x:c r="D81" s="95" t="n">
        <x:v>45855</x:v>
      </x:c>
      <x:c r="E81" s="86" t="str">
        <x:v>Atestado médico</x:v>
      </x:c>
      <x:c r="F81" s="86" t="n">
        <x:v>40</x:v>
      </x:c>
      <x:c r="G81" s="86" t="n">
        <x:v>1</x:v>
      </x:c>
      <x:c r="H81" s="91" t="n">
        <x:v>1167.96</x:v>
      </x:c>
      <x:c r="I81" s="87" t="n">
        <x:v>10</x:v>
      </x:c>
    </x:row>
    <x:row r="82">
      <x:c r="A82" s="85" t="n">
        <x:v>81</x:v>
      </x:c>
      <x:c r="B82" s="86" t="n">
        <x:v>34</x:v>
      </x:c>
      <x:c r="C82" s="95" t="n">
        <x:v>45880</x:v>
      </x:c>
      <x:c r="D82" s="95" t="n">
        <x:v>45880</x:v>
      </x:c>
      <x:c r="E82" s="86" t="str">
        <x:v>Atraso</x:v>
      </x:c>
      <x:c r="F82" s="86" t="n">
        <x:v>2</x:v>
      </x:c>
      <x:c r="G82" s="86" t="n">
        <x:v>1</x:v>
      </x:c>
      <x:c r="H82" s="91" t="n">
        <x:v>24.78</x:v>
      </x:c>
      <x:c r="I82" s="87" t="n">
        <x:v>1</x:v>
      </x:c>
    </x:row>
    <x:row r="83">
      <x:c r="A83" s="85" t="n">
        <x:v>82</x:v>
      </x:c>
      <x:c r="B83" s="86" t="n">
        <x:v>7</x:v>
      </x:c>
      <x:c r="C83" s="95" t="n">
        <x:v>45645</x:v>
      </x:c>
      <x:c r="D83" s="95" t="n">
        <x:v>45645</x:v>
      </x:c>
      <x:c r="E83" s="86" t="str">
        <x:v>Licença</x:v>
      </x:c>
      <x:c r="F83" s="86" t="n">
        <x:v>1</x:v>
      </x:c>
      <x:c r="G83" s="86" t="n">
        <x:v>1</x:v>
      </x:c>
      <x:c r="H83" s="91" t="n">
        <x:v>12.05</x:v>
      </x:c>
      <x:c r="I83" s="87" t="n">
        <x:v>1</x:v>
      </x:c>
    </x:row>
    <x:row r="84">
      <x:c r="A84" s="85" t="n">
        <x:v>83</x:v>
      </x:c>
      <x:c r="B84" s="86" t="n">
        <x:v>263</x:v>
      </x:c>
      <x:c r="C84" s="95" t="n">
        <x:v>45369</x:v>
      </x:c>
      <x:c r="D84" s="95" t="n">
        <x:v>45369</x:v>
      </x:c>
      <x:c r="E84" s="86" t="str">
        <x:v>Atraso</x:v>
      </x:c>
      <x:c r="F84" s="86" t="n">
        <x:v>3</x:v>
      </x:c>
      <x:c r="G84" s="86" t="n">
        <x:v>1</x:v>
      </x:c>
      <x:c r="H84" s="91" t="n">
        <x:v>76.77</x:v>
      </x:c>
      <x:c r="I84" s="87" t="n">
        <x:v>10</x:v>
      </x:c>
    </x:row>
    <x:row r="85">
      <x:c r="A85" s="85" t="n">
        <x:v>84</x:v>
      </x:c>
      <x:c r="B85" s="86" t="n">
        <x:v>22</x:v>
      </x:c>
      <x:c r="C85" s="95" t="n">
        <x:v>45492</x:v>
      </x:c>
      <x:c r="D85" s="95" t="n">
        <x:v>45494</x:v>
      </x:c>
      <x:c r="E85" s="86" t="str">
        <x:v>Atestado médico</x:v>
      </x:c>
      <x:c r="F85" s="86" t="n">
        <x:v>24</x:v>
      </x:c>
      <x:c r="G85" s="86" t="n">
        <x:v>1</x:v>
      </x:c>
      <x:c r="H85" s="91" t="n">
        <x:v>992.56</x:v>
      </x:c>
      <x:c r="I85" s="87" t="n">
        <x:v>9</x:v>
      </x:c>
    </x:row>
    <x:row r="86">
      <x:c r="A86" s="85" t="n">
        <x:v>85</x:v>
      </x:c>
      <x:c r="B86" s="86" t="n">
        <x:v>237</x:v>
      </x:c>
      <x:c r="C86" s="95" t="n">
        <x:v>45827</x:v>
      </x:c>
      <x:c r="D86" s="95" t="n">
        <x:v>45827</x:v>
      </x:c>
      <x:c r="E86" s="86" t="str">
        <x:v>Consulta médica</x:v>
      </x:c>
      <x:c r="F86" s="86" t="n">
        <x:v>1</x:v>
      </x:c>
      <x:c r="G86" s="86" t="n">
        <x:v>1</x:v>
      </x:c>
      <x:c r="H86" s="91" t="n">
        <x:v>42.27</x:v>
      </x:c>
      <x:c r="I86" s="87" t="n">
        <x:v>4</x:v>
      </x:c>
    </x:row>
    <x:row r="87">
      <x:c r="A87" s="85" t="n">
        <x:v>86</x:v>
      </x:c>
      <x:c r="B87" s="86" t="n">
        <x:v>91</x:v>
      </x:c>
      <x:c r="C87" s="95" t="n">
        <x:v>45828</x:v>
      </x:c>
      <x:c r="D87" s="95" t="n">
        <x:v>45828</x:v>
      </x:c>
      <x:c r="E87" s="86" t="str">
        <x:v>Atraso</x:v>
      </x:c>
      <x:c r="F87" s="86" t="n">
        <x:v>1</x:v>
      </x:c>
      <x:c r="G87" s="86" t="n">
        <x:v>1</x:v>
      </x:c>
      <x:c r="H87" s="91" t="n">
        <x:v>35.8</x:v>
      </x:c>
      <x:c r="I87" s="87" t="n">
        <x:v>1</x:v>
      </x:c>
    </x:row>
    <x:row r="88">
      <x:c r="A88" s="85" t="n">
        <x:v>87</x:v>
      </x:c>
      <x:c r="B88" s="86" t="n">
        <x:v>250</x:v>
      </x:c>
      <x:c r="C88" s="95" t="n">
        <x:v>45865</x:v>
      </x:c>
      <x:c r="D88" s="95" t="n">
        <x:v>45865</x:v>
      </x:c>
      <x:c r="E88" s="86" t="str">
        <x:v>Atestado médico</x:v>
      </x:c>
      <x:c r="F88" s="86" t="n">
        <x:v>8</x:v>
      </x:c>
      <x:c r="G88" s="86" t="n">
        <x:v>1</x:v>
      </x:c>
      <x:c r="H88" s="91" t="n">
        <x:v>180.26</x:v>
      </x:c>
      <x:c r="I88" s="87" t="n">
        <x:v>10</x:v>
      </x:c>
    </x:row>
    <x:row r="89">
      <x:c r="A89" s="85" t="n">
        <x:v>88</x:v>
      </x:c>
      <x:c r="B89" s="86" t="n">
        <x:v>346</x:v>
      </x:c>
      <x:c r="C89" s="95" t="n">
        <x:v>45645</x:v>
      </x:c>
      <x:c r="D89" s="95" t="n">
        <x:v>45645</x:v>
      </x:c>
      <x:c r="E89" s="86" t="str">
        <x:v>Atraso</x:v>
      </x:c>
      <x:c r="F89" s="86" t="n">
        <x:v>2</x:v>
      </x:c>
      <x:c r="G89" s="86" t="n">
        <x:v>1</x:v>
      </x:c>
      <x:c r="H89" s="91" t="n">
        <x:v>58.28</x:v>
      </x:c>
      <x:c r="I89" s="87" t="n">
        <x:v>9</x:v>
      </x:c>
    </x:row>
    <x:row r="90">
      <x:c r="A90" s="85" t="n">
        <x:v>89</x:v>
      </x:c>
      <x:c r="B90" s="86" t="n">
        <x:v>367</x:v>
      </x:c>
      <x:c r="C90" s="95" t="n">
        <x:v>46002</x:v>
      </x:c>
      <x:c r="D90" s="95" t="n">
        <x:v>46003</x:v>
      </x:c>
      <x:c r="E90" s="86" t="str">
        <x:v>Consulta médica</x:v>
      </x:c>
      <x:c r="F90" s="86" t="n">
        <x:v>16</x:v>
      </x:c>
      <x:c r="G90" s="86" t="n">
        <x:v>1</x:v>
      </x:c>
      <x:c r="H90" s="91" t="n">
        <x:v>269.69</x:v>
      </x:c>
      <x:c r="I90" s="87" t="n">
        <x:v>3</x:v>
      </x:c>
    </x:row>
    <x:row r="91">
      <x:c r="A91" s="85" t="n">
        <x:v>90</x:v>
      </x:c>
      <x:c r="B91" s="86" t="n">
        <x:v>19</x:v>
      </x:c>
      <x:c r="C91" s="95" t="n">
        <x:v>45498</x:v>
      </x:c>
      <x:c r="D91" s="95" t="n">
        <x:v>45498</x:v>
      </x:c>
      <x:c r="E91" s="86" t="str">
        <x:v>Atraso</x:v>
      </x:c>
      <x:c r="F91" s="86" t="n">
        <x:v>3</x:v>
      </x:c>
      <x:c r="G91" s="86" t="n">
        <x:v>1</x:v>
      </x:c>
      <x:c r="H91" s="91" t="n">
        <x:v>87.07</x:v>
      </x:c>
      <x:c r="I91" s="87" t="n">
        <x:v>7</x:v>
      </x:c>
    </x:row>
    <x:row r="92">
      <x:c r="A92" s="85" t="n">
        <x:v>91</x:v>
      </x:c>
      <x:c r="B92" s="86" t="n">
        <x:v>336</x:v>
      </x:c>
      <x:c r="C92" s="95" t="n">
        <x:v>45976</x:v>
      </x:c>
      <x:c r="D92" s="95" t="n">
        <x:v>45976</x:v>
      </x:c>
      <x:c r="E92" s="86" t="str">
        <x:v>Licença</x:v>
      </x:c>
      <x:c r="F92" s="86" t="n">
        <x:v>2</x:v>
      </x:c>
      <x:c r="G92" s="86" t="n">
        <x:v>1</x:v>
      </x:c>
      <x:c r="H92" s="91" t="n">
        <x:v>44.78</x:v>
      </x:c>
      <x:c r="I92" s="87" t="n">
        <x:v>4</x:v>
      </x:c>
    </x:row>
    <x:row r="93">
      <x:c r="A93" s="85" t="n">
        <x:v>92</x:v>
      </x:c>
      <x:c r="B93" s="86" t="n">
        <x:v>268</x:v>
      </x:c>
      <x:c r="C93" s="95" t="n">
        <x:v>45811</x:v>
      </x:c>
      <x:c r="D93" s="95" t="n">
        <x:v>45811</x:v>
      </x:c>
      <x:c r="E93" s="86" t="str">
        <x:v>Atraso</x:v>
      </x:c>
      <x:c r="F93" s="86" t="n">
        <x:v>2</x:v>
      </x:c>
      <x:c r="G93" s="86" t="n">
        <x:v>1</x:v>
      </x:c>
      <x:c r="H93" s="91" t="n">
        <x:v>38.97</x:v>
      </x:c>
      <x:c r="I93" s="87" t="n">
        <x:v>4</x:v>
      </x:c>
    </x:row>
    <x:row r="94">
      <x:c r="A94" s="85" t="n">
        <x:v>93</x:v>
      </x:c>
      <x:c r="B94" s="86" t="n">
        <x:v>113</x:v>
      </x:c>
      <x:c r="C94" s="95" t="n">
        <x:v>45696</x:v>
      </x:c>
      <x:c r="D94" s="95" t="n">
        <x:v>45696</x:v>
      </x:c>
      <x:c r="E94" s="86" t="str">
        <x:v>Atraso</x:v>
      </x:c>
      <x:c r="F94" s="86" t="n">
        <x:v>2</x:v>
      </x:c>
      <x:c r="G94" s="86" t="n">
        <x:v>1</x:v>
      </x:c>
      <x:c r="H94" s="91" t="n">
        <x:v>29.8</x:v>
      </x:c>
      <x:c r="I94" s="87" t="n">
        <x:v>1</x:v>
      </x:c>
    </x:row>
    <x:row r="95">
      <x:c r="A95" s="85" t="n">
        <x:v>94</x:v>
      </x:c>
      <x:c r="B95" s="86" t="n">
        <x:v>194</x:v>
      </x:c>
      <x:c r="C95" s="95" t="n">
        <x:v>45635</x:v>
      </x:c>
      <x:c r="D95" s="95" t="n">
        <x:v>45636</x:v>
      </x:c>
      <x:c r="E95" s="86" t="str">
        <x:v>Falta não justificada</x:v>
      </x:c>
      <x:c r="F95" s="86" t="n">
        <x:v>16</x:v>
      </x:c>
      <x:c r="G95" s="86" t="n">
        <x:v>0</x:v>
      </x:c>
      <x:c r="H95" s="91" t="n">
        <x:v>231.69</x:v>
      </x:c>
      <x:c r="I95" s="87" t="n">
        <x:v>1</x:v>
      </x:c>
    </x:row>
    <x:row r="96">
      <x:c r="A96" s="85" t="n">
        <x:v>95</x:v>
      </x:c>
      <x:c r="B96" s="86" t="n">
        <x:v>179</x:v>
      </x:c>
      <x:c r="C96" s="95" t="n">
        <x:v>45891</x:v>
      </x:c>
      <x:c r="D96" s="95" t="n">
        <x:v>45892</x:v>
      </x:c>
      <x:c r="E96" s="86" t="str">
        <x:v>Atestado médico</x:v>
      </x:c>
      <x:c r="F96" s="86" t="n">
        <x:v>16</x:v>
      </x:c>
      <x:c r="G96" s="86" t="n">
        <x:v>1</x:v>
      </x:c>
      <x:c r="H96" s="91" t="n">
        <x:v>527.41</x:v>
      </x:c>
      <x:c r="I96" s="87" t="n">
        <x:v>8</x:v>
      </x:c>
    </x:row>
    <x:row r="97">
      <x:c r="A97" s="85" t="n">
        <x:v>96</x:v>
      </x:c>
      <x:c r="B97" s="86" t="n">
        <x:v>206</x:v>
      </x:c>
      <x:c r="C97" s="95" t="n">
        <x:v>45528</x:v>
      </x:c>
      <x:c r="D97" s="95" t="n">
        <x:v>45528</x:v>
      </x:c>
      <x:c r="E97" s="86" t="str">
        <x:v>Atestado médico</x:v>
      </x:c>
      <x:c r="F97" s="86" t="n">
        <x:v>2</x:v>
      </x:c>
      <x:c r="G97" s="86" t="n">
        <x:v>1</x:v>
      </x:c>
      <x:c r="H97" s="91" t="n">
        <x:v>49.98</x:v>
      </x:c>
      <x:c r="I97" s="87" t="n">
        <x:v>6</x:v>
      </x:c>
    </x:row>
    <x:row r="98">
      <x:c r="A98" s="85" t="n">
        <x:v>97</x:v>
      </x:c>
      <x:c r="B98" s="86" t="n">
        <x:v>79</x:v>
      </x:c>
      <x:c r="C98" s="95" t="n">
        <x:v>45567</x:v>
      </x:c>
      <x:c r="D98" s="95" t="n">
        <x:v>45567</x:v>
      </x:c>
      <x:c r="E98" s="86" t="str">
        <x:v>Atraso</x:v>
      </x:c>
      <x:c r="F98" s="86" t="n">
        <x:v>1</x:v>
      </x:c>
      <x:c r="G98" s="86" t="n">
        <x:v>1</x:v>
      </x:c>
      <x:c r="H98" s="91" t="n">
        <x:v>25.74</x:v>
      </x:c>
      <x:c r="I98" s="87" t="n">
        <x:v>4</x:v>
      </x:c>
    </x:row>
    <x:row r="99">
      <x:c r="A99" s="85" t="n">
        <x:v>98</x:v>
      </x:c>
      <x:c r="B99" s="86" t="n">
        <x:v>187</x:v>
      </x:c>
      <x:c r="C99" s="95" t="n">
        <x:v>45982</x:v>
      </x:c>
      <x:c r="D99" s="95" t="n">
        <x:v>45982</x:v>
      </x:c>
      <x:c r="E99" s="86" t="str">
        <x:v>Falta não justificada</x:v>
      </x:c>
      <x:c r="F99" s="86" t="n">
        <x:v>8</x:v>
      </x:c>
      <x:c r="G99" s="86" t="n">
        <x:v>0</x:v>
      </x:c>
      <x:c r="H99" s="91" t="n">
        <x:v>162.96</x:v>
      </x:c>
      <x:c r="I99" s="87" t="n">
        <x:v>8</x:v>
      </x:c>
    </x:row>
    <x:row r="100">
      <x:c r="A100" s="85" t="n">
        <x:v>99</x:v>
      </x:c>
      <x:c r="B100" s="86" t="n">
        <x:v>13</x:v>
      </x:c>
      <x:c r="C100" s="95" t="n">
        <x:v>45888</x:v>
      </x:c>
      <x:c r="D100" s="95" t="n">
        <x:v>45888</x:v>
      </x:c>
      <x:c r="E100" s="86" t="str">
        <x:v>Atraso</x:v>
      </x:c>
      <x:c r="F100" s="86" t="n">
        <x:v>3</x:v>
      </x:c>
      <x:c r="G100" s="86" t="n">
        <x:v>1</x:v>
      </x:c>
      <x:c r="H100" s="91" t="n">
        <x:v>262.94</x:v>
      </x:c>
      <x:c r="I100" s="87" t="n">
        <x:v>9</x:v>
      </x:c>
    </x:row>
    <x:row r="101">
      <x:c r="A101" s="85" t="n">
        <x:v>100</x:v>
      </x:c>
      <x:c r="B101" s="86" t="n">
        <x:v>160</x:v>
      </x:c>
      <x:c r="C101" s="95" t="n">
        <x:v>45819</x:v>
      </x:c>
      <x:c r="D101" s="95" t="n">
        <x:v>45820</x:v>
      </x:c>
      <x:c r="E101" s="86" t="str">
        <x:v>Atestado médico</x:v>
      </x:c>
      <x:c r="F101" s="86" t="n">
        <x:v>16</x:v>
      </x:c>
      <x:c r="G101" s="86" t="n">
        <x:v>1</x:v>
      </x:c>
      <x:c r="H101" s="91" t="n">
        <x:v>206.43</x:v>
      </x:c>
      <x:c r="I101" s="87" t="n">
        <x:v>8</x:v>
      </x:c>
    </x:row>
    <x:row r="102">
      <x:c r="A102" s="85" t="n">
        <x:v>101</x:v>
      </x:c>
      <x:c r="B102" s="86" t="n">
        <x:v>27</x:v>
      </x:c>
      <x:c r="C102" s="95" t="n">
        <x:v>45734</x:v>
      </x:c>
      <x:c r="D102" s="95" t="n">
        <x:v>45734</x:v>
      </x:c>
      <x:c r="E102" s="86" t="str">
        <x:v>Atestado médico</x:v>
      </x:c>
      <x:c r="F102" s="86" t="n">
        <x:v>4</x:v>
      </x:c>
      <x:c r="G102" s="86" t="n">
        <x:v>1</x:v>
      </x:c>
      <x:c r="H102" s="91" t="n">
        <x:v>86.76</x:v>
      </x:c>
      <x:c r="I102" s="87" t="n">
        <x:v>4</x:v>
      </x:c>
    </x:row>
    <x:row r="103">
      <x:c r="A103" s="85" t="n">
        <x:v>102</x:v>
      </x:c>
      <x:c r="B103" s="86" t="n">
        <x:v>256</x:v>
      </x:c>
      <x:c r="C103" s="95" t="n">
        <x:v>45990</x:v>
      </x:c>
      <x:c r="D103" s="95" t="n">
        <x:v>45990</x:v>
      </x:c>
      <x:c r="E103" s="86" t="str">
        <x:v>Consulta médica</x:v>
      </x:c>
      <x:c r="F103" s="86" t="n">
        <x:v>4</x:v>
      </x:c>
      <x:c r="G103" s="86" t="n">
        <x:v>1</x:v>
      </x:c>
      <x:c r="H103" s="91" t="n">
        <x:v>48.75</x:v>
      </x:c>
      <x:c r="I103" s="87" t="n">
        <x:v>1</x:v>
      </x:c>
    </x:row>
    <x:row r="104">
      <x:c r="A104" s="85" t="n">
        <x:v>103</x:v>
      </x:c>
      <x:c r="B104" s="86" t="n">
        <x:v>212</x:v>
      </x:c>
      <x:c r="C104" s="95" t="n">
        <x:v>45654</x:v>
      </x:c>
      <x:c r="D104" s="95" t="n">
        <x:v>45654</x:v>
      </x:c>
      <x:c r="E104" s="86" t="str">
        <x:v>Atestado médico</x:v>
      </x:c>
      <x:c r="F104" s="86" t="n">
        <x:v>1</x:v>
      </x:c>
      <x:c r="G104" s="86" t="n">
        <x:v>1</x:v>
      </x:c>
      <x:c r="H104" s="91" t="n">
        <x:v>18.23</x:v>
      </x:c>
      <x:c r="I104" s="87" t="n">
        <x:v>3</x:v>
      </x:c>
    </x:row>
    <x:row r="105">
      <x:c r="A105" s="85" t="n">
        <x:v>104</x:v>
      </x:c>
      <x:c r="B105" s="86" t="n">
        <x:v>309</x:v>
      </x:c>
      <x:c r="C105" s="95" t="n">
        <x:v>45868</x:v>
      </x:c>
      <x:c r="D105" s="95" t="n">
        <x:v>45868</x:v>
      </x:c>
      <x:c r="E105" s="86" t="str">
        <x:v>Atraso</x:v>
      </x:c>
      <x:c r="F105" s="86" t="n">
        <x:v>3</x:v>
      </x:c>
      <x:c r="G105" s="86" t="n">
        <x:v>1</x:v>
      </x:c>
      <x:c r="H105" s="91" t="n">
        <x:v>46.84</x:v>
      </x:c>
      <x:c r="I105" s="87" t="n">
        <x:v>10</x:v>
      </x:c>
    </x:row>
    <x:row r="106">
      <x:c r="A106" s="85" t="n">
        <x:v>105</x:v>
      </x:c>
      <x:c r="B106" s="86" t="n">
        <x:v>330</x:v>
      </x:c>
      <x:c r="C106" s="95" t="n">
        <x:v>45843</x:v>
      </x:c>
      <x:c r="D106" s="95" t="n">
        <x:v>45843</x:v>
      </x:c>
      <x:c r="E106" s="86" t="str">
        <x:v>Consulta médica</x:v>
      </x:c>
      <x:c r="F106" s="86" t="n">
        <x:v>4</x:v>
      </x:c>
      <x:c r="G106" s="86" t="n">
        <x:v>1</x:v>
      </x:c>
      <x:c r="H106" s="91" t="n">
        <x:v>55.19</x:v>
      </x:c>
      <x:c r="I106" s="87" t="n">
        <x:v>1</x:v>
      </x:c>
    </x:row>
    <x:row r="107">
      <x:c r="A107" s="85" t="n">
        <x:v>106</x:v>
      </x:c>
      <x:c r="B107" s="86" t="n">
        <x:v>341</x:v>
      </x:c>
      <x:c r="C107" s="95" t="n">
        <x:v>45849</x:v>
      </x:c>
      <x:c r="D107" s="95" t="n">
        <x:v>45850</x:v>
      </x:c>
      <x:c r="E107" s="86" t="str">
        <x:v>Atestado médico</x:v>
      </x:c>
      <x:c r="F107" s="86" t="n">
        <x:v>16</x:v>
      </x:c>
      <x:c r="G107" s="86" t="n">
        <x:v>1</x:v>
      </x:c>
      <x:c r="H107" s="91" t="n">
        <x:v>206.62</x:v>
      </x:c>
      <x:c r="I107" s="87" t="n">
        <x:v>1</x:v>
      </x:c>
    </x:row>
    <x:row r="108">
      <x:c r="A108" s="85" t="n">
        <x:v>107</x:v>
      </x:c>
      <x:c r="B108" s="86" t="n">
        <x:v>310</x:v>
      </x:c>
      <x:c r="C108" s="95" t="n">
        <x:v>45842</x:v>
      </x:c>
      <x:c r="D108" s="95" t="n">
        <x:v>45846</x:v>
      </x:c>
      <x:c r="E108" s="86" t="str">
        <x:v>Atestado médico</x:v>
      </x:c>
      <x:c r="F108" s="86" t="n">
        <x:v>40</x:v>
      </x:c>
      <x:c r="G108" s="86" t="n">
        <x:v>1</x:v>
      </x:c>
      <x:c r="H108" s="91" t="n">
        <x:v>493.41</x:v>
      </x:c>
      <x:c r="I108" s="87" t="n">
        <x:v>1</x:v>
      </x:c>
    </x:row>
    <x:row r="109">
      <x:c r="A109" s="85" t="n">
        <x:v>108</x:v>
      </x:c>
      <x:c r="B109" s="86" t="n">
        <x:v>215</x:v>
      </x:c>
      <x:c r="C109" s="95" t="n">
        <x:v>45572</x:v>
      </x:c>
      <x:c r="D109" s="95" t="n">
        <x:v>45573</x:v>
      </x:c>
      <x:c r="E109" s="86" t="str">
        <x:v>Atestado médico</x:v>
      </x:c>
      <x:c r="F109" s="86" t="n">
        <x:v>16</x:v>
      </x:c>
      <x:c r="G109" s="86" t="n">
        <x:v>1</x:v>
      </x:c>
      <x:c r="H109" s="91" t="n">
        <x:v>424.92</x:v>
      </x:c>
      <x:c r="I109" s="87" t="n">
        <x:v>6</x:v>
      </x:c>
    </x:row>
    <x:row r="110">
      <x:c r="A110" s="85" t="n">
        <x:v>109</x:v>
      </x:c>
      <x:c r="B110" s="86" t="n">
        <x:v>46</x:v>
      </x:c>
      <x:c r="C110" s="95" t="n">
        <x:v>45881</x:v>
      </x:c>
      <x:c r="D110" s="95" t="n">
        <x:v>45881</x:v>
      </x:c>
      <x:c r="E110" s="86" t="str">
        <x:v>Atraso</x:v>
      </x:c>
      <x:c r="F110" s="86" t="n">
        <x:v>1</x:v>
      </x:c>
      <x:c r="G110" s="86" t="n">
        <x:v>1</x:v>
      </x:c>
      <x:c r="H110" s="91" t="n">
        <x:v>13.13</x:v>
      </x:c>
      <x:c r="I110" s="87" t="n">
        <x:v>1</x:v>
      </x:c>
    </x:row>
    <x:row r="111">
      <x:c r="A111" s="85" t="n">
        <x:v>110</x:v>
      </x:c>
      <x:c r="B111" s="86" t="n">
        <x:v>324</x:v>
      </x:c>
      <x:c r="C111" s="95" t="n">
        <x:v>45988</x:v>
      </x:c>
      <x:c r="D111" s="95" t="n">
        <x:v>45989</x:v>
      </x:c>
      <x:c r="E111" s="86" t="str">
        <x:v>Licença</x:v>
      </x:c>
      <x:c r="F111" s="86" t="n">
        <x:v>16</x:v>
      </x:c>
      <x:c r="G111" s="86" t="n">
        <x:v>1</x:v>
      </x:c>
      <x:c r="H111" s="91" t="n">
        <x:v>343.85</x:v>
      </x:c>
      <x:c r="I111" s="87" t="n">
        <x:v>7</x:v>
      </x:c>
    </x:row>
    <x:row r="112">
      <x:c r="A112" s="85" t="n">
        <x:v>111</x:v>
      </x:c>
      <x:c r="B112" s="86" t="n">
        <x:v>368</x:v>
      </x:c>
      <x:c r="C112" s="95" t="n">
        <x:v>45490</x:v>
      </x:c>
      <x:c r="D112" s="95" t="n">
        <x:v>45490</x:v>
      </x:c>
      <x:c r="E112" s="86" t="str">
        <x:v>Atraso</x:v>
      </x:c>
      <x:c r="F112" s="86" t="n">
        <x:v>1</x:v>
      </x:c>
      <x:c r="G112" s="86" t="n">
        <x:v>1</x:v>
      </x:c>
      <x:c r="H112" s="91" t="n">
        <x:v>10.13</x:v>
      </x:c>
      <x:c r="I112" s="87" t="n">
        <x:v>1</x:v>
      </x:c>
    </x:row>
    <x:row r="113">
      <x:c r="A113" s="85" t="n">
        <x:v>112</x:v>
      </x:c>
      <x:c r="B113" s="86" t="n">
        <x:v>1</x:v>
      </x:c>
      <x:c r="C113" s="95" t="n">
        <x:v>45488</x:v>
      </x:c>
      <x:c r="D113" s="95" t="n">
        <x:v>45488</x:v>
      </x:c>
      <x:c r="E113" s="86" t="str">
        <x:v>Atraso</x:v>
      </x:c>
      <x:c r="F113" s="86" t="n">
        <x:v>3</x:v>
      </x:c>
      <x:c r="G113" s="86" t="n">
        <x:v>1</x:v>
      </x:c>
      <x:c r="H113" s="91" t="n">
        <x:v>65.76</x:v>
      </x:c>
      <x:c r="I113" s="87" t="n">
        <x:v>2</x:v>
      </x:c>
    </x:row>
    <x:row r="114">
      <x:c r="A114" s="85" t="n">
        <x:v>113</x:v>
      </x:c>
      <x:c r="B114" s="86" t="n">
        <x:v>189</x:v>
      </x:c>
      <x:c r="C114" s="95" t="n">
        <x:v>45988</x:v>
      </x:c>
      <x:c r="D114" s="95" t="n">
        <x:v>45988</x:v>
      </x:c>
      <x:c r="E114" s="86" t="str">
        <x:v>Atraso</x:v>
      </x:c>
      <x:c r="F114" s="86" t="n">
        <x:v>2</x:v>
      </x:c>
      <x:c r="G114" s="86" t="n">
        <x:v>1</x:v>
      </x:c>
      <x:c r="H114" s="91" t="n">
        <x:v>167.67</x:v>
      </x:c>
      <x:c r="I114" s="87" t="n">
        <x:v>9</x:v>
      </x:c>
    </x:row>
    <x:row r="115">
      <x:c r="A115" s="85" t="n">
        <x:v>114</x:v>
      </x:c>
      <x:c r="B115" s="86" t="n">
        <x:v>138</x:v>
      </x:c>
      <x:c r="C115" s="95" t="n">
        <x:v>45304</x:v>
      </x:c>
      <x:c r="D115" s="95" t="n">
        <x:v>45304</x:v>
      </x:c>
      <x:c r="E115" s="86" t="str">
        <x:v>Consulta médica</x:v>
      </x:c>
      <x:c r="F115" s="86" t="n">
        <x:v>4</x:v>
      </x:c>
      <x:c r="G115" s="86" t="n">
        <x:v>1</x:v>
      </x:c>
      <x:c r="H115" s="91" t="n">
        <x:v>105.54</x:v>
      </x:c>
      <x:c r="I115" s="87" t="n">
        <x:v>7</x:v>
      </x:c>
    </x:row>
    <x:row r="116">
      <x:c r="A116" s="85" t="n">
        <x:v>115</x:v>
      </x:c>
      <x:c r="B116" s="86" t="n">
        <x:v>374</x:v>
      </x:c>
      <x:c r="C116" s="95" t="n">
        <x:v>45397</x:v>
      </x:c>
      <x:c r="D116" s="95" t="n">
        <x:v>45397</x:v>
      </x:c>
      <x:c r="E116" s="86" t="str">
        <x:v>Licença</x:v>
      </x:c>
      <x:c r="F116" s="86" t="n">
        <x:v>1</x:v>
      </x:c>
      <x:c r="G116" s="86" t="n">
        <x:v>1</x:v>
      </x:c>
      <x:c r="H116" s="91" t="n">
        <x:v>11.76</x:v>
      </x:c>
      <x:c r="I116" s="87" t="n">
        <x:v>1</x:v>
      </x:c>
    </x:row>
    <x:row r="117">
      <x:c r="A117" s="85" t="n">
        <x:v>116</x:v>
      </x:c>
      <x:c r="B117" s="86" t="n">
        <x:v>2</x:v>
      </x:c>
      <x:c r="C117" s="95" t="n">
        <x:v>45978</x:v>
      </x:c>
      <x:c r="D117" s="95" t="n">
        <x:v>45978</x:v>
      </x:c>
      <x:c r="E117" s="86" t="str">
        <x:v>Consulta médica</x:v>
      </x:c>
      <x:c r="F117" s="86" t="n">
        <x:v>2</x:v>
      </x:c>
      <x:c r="G117" s="86" t="n">
        <x:v>1</x:v>
      </x:c>
      <x:c r="H117" s="91" t="n">
        <x:v>29.84</x:v>
      </x:c>
      <x:c r="I117" s="87" t="n">
        <x:v>3</x:v>
      </x:c>
    </x:row>
    <x:row r="118">
      <x:c r="A118" s="85" t="n">
        <x:v>117</x:v>
      </x:c>
      <x:c r="B118" s="86" t="n">
        <x:v>381</x:v>
      </x:c>
      <x:c r="C118" s="95" t="n">
        <x:v>45745</x:v>
      </x:c>
      <x:c r="D118" s="95" t="n">
        <x:v>45745</x:v>
      </x:c>
      <x:c r="E118" s="86" t="str">
        <x:v>Consulta médica</x:v>
      </x:c>
      <x:c r="F118" s="86" t="n">
        <x:v>2</x:v>
      </x:c>
      <x:c r="G118" s="86" t="n">
        <x:v>1</x:v>
      </x:c>
      <x:c r="H118" s="91" t="n">
        <x:v>85.56</x:v>
      </x:c>
      <x:c r="I118" s="87" t="n">
        <x:v>5</x:v>
      </x:c>
    </x:row>
    <x:row r="119">
      <x:c r="A119" s="85" t="n">
        <x:v>118</x:v>
      </x:c>
      <x:c r="B119" s="86" t="n">
        <x:v>409</x:v>
      </x:c>
      <x:c r="C119" s="95" t="n">
        <x:v>45983</x:v>
      </x:c>
      <x:c r="D119" s="95" t="n">
        <x:v>45983</x:v>
      </x:c>
      <x:c r="E119" s="86" t="str">
        <x:v>Atestado médico</x:v>
      </x:c>
      <x:c r="F119" s="86" t="n">
        <x:v>4</x:v>
      </x:c>
      <x:c r="G119" s="86" t="n">
        <x:v>1</x:v>
      </x:c>
      <x:c r="H119" s="91" t="n">
        <x:v>128.82</x:v>
      </x:c>
      <x:c r="I119" s="87" t="n">
        <x:v>6</x:v>
      </x:c>
    </x:row>
    <x:row r="120">
      <x:c r="A120" s="85" t="n">
        <x:v>119</x:v>
      </x:c>
      <x:c r="B120" s="86" t="n">
        <x:v>62</x:v>
      </x:c>
      <x:c r="C120" s="95" t="n">
        <x:v>45527</x:v>
      </x:c>
      <x:c r="D120" s="95" t="n">
        <x:v>45527</x:v>
      </x:c>
      <x:c r="E120" s="86" t="str">
        <x:v>Falta não justificada</x:v>
      </x:c>
      <x:c r="F120" s="86" t="n">
        <x:v>8</x:v>
      </x:c>
      <x:c r="G120" s="86" t="n">
        <x:v>0</x:v>
      </x:c>
      <x:c r="H120" s="91" t="n">
        <x:v>164.3</x:v>
      </x:c>
      <x:c r="I120" s="87" t="n">
        <x:v>2</x:v>
      </x:c>
    </x:row>
    <x:row r="121">
      <x:c r="A121" s="85" t="n">
        <x:v>120</x:v>
      </x:c>
      <x:c r="B121" s="86" t="n">
        <x:v>102</x:v>
      </x:c>
      <x:c r="C121" s="95" t="n">
        <x:v>45667</x:v>
      </x:c>
      <x:c r="D121" s="95" t="n">
        <x:v>45667</x:v>
      </x:c>
      <x:c r="E121" s="86" t="str">
        <x:v>Atraso</x:v>
      </x:c>
      <x:c r="F121" s="86" t="n">
        <x:v>3</x:v>
      </x:c>
      <x:c r="G121" s="86" t="n">
        <x:v>1</x:v>
      </x:c>
      <x:c r="H121" s="91" t="n">
        <x:v>87.4</x:v>
      </x:c>
      <x:c r="I121" s="87" t="n">
        <x:v>4</x:v>
      </x:c>
    </x:row>
    <x:row r="122">
      <x:c r="A122" s="85" t="n">
        <x:v>121</x:v>
      </x:c>
      <x:c r="B122" s="86" t="n">
        <x:v>43</x:v>
      </x:c>
      <x:c r="C122" s="95" t="n">
        <x:v>45931</x:v>
      </x:c>
      <x:c r="D122" s="95" t="n">
        <x:v>45931</x:v>
      </x:c>
      <x:c r="E122" s="86" t="str">
        <x:v>Atraso</x:v>
      </x:c>
      <x:c r="F122" s="86" t="n">
        <x:v>3</x:v>
      </x:c>
      <x:c r="G122" s="86" t="n">
        <x:v>1</x:v>
      </x:c>
      <x:c r="H122" s="91" t="n">
        <x:v>62.91</x:v>
      </x:c>
      <x:c r="I122" s="87" t="n">
        <x:v>2</x:v>
      </x:c>
    </x:row>
    <x:row r="123">
      <x:c r="A123" s="85" t="n">
        <x:v>122</x:v>
      </x:c>
      <x:c r="B123" s="86" t="n">
        <x:v>86</x:v>
      </x:c>
      <x:c r="C123" s="95" t="n">
        <x:v>45791</x:v>
      </x:c>
      <x:c r="D123" s="95" t="n">
        <x:v>45793</x:v>
      </x:c>
      <x:c r="E123" s="86" t="str">
        <x:v>Falta não justificada</x:v>
      </x:c>
      <x:c r="F123" s="86" t="n">
        <x:v>24</x:v>
      </x:c>
      <x:c r="G123" s="86" t="n">
        <x:v>0</x:v>
      </x:c>
      <x:c r="H123" s="91" t="n">
        <x:v>1921.42</x:v>
      </x:c>
      <x:c r="I123" s="87" t="n">
        <x:v>8</x:v>
      </x:c>
    </x:row>
    <x:row r="124">
      <x:c r="A124" s="85" t="n">
        <x:v>123</x:v>
      </x:c>
      <x:c r="B124" s="86" t="n">
        <x:v>352</x:v>
      </x:c>
      <x:c r="C124" s="95" t="n">
        <x:v>45559</x:v>
      </x:c>
      <x:c r="D124" s="95" t="n">
        <x:v>45563</x:v>
      </x:c>
      <x:c r="E124" s="86" t="str">
        <x:v>Licença</x:v>
      </x:c>
      <x:c r="F124" s="86" t="n">
        <x:v>40</x:v>
      </x:c>
      <x:c r="G124" s="86" t="n">
        <x:v>1</x:v>
      </x:c>
      <x:c r="H124" s="91" t="n">
        <x:v>892.54</x:v>
      </x:c>
      <x:c r="I124" s="87" t="n">
        <x:v>6</x:v>
      </x:c>
    </x:row>
    <x:row r="125">
      <x:c r="A125" s="85" t="n">
        <x:v>124</x:v>
      </x:c>
      <x:c r="B125" s="86" t="n">
        <x:v>318</x:v>
      </x:c>
      <x:c r="C125" s="95" t="n">
        <x:v>45941</x:v>
      </x:c>
      <x:c r="D125" s="95" t="n">
        <x:v>45941</x:v>
      </x:c>
      <x:c r="E125" s="86" t="str">
        <x:v>Falta não justificada</x:v>
      </x:c>
      <x:c r="F125" s="86" t="n">
        <x:v>4</x:v>
      </x:c>
      <x:c r="G125" s="86" t="n">
        <x:v>0</x:v>
      </x:c>
      <x:c r="H125" s="91" t="n">
        <x:v>125.87</x:v>
      </x:c>
      <x:c r="I125" s="87" t="n">
        <x:v>5</x:v>
      </x:c>
    </x:row>
    <x:row r="126">
      <x:c r="A126" s="85" t="n">
        <x:v>125</x:v>
      </x:c>
      <x:c r="B126" s="86" t="n">
        <x:v>181</x:v>
      </x:c>
      <x:c r="C126" s="95" t="n">
        <x:v>46002</x:v>
      </x:c>
      <x:c r="D126" s="95" t="n">
        <x:v>46006</x:v>
      </x:c>
      <x:c r="E126" s="86" t="str">
        <x:v>Atestado médico</x:v>
      </x:c>
      <x:c r="F126" s="86" t="n">
        <x:v>40</x:v>
      </x:c>
      <x:c r="G126" s="86" t="n">
        <x:v>1</x:v>
      </x:c>
      <x:c r="H126" s="91" t="n">
        <x:v>1540.26</x:v>
      </x:c>
      <x:c r="I126" s="87" t="n">
        <x:v>6</x:v>
      </x:c>
    </x:row>
    <x:row r="127">
      <x:c r="A127" s="85" t="n">
        <x:v>126</x:v>
      </x:c>
      <x:c r="B127" s="86" t="n">
        <x:v>376</x:v>
      </x:c>
      <x:c r="C127" s="95" t="n">
        <x:v>45947</x:v>
      </x:c>
      <x:c r="D127" s="95" t="n">
        <x:v>45948</x:v>
      </x:c>
      <x:c r="E127" s="86" t="str">
        <x:v>Atestado médico</x:v>
      </x:c>
      <x:c r="F127" s="86" t="n">
        <x:v>16</x:v>
      </x:c>
      <x:c r="G127" s="86" t="n">
        <x:v>1</x:v>
      </x:c>
      <x:c r="H127" s="91" t="n">
        <x:v>680.8</x:v>
      </x:c>
      <x:c r="I127" s="87" t="n">
        <x:v>4</x:v>
      </x:c>
    </x:row>
    <x:row r="128">
      <x:c r="A128" s="85" t="n">
        <x:v>127</x:v>
      </x:c>
      <x:c r="B128" s="86" t="n">
        <x:v>39</x:v>
      </x:c>
      <x:c r="C128" s="95" t="n">
        <x:v>45742</x:v>
      </x:c>
      <x:c r="D128" s="95" t="n">
        <x:v>45742</x:v>
      </x:c>
      <x:c r="E128" s="86" t="str">
        <x:v>Atestado médico</x:v>
      </x:c>
      <x:c r="F128" s="86" t="n">
        <x:v>4</x:v>
      </x:c>
      <x:c r="G128" s="86" t="n">
        <x:v>1</x:v>
      </x:c>
      <x:c r="H128" s="91" t="n">
        <x:v>243.6</x:v>
      </x:c>
      <x:c r="I128" s="87" t="n">
        <x:v>5</x:v>
      </x:c>
    </x:row>
    <x:row r="129">
      <x:c r="A129" s="85" t="n">
        <x:v>128</x:v>
      </x:c>
      <x:c r="B129" s="86" t="n">
        <x:v>76</x:v>
      </x:c>
      <x:c r="C129" s="95" t="n">
        <x:v>45324</x:v>
      </x:c>
      <x:c r="D129" s="95" t="n">
        <x:v>45324</x:v>
      </x:c>
      <x:c r="E129" s="86" t="str">
        <x:v>Atestado médico</x:v>
      </x:c>
      <x:c r="F129" s="86" t="n">
        <x:v>2</x:v>
      </x:c>
      <x:c r="G129" s="86" t="n">
        <x:v>1</x:v>
      </x:c>
      <x:c r="H129" s="91" t="n">
        <x:v>59.09</x:v>
      </x:c>
      <x:c r="I129" s="87" t="n">
        <x:v>7</x:v>
      </x:c>
    </x:row>
    <x:row r="130">
      <x:c r="A130" s="85" t="n">
        <x:v>129</x:v>
      </x:c>
      <x:c r="B130" s="86" t="n">
        <x:v>335</x:v>
      </x:c>
      <x:c r="C130" s="95" t="n">
        <x:v>45981</x:v>
      </x:c>
      <x:c r="D130" s="95" t="n">
        <x:v>45981</x:v>
      </x:c>
      <x:c r="E130" s="86" t="str">
        <x:v>Atestado médico</x:v>
      </x:c>
      <x:c r="F130" s="86" t="n">
        <x:v>2</x:v>
      </x:c>
      <x:c r="G130" s="86" t="n">
        <x:v>1</x:v>
      </x:c>
      <x:c r="H130" s="91" t="n">
        <x:v>62.62</x:v>
      </x:c>
      <x:c r="I130" s="87" t="n">
        <x:v>7</x:v>
      </x:c>
    </x:row>
    <x:row r="131">
      <x:c r="A131" s="85" t="n">
        <x:v>130</x:v>
      </x:c>
      <x:c r="B131" s="86" t="n">
        <x:v>414</x:v>
      </x:c>
      <x:c r="C131" s="95" t="n">
        <x:v>45709</x:v>
      </x:c>
      <x:c r="D131" s="95" t="n">
        <x:v>45709</x:v>
      </x:c>
      <x:c r="E131" s="86" t="str">
        <x:v>Consulta médica</x:v>
      </x:c>
      <x:c r="F131" s="86" t="n">
        <x:v>8</x:v>
      </x:c>
      <x:c r="G131" s="86" t="n">
        <x:v>1</x:v>
      </x:c>
      <x:c r="H131" s="91" t="n">
        <x:v>190.19</x:v>
      </x:c>
      <x:c r="I131" s="87" t="n">
        <x:v>10</x:v>
      </x:c>
    </x:row>
    <x:row r="132">
      <x:c r="A132" s="85" t="n">
        <x:v>131</x:v>
      </x:c>
      <x:c r="B132" s="86" t="n">
        <x:v>303</x:v>
      </x:c>
      <x:c r="C132" s="95" t="n">
        <x:v>45957</x:v>
      </x:c>
      <x:c r="D132" s="95" t="n">
        <x:v>45957</x:v>
      </x:c>
      <x:c r="E132" s="86" t="str">
        <x:v>Atraso</x:v>
      </x:c>
      <x:c r="F132" s="86" t="n">
        <x:v>1</x:v>
      </x:c>
      <x:c r="G132" s="86" t="n">
        <x:v>1</x:v>
      </x:c>
      <x:c r="H132" s="91" t="n">
        <x:v>15.02</x:v>
      </x:c>
      <x:c r="I132" s="87" t="n">
        <x:v>1</x:v>
      </x:c>
    </x:row>
    <x:row r="133">
      <x:c r="A133" s="85" t="n">
        <x:v>132</x:v>
      </x:c>
      <x:c r="B133" s="86" t="n">
        <x:v>32</x:v>
      </x:c>
      <x:c r="C133" s="95" t="n">
        <x:v>45978</x:v>
      </x:c>
      <x:c r="D133" s="95" t="n">
        <x:v>45978</x:v>
      </x:c>
      <x:c r="E133" s="86" t="str">
        <x:v>Atestado médico</x:v>
      </x:c>
      <x:c r="F133" s="86" t="n">
        <x:v>8</x:v>
      </x:c>
      <x:c r="G133" s="86" t="n">
        <x:v>1</x:v>
      </x:c>
      <x:c r="H133" s="91" t="n">
        <x:v>240.45</x:v>
      </x:c>
      <x:c r="I133" s="87" t="n">
        <x:v>6</x:v>
      </x:c>
    </x:row>
    <x:row r="134">
      <x:c r="A134" s="85" t="n">
        <x:v>133</x:v>
      </x:c>
      <x:c r="B134" s="86" t="n">
        <x:v>59</x:v>
      </x:c>
      <x:c r="C134" s="95" t="n">
        <x:v>45969</x:v>
      </x:c>
      <x:c r="D134" s="95" t="n">
        <x:v>45969</x:v>
      </x:c>
      <x:c r="E134" s="86" t="str">
        <x:v>Atraso</x:v>
      </x:c>
      <x:c r="F134" s="86" t="n">
        <x:v>3</x:v>
      </x:c>
      <x:c r="G134" s="86" t="n">
        <x:v>1</x:v>
      </x:c>
      <x:c r="H134" s="91" t="n">
        <x:v>79.85</x:v>
      </x:c>
      <x:c r="I134" s="87" t="n">
        <x:v>9</x:v>
      </x:c>
    </x:row>
    <x:row r="135">
      <x:c r="A135" s="85" t="n">
        <x:v>134</x:v>
      </x:c>
      <x:c r="B135" s="86" t="n">
        <x:v>188</x:v>
      </x:c>
      <x:c r="C135" s="95" t="n">
        <x:v>45479</x:v>
      </x:c>
      <x:c r="D135" s="95" t="n">
        <x:v>45481</x:v>
      </x:c>
      <x:c r="E135" s="86" t="str">
        <x:v>Falta não justificada</x:v>
      </x:c>
      <x:c r="F135" s="86" t="n">
        <x:v>24</x:v>
      </x:c>
      <x:c r="G135" s="86" t="n">
        <x:v>0</x:v>
      </x:c>
      <x:c r="H135" s="91" t="n">
        <x:v>336.05</x:v>
      </x:c>
      <x:c r="I135" s="87" t="n">
        <x:v>1</x:v>
      </x:c>
    </x:row>
    <x:row r="136">
      <x:c r="A136" s="85" t="n">
        <x:v>135</x:v>
      </x:c>
      <x:c r="B136" s="86" t="n">
        <x:v>360</x:v>
      </x:c>
      <x:c r="C136" s="95" t="n">
        <x:v>45509</x:v>
      </x:c>
      <x:c r="D136" s="95" t="n">
        <x:v>45513</x:v>
      </x:c>
      <x:c r="E136" s="86" t="str">
        <x:v>Atestado médico</x:v>
      </x:c>
      <x:c r="F136" s="86" t="n">
        <x:v>40</x:v>
      </x:c>
      <x:c r="G136" s="86" t="n">
        <x:v>1</x:v>
      </x:c>
      <x:c r="H136" s="91" t="n">
        <x:v>817.67</x:v>
      </x:c>
      <x:c r="I136" s="87" t="n">
        <x:v>2</x:v>
      </x:c>
    </x:row>
    <x:row r="137">
      <x:c r="A137" s="85" t="n">
        <x:v>136</x:v>
      </x:c>
      <x:c r="B137" s="86" t="n">
        <x:v>42</x:v>
      </x:c>
      <x:c r="C137" s="95" t="n">
        <x:v>45729</x:v>
      </x:c>
      <x:c r="D137" s="95" t="n">
        <x:v>45729</x:v>
      </x:c>
      <x:c r="E137" s="86" t="str">
        <x:v>Falta não justificada</x:v>
      </x:c>
      <x:c r="F137" s="86" t="n">
        <x:v>1</x:v>
      </x:c>
      <x:c r="G137" s="86" t="n">
        <x:v>0</x:v>
      </x:c>
      <x:c r="H137" s="91" t="n">
        <x:v>21.9</x:v>
      </x:c>
      <x:c r="I137" s="87" t="n">
        <x:v>2</x:v>
      </x:c>
    </x:row>
    <x:row r="138">
      <x:c r="A138" s="85" t="n">
        <x:v>137</x:v>
      </x:c>
      <x:c r="B138" s="86" t="n">
        <x:v>342</x:v>
      </x:c>
      <x:c r="C138" s="95" t="n">
        <x:v>45900</x:v>
      </x:c>
      <x:c r="D138" s="95" t="n">
        <x:v>45901</x:v>
      </x:c>
      <x:c r="E138" s="86" t="str">
        <x:v>Atestado médico</x:v>
      </x:c>
      <x:c r="F138" s="86" t="n">
        <x:v>16</x:v>
      </x:c>
      <x:c r="G138" s="86" t="n">
        <x:v>1</x:v>
      </x:c>
      <x:c r="H138" s="91" t="n">
        <x:v>1215.43</x:v>
      </x:c>
      <x:c r="I138" s="87" t="n">
        <x:v>9</x:v>
      </x:c>
    </x:row>
    <x:row r="139">
      <x:c r="A139" s="85" t="n">
        <x:v>138</x:v>
      </x:c>
      <x:c r="B139" s="86" t="n">
        <x:v>395</x:v>
      </x:c>
      <x:c r="C139" s="95" t="n">
        <x:v>45944</x:v>
      </x:c>
      <x:c r="D139" s="95" t="n">
        <x:v>45945</x:v>
      </x:c>
      <x:c r="E139" s="86" t="str">
        <x:v>Consulta médica</x:v>
      </x:c>
      <x:c r="F139" s="86" t="n">
        <x:v>16</x:v>
      </x:c>
      <x:c r="G139" s="86" t="n">
        <x:v>1</x:v>
      </x:c>
      <x:c r="H139" s="91" t="n">
        <x:v>432.47</x:v>
      </x:c>
      <x:c r="I139" s="87" t="n">
        <x:v>4</x:v>
      </x:c>
    </x:row>
    <x:row r="140">
      <x:c r="A140" s="85" t="n">
        <x:v>139</x:v>
      </x:c>
      <x:c r="B140" s="86" t="n">
        <x:v>254</x:v>
      </x:c>
      <x:c r="C140" s="95" t="n">
        <x:v>45939</x:v>
      </x:c>
      <x:c r="D140" s="95" t="n">
        <x:v>45943</x:v>
      </x:c>
      <x:c r="E140" s="86" t="str">
        <x:v>Consulta médica</x:v>
      </x:c>
      <x:c r="F140" s="86" t="n">
        <x:v>40</x:v>
      </x:c>
      <x:c r="G140" s="86" t="n">
        <x:v>1</x:v>
      </x:c>
      <x:c r="H140" s="91" t="n">
        <x:v>509.49</x:v>
      </x:c>
      <x:c r="I140" s="87" t="n">
        <x:v>1</x:v>
      </x:c>
    </x:row>
    <x:row r="141">
      <x:c r="A141" s="85" t="n">
        <x:v>140</x:v>
      </x:c>
      <x:c r="B141" s="86" t="n">
        <x:v>71</x:v>
      </x:c>
      <x:c r="C141" s="95" t="n">
        <x:v>45712</x:v>
      </x:c>
      <x:c r="D141" s="95" t="n">
        <x:v>45714</x:v>
      </x:c>
      <x:c r="E141" s="86" t="str">
        <x:v>Atestado médico</x:v>
      </x:c>
      <x:c r="F141" s="86" t="n">
        <x:v>24</x:v>
      </x:c>
      <x:c r="G141" s="86" t="n">
        <x:v>1</x:v>
      </x:c>
      <x:c r="H141" s="91" t="n">
        <x:v>776.71</x:v>
      </x:c>
      <x:c r="I141" s="87" t="n">
        <x:v>8</x:v>
      </x:c>
    </x:row>
    <x:row r="142">
      <x:c r="A142" s="85" t="n">
        <x:v>141</x:v>
      </x:c>
      <x:c r="B142" s="86" t="n">
        <x:v>406</x:v>
      </x:c>
      <x:c r="C142" s="95" t="n">
        <x:v>45599</x:v>
      </x:c>
      <x:c r="D142" s="95" t="n">
        <x:v>45599</x:v>
      </x:c>
      <x:c r="E142" s="86" t="str">
        <x:v>Licença</x:v>
      </x:c>
      <x:c r="F142" s="86" t="n">
        <x:v>8</x:v>
      </x:c>
      <x:c r="G142" s="86" t="n">
        <x:v>1</x:v>
      </x:c>
      <x:c r="H142" s="91" t="n">
        <x:v>166.68</x:v>
      </x:c>
      <x:c r="I142" s="87" t="n">
        <x:v>10</x:v>
      </x:c>
    </x:row>
    <x:row r="143">
      <x:c r="A143" s="85" t="n">
        <x:v>142</x:v>
      </x:c>
      <x:c r="B143" s="86" t="n">
        <x:v>51</x:v>
      </x:c>
      <x:c r="C143" s="95" t="n">
        <x:v>45854</x:v>
      </x:c>
      <x:c r="D143" s="95" t="n">
        <x:v>45854</x:v>
      </x:c>
      <x:c r="E143" s="86" t="str">
        <x:v>Consulta médica</x:v>
      </x:c>
      <x:c r="F143" s="86" t="n">
        <x:v>8</x:v>
      </x:c>
      <x:c r="G143" s="86" t="n">
        <x:v>1</x:v>
      </x:c>
      <x:c r="H143" s="91" t="n">
        <x:v>106.76</x:v>
      </x:c>
      <x:c r="I143" s="87" t="n">
        <x:v>1</x:v>
      </x:c>
    </x:row>
    <x:row r="144">
      <x:c r="A144" s="85" t="n">
        <x:v>143</x:v>
      </x:c>
      <x:c r="B144" s="86" t="n">
        <x:v>65</x:v>
      </x:c>
      <x:c r="C144" s="95" t="n">
        <x:v>45951</x:v>
      </x:c>
      <x:c r="D144" s="95" t="n">
        <x:v>45955</x:v>
      </x:c>
      <x:c r="E144" s="86" t="str">
        <x:v>Consulta médica</x:v>
      </x:c>
      <x:c r="F144" s="86" t="n">
        <x:v>40</x:v>
      </x:c>
      <x:c r="G144" s="86" t="n">
        <x:v>1</x:v>
      </x:c>
      <x:c r="H144" s="91" t="n">
        <x:v>2908.09</x:v>
      </x:c>
      <x:c r="I144" s="87" t="n">
        <x:v>6</x:v>
      </x:c>
    </x:row>
    <x:row r="145">
      <x:c r="A145" s="85" t="n">
        <x:v>144</x:v>
      </x:c>
      <x:c r="B145" s="86" t="n">
        <x:v>103</x:v>
      </x:c>
      <x:c r="C145" s="95" t="n">
        <x:v>45936</x:v>
      </x:c>
      <x:c r="D145" s="95" t="n">
        <x:v>45936</x:v>
      </x:c>
      <x:c r="E145" s="86" t="str">
        <x:v>Consulta médica</x:v>
      </x:c>
      <x:c r="F145" s="86" t="n">
        <x:v>8</x:v>
      </x:c>
      <x:c r="G145" s="86" t="n">
        <x:v>1</x:v>
      </x:c>
      <x:c r="H145" s="91" t="n">
        <x:v>277.35</x:v>
      </x:c>
      <x:c r="I145" s="87" t="n">
        <x:v>5</x:v>
      </x:c>
    </x:row>
    <x:row r="146">
      <x:c r="A146" s="85" t="n">
        <x:v>145</x:v>
      </x:c>
      <x:c r="B146" s="86" t="n">
        <x:v>120</x:v>
      </x:c>
      <x:c r="C146" s="95" t="n">
        <x:v>45795</x:v>
      </x:c>
      <x:c r="D146" s="95" t="n">
        <x:v>45795</x:v>
      </x:c>
      <x:c r="E146" s="86" t="str">
        <x:v>Atestado médico</x:v>
      </x:c>
      <x:c r="F146" s="86" t="n">
        <x:v>4</x:v>
      </x:c>
      <x:c r="G146" s="86" t="n">
        <x:v>1</x:v>
      </x:c>
      <x:c r="H146" s="91" t="n">
        <x:v>175.1</x:v>
      </x:c>
      <x:c r="I146" s="87" t="n">
        <x:v>5</x:v>
      </x:c>
    </x:row>
    <x:row r="147">
      <x:c r="A147" s="85" t="n">
        <x:v>146</x:v>
      </x:c>
      <x:c r="B147" s="86" t="n">
        <x:v>99</x:v>
      </x:c>
      <x:c r="C147" s="95" t="n">
        <x:v>45504</x:v>
      </x:c>
      <x:c r="D147" s="95" t="n">
        <x:v>45505</x:v>
      </x:c>
      <x:c r="E147" s="86" t="str">
        <x:v>Atestado médico</x:v>
      </x:c>
      <x:c r="F147" s="86" t="n">
        <x:v>16</x:v>
      </x:c>
      <x:c r="G147" s="86" t="n">
        <x:v>1</x:v>
      </x:c>
      <x:c r="H147" s="91" t="n">
        <x:v>238.29</x:v>
      </x:c>
      <x:c r="I147" s="87" t="n">
        <x:v>2</x:v>
      </x:c>
    </x:row>
    <x:row r="148">
      <x:c r="A148" s="85" t="n">
        <x:v>147</x:v>
      </x:c>
      <x:c r="B148" s="86" t="n">
        <x:v>366</x:v>
      </x:c>
      <x:c r="C148" s="95" t="n">
        <x:v>45617</x:v>
      </x:c>
      <x:c r="D148" s="95" t="n">
        <x:v>45617</x:v>
      </x:c>
      <x:c r="E148" s="86" t="str">
        <x:v>Atraso</x:v>
      </x:c>
      <x:c r="F148" s="86" t="n">
        <x:v>1</x:v>
      </x:c>
      <x:c r="G148" s="86" t="n">
        <x:v>1</x:v>
      </x:c>
      <x:c r="H148" s="91" t="n">
        <x:v>10.74</x:v>
      </x:c>
      <x:c r="I148" s="87" t="n">
        <x:v>1</x:v>
      </x:c>
    </x:row>
    <x:row r="149">
      <x:c r="A149" s="85" t="n">
        <x:v>148</x:v>
      </x:c>
      <x:c r="B149" s="86" t="n">
        <x:v>9</x:v>
      </x:c>
      <x:c r="C149" s="95" t="n">
        <x:v>45879</x:v>
      </x:c>
      <x:c r="D149" s="95" t="n">
        <x:v>45879</x:v>
      </x:c>
      <x:c r="E149" s="86" t="str">
        <x:v>Atraso</x:v>
      </x:c>
      <x:c r="F149" s="86" t="n">
        <x:v>2</x:v>
      </x:c>
      <x:c r="G149" s="86" t="n">
        <x:v>1</x:v>
      </x:c>
      <x:c r="H149" s="91" t="n">
        <x:v>59.23</x:v>
      </x:c>
      <x:c r="I149" s="87" t="n">
        <x:v>5</x:v>
      </x:c>
    </x:row>
    <x:row r="150">
      <x:c r="A150" s="85" t="n">
        <x:v>149</x:v>
      </x:c>
      <x:c r="B150" s="86" t="n">
        <x:v>329</x:v>
      </x:c>
      <x:c r="C150" s="95" t="n">
        <x:v>46021</x:v>
      </x:c>
      <x:c r="D150" s="95" t="n">
        <x:v>46021</x:v>
      </x:c>
      <x:c r="E150" s="86" t="str">
        <x:v>Consulta médica</x:v>
      </x:c>
      <x:c r="F150" s="86" t="n">
        <x:v>1</x:v>
      </x:c>
      <x:c r="G150" s="86" t="n">
        <x:v>1</x:v>
      </x:c>
      <x:c r="H150" s="91" t="n">
        <x:v>32.64</x:v>
      </x:c>
      <x:c r="I150" s="87" t="n">
        <x:v>7</x:v>
      </x:c>
    </x:row>
    <x:row r="151">
      <x:c r="A151" s="85" t="n">
        <x:v>150</x:v>
      </x:c>
      <x:c r="B151" s="86" t="n">
        <x:v>404</x:v>
      </x:c>
      <x:c r="C151" s="95" t="n">
        <x:v>45360</x:v>
      </x:c>
      <x:c r="D151" s="95" t="n">
        <x:v>45360</x:v>
      </x:c>
      <x:c r="E151" s="86" t="str">
        <x:v>Atraso</x:v>
      </x:c>
      <x:c r="F151" s="86" t="n">
        <x:v>1</x:v>
      </x:c>
      <x:c r="G151" s="86" t="n">
        <x:v>1</x:v>
      </x:c>
      <x:c r="H151" s="91" t="n">
        <x:v>38.1</x:v>
      </x:c>
      <x:c r="I151" s="87" t="n">
        <x:v>1</x:v>
      </x:c>
    </x:row>
    <x:row r="152">
      <x:c r="A152" s="85" t="n">
        <x:v>151</x:v>
      </x:c>
      <x:c r="B152" s="86" t="n">
        <x:v>295</x:v>
      </x:c>
      <x:c r="C152" s="95" t="n">
        <x:v>45823</x:v>
      </x:c>
      <x:c r="D152" s="95" t="n">
        <x:v>45827</x:v>
      </x:c>
      <x:c r="E152" s="86" t="str">
        <x:v>Atestado médico</x:v>
      </x:c>
      <x:c r="F152" s="86" t="n">
        <x:v>40</x:v>
      </x:c>
      <x:c r="G152" s="86" t="n">
        <x:v>1</x:v>
      </x:c>
      <x:c r="H152" s="91" t="n">
        <x:v>1334</x:v>
      </x:c>
      <x:c r="I152" s="87" t="n">
        <x:v>9</x:v>
      </x:c>
    </x:row>
    <x:row r="153">
      <x:c r="A153" s="85" t="n">
        <x:v>152</x:v>
      </x:c>
      <x:c r="B153" s="86" t="n">
        <x:v>370</x:v>
      </x:c>
      <x:c r="C153" s="95" t="n">
        <x:v>45989</x:v>
      </x:c>
      <x:c r="D153" s="95" t="n">
        <x:v>45989</x:v>
      </x:c>
      <x:c r="E153" s="86" t="str">
        <x:v>Consulta médica</x:v>
      </x:c>
      <x:c r="F153" s="86" t="n">
        <x:v>8</x:v>
      </x:c>
      <x:c r="G153" s="86" t="n">
        <x:v>1</x:v>
      </x:c>
      <x:c r="H153" s="91" t="n">
        <x:v>225.27</x:v>
      </x:c>
      <x:c r="I153" s="87" t="n">
        <x:v>4</x:v>
      </x:c>
    </x:row>
    <x:row r="154">
      <x:c r="A154" s="85" t="n">
        <x:v>153</x:v>
      </x:c>
      <x:c r="B154" s="86" t="n">
        <x:v>386</x:v>
      </x:c>
      <x:c r="C154" s="95" t="n">
        <x:v>45373</x:v>
      </x:c>
      <x:c r="D154" s="95" t="n">
        <x:v>45374</x:v>
      </x:c>
      <x:c r="E154" s="86" t="str">
        <x:v>Atestado médico</x:v>
      </x:c>
      <x:c r="F154" s="86" t="n">
        <x:v>16</x:v>
      </x:c>
      <x:c r="G154" s="86" t="n">
        <x:v>1</x:v>
      </x:c>
      <x:c r="H154" s="91" t="n">
        <x:v>173.55</x:v>
      </x:c>
      <x:c r="I154" s="87" t="n">
        <x:v>1</x:v>
      </x:c>
    </x:row>
    <x:row r="155">
      <x:c r="A155" s="85" t="n">
        <x:v>154</x:v>
      </x:c>
      <x:c r="B155" s="86" t="n">
        <x:v>372</x:v>
      </x:c>
      <x:c r="C155" s="95" t="n">
        <x:v>45742</x:v>
      </x:c>
      <x:c r="D155" s="95" t="n">
        <x:v>45742</x:v>
      </x:c>
      <x:c r="E155" s="86" t="str">
        <x:v>Atraso</x:v>
      </x:c>
      <x:c r="F155" s="86" t="n">
        <x:v>1</x:v>
      </x:c>
      <x:c r="G155" s="86" t="n">
        <x:v>1</x:v>
      </x:c>
      <x:c r="H155" s="91" t="n">
        <x:v>16.81</x:v>
      </x:c>
      <x:c r="I155" s="87" t="n">
        <x:v>2</x:v>
      </x:c>
    </x:row>
    <x:row r="156">
      <x:c r="A156" s="85" t="n">
        <x:v>155</x:v>
      </x:c>
      <x:c r="B156" s="86" t="n">
        <x:v>118</x:v>
      </x:c>
      <x:c r="C156" s="95" t="n">
        <x:v>45784</x:v>
      </x:c>
      <x:c r="D156" s="95" t="n">
        <x:v>45788</x:v>
      </x:c>
      <x:c r="E156" s="86" t="str">
        <x:v>Falta não justificada</x:v>
      </x:c>
      <x:c r="F156" s="86" t="n">
        <x:v>40</x:v>
      </x:c>
      <x:c r="G156" s="86" t="n">
        <x:v>0</x:v>
      </x:c>
      <x:c r="H156" s="91" t="n">
        <x:v>502.43</x:v>
      </x:c>
      <x:c r="I156" s="87" t="n">
        <x:v>1</x:v>
      </x:c>
    </x:row>
    <x:row r="157">
      <x:c r="A157" s="85" t="n">
        <x:v>156</x:v>
      </x:c>
      <x:c r="B157" s="86" t="n">
        <x:v>153</x:v>
      </x:c>
      <x:c r="C157" s="95" t="n">
        <x:v>45477</x:v>
      </x:c>
      <x:c r="D157" s="95" t="n">
        <x:v>45477</x:v>
      </x:c>
      <x:c r="E157" s="86" t="str">
        <x:v>Consulta médica</x:v>
      </x:c>
      <x:c r="F157" s="86" t="n">
        <x:v>4</x:v>
      </x:c>
      <x:c r="G157" s="86" t="n">
        <x:v>1</x:v>
      </x:c>
      <x:c r="H157" s="91" t="n">
        <x:v>98.93</x:v>
      </x:c>
      <x:c r="I157" s="87" t="n">
        <x:v>4</x:v>
      </x:c>
    </x:row>
    <x:row r="158">
      <x:c r="A158" s="85" t="n">
        <x:v>157</x:v>
      </x:c>
      <x:c r="B158" s="86" t="n">
        <x:v>9</x:v>
      </x:c>
      <x:c r="C158" s="95" t="n">
        <x:v>45924</x:v>
      </x:c>
      <x:c r="D158" s="95" t="n">
        <x:v>45924</x:v>
      </x:c>
      <x:c r="E158" s="86" t="str">
        <x:v>Atraso</x:v>
      </x:c>
      <x:c r="F158" s="86" t="n">
        <x:v>2</x:v>
      </x:c>
      <x:c r="G158" s="86" t="n">
        <x:v>1</x:v>
      </x:c>
      <x:c r="H158" s="91" t="n">
        <x:v>59.23</x:v>
      </x:c>
      <x:c r="I158" s="87" t="n">
        <x:v>5</x:v>
      </x:c>
    </x:row>
    <x:row r="159">
      <x:c r="A159" s="85" t="n">
        <x:v>158</x:v>
      </x:c>
      <x:c r="B159" s="86" t="n">
        <x:v>169</x:v>
      </x:c>
      <x:c r="C159" s="95" t="n">
        <x:v>45710</x:v>
      </x:c>
      <x:c r="D159" s="95" t="n">
        <x:v>45714</x:v>
      </x:c>
      <x:c r="E159" s="86" t="str">
        <x:v>Consulta médica</x:v>
      </x:c>
      <x:c r="F159" s="86" t="n">
        <x:v>40</x:v>
      </x:c>
      <x:c r="G159" s="86" t="n">
        <x:v>1</x:v>
      </x:c>
      <x:c r="H159" s="91" t="n">
        <x:v>1311.69</x:v>
      </x:c>
      <x:c r="I159" s="87" t="n">
        <x:v>10</x:v>
      </x:c>
    </x:row>
    <x:row r="160">
      <x:c r="A160" s="85" t="n">
        <x:v>159</x:v>
      </x:c>
      <x:c r="B160" s="86" t="n">
        <x:v>408</x:v>
      </x:c>
      <x:c r="C160" s="95" t="n">
        <x:v>45666</x:v>
      </x:c>
      <x:c r="D160" s="95" t="n">
        <x:v>45666</x:v>
      </x:c>
      <x:c r="E160" s="86" t="str">
        <x:v>Atestado médico</x:v>
      </x:c>
      <x:c r="F160" s="86" t="n">
        <x:v>4</x:v>
      </x:c>
      <x:c r="G160" s="86" t="n">
        <x:v>1</x:v>
      </x:c>
      <x:c r="H160" s="91" t="n">
        <x:v>98.81</x:v>
      </x:c>
      <x:c r="I160" s="87" t="n">
        <x:v>4</x:v>
      </x:c>
    </x:row>
    <x:row r="161">
      <x:c r="A161" s="85" t="n">
        <x:v>160</x:v>
      </x:c>
      <x:c r="B161" s="86" t="n">
        <x:v>2</x:v>
      </x:c>
      <x:c r="C161" s="95" t="n">
        <x:v>45749</x:v>
      </x:c>
      <x:c r="D161" s="95" t="n">
        <x:v>45749</x:v>
      </x:c>
      <x:c r="E161" s="86" t="str">
        <x:v>Consulta médica</x:v>
      </x:c>
      <x:c r="F161" s="86" t="n">
        <x:v>4</x:v>
      </x:c>
      <x:c r="G161" s="86" t="n">
        <x:v>1</x:v>
      </x:c>
      <x:c r="H161" s="91" t="n">
        <x:v>59.68</x:v>
      </x:c>
      <x:c r="I161" s="87" t="n">
        <x:v>3</x:v>
      </x:c>
    </x:row>
    <x:row r="162">
      <x:c r="A162" s="85" t="n">
        <x:v>161</x:v>
      </x:c>
      <x:c r="B162" s="86" t="n">
        <x:v>307</x:v>
      </x:c>
      <x:c r="C162" s="95" t="n">
        <x:v>45677</x:v>
      </x:c>
      <x:c r="D162" s="95" t="n">
        <x:v>45679</x:v>
      </x:c>
      <x:c r="E162" s="86" t="str">
        <x:v>Falta não justificada</x:v>
      </x:c>
      <x:c r="F162" s="86" t="n">
        <x:v>24</x:v>
      </x:c>
      <x:c r="G162" s="86" t="n">
        <x:v>0</x:v>
      </x:c>
      <x:c r="H162" s="91" t="n">
        <x:v>472.56</x:v>
      </x:c>
      <x:c r="I162" s="87" t="n">
        <x:v>3</x:v>
      </x:c>
    </x:row>
    <x:row r="163">
      <x:c r="A163" s="85" t="n">
        <x:v>162</x:v>
      </x:c>
      <x:c r="B163" s="86" t="n">
        <x:v>398</x:v>
      </x:c>
      <x:c r="C163" s="95" t="n">
        <x:v>46019</x:v>
      </x:c>
      <x:c r="D163" s="95" t="n">
        <x:v>46023</x:v>
      </x:c>
      <x:c r="E163" s="86" t="str">
        <x:v>Consulta médica</x:v>
      </x:c>
      <x:c r="F163" s="86" t="n">
        <x:v>40</x:v>
      </x:c>
      <x:c r="G163" s="86" t="n">
        <x:v>1</x:v>
      </x:c>
      <x:c r="H163" s="91" t="n">
        <x:v>465.38</x:v>
      </x:c>
      <x:c r="I163" s="87" t="n">
        <x:v>1</x:v>
      </x:c>
    </x:row>
    <x:row r="164">
      <x:c r="A164" s="85" t="n">
        <x:v>163</x:v>
      </x:c>
      <x:c r="B164" s="86" t="n">
        <x:v>49</x:v>
      </x:c>
      <x:c r="C164" s="95" t="n">
        <x:v>45440</x:v>
      </x:c>
      <x:c r="D164" s="95" t="n">
        <x:v>45440</x:v>
      </x:c>
      <x:c r="E164" s="86" t="str">
        <x:v>Atraso</x:v>
      </x:c>
      <x:c r="F164" s="86" t="n">
        <x:v>3</x:v>
      </x:c>
      <x:c r="G164" s="86" t="n">
        <x:v>1</x:v>
      </x:c>
      <x:c r="H164" s="91" t="n">
        <x:v>89.08</x:v>
      </x:c>
      <x:c r="I164" s="87" t="n">
        <x:v>10</x:v>
      </x:c>
    </x:row>
    <x:row r="165">
      <x:c r="A165" s="85" t="n">
        <x:v>164</x:v>
      </x:c>
      <x:c r="B165" s="86" t="n">
        <x:v>419</x:v>
      </x:c>
      <x:c r="C165" s="95" t="n">
        <x:v>45625</x:v>
      </x:c>
      <x:c r="D165" s="95" t="n">
        <x:v>45625</x:v>
      </x:c>
      <x:c r="E165" s="86" t="str">
        <x:v>Atestado médico</x:v>
      </x:c>
      <x:c r="F165" s="86" t="n">
        <x:v>2</x:v>
      </x:c>
      <x:c r="G165" s="86" t="n">
        <x:v>1</x:v>
      </x:c>
      <x:c r="H165" s="91" t="n">
        <x:v>30.46</x:v>
      </x:c>
      <x:c r="I165" s="87" t="n">
        <x:v>1</x:v>
      </x:c>
    </x:row>
    <x:row r="166">
      <x:c r="A166" s="85" t="n">
        <x:v>165</x:v>
      </x:c>
      <x:c r="B166" s="86" t="n">
        <x:v>97</x:v>
      </x:c>
      <x:c r="C166" s="95" t="n">
        <x:v>45816</x:v>
      </x:c>
      <x:c r="D166" s="95" t="n">
        <x:v>45816</x:v>
      </x:c>
      <x:c r="E166" s="86" t="str">
        <x:v>Consulta médica</x:v>
      </x:c>
      <x:c r="F166" s="86" t="n">
        <x:v>2</x:v>
      </x:c>
      <x:c r="G166" s="86" t="n">
        <x:v>1</x:v>
      </x:c>
      <x:c r="H166" s="91" t="n">
        <x:v>51.45</x:v>
      </x:c>
      <x:c r="I166" s="87" t="n">
        <x:v>7</x:v>
      </x:c>
    </x:row>
    <x:row r="167">
      <x:c r="A167" s="85" t="n">
        <x:v>166</x:v>
      </x:c>
      <x:c r="B167" s="86" t="n">
        <x:v>308</x:v>
      </x:c>
      <x:c r="C167" s="95" t="n">
        <x:v>45889</x:v>
      </x:c>
      <x:c r="D167" s="95" t="n">
        <x:v>45889</x:v>
      </x:c>
      <x:c r="E167" s="86" t="str">
        <x:v>Atraso</x:v>
      </x:c>
      <x:c r="F167" s="86" t="n">
        <x:v>2</x:v>
      </x:c>
      <x:c r="G167" s="86" t="n">
        <x:v>1</x:v>
      </x:c>
      <x:c r="H167" s="91" t="n">
        <x:v>27.67</x:v>
      </x:c>
      <x:c r="I167" s="87" t="n">
        <x:v>3</x:v>
      </x:c>
    </x:row>
    <x:row r="168">
      <x:c r="A168" s="85" t="n">
        <x:v>167</x:v>
      </x:c>
      <x:c r="B168" s="86" t="n">
        <x:v>257</x:v>
      </x:c>
      <x:c r="C168" s="95" t="n">
        <x:v>45947</x:v>
      </x:c>
      <x:c r="D168" s="95" t="n">
        <x:v>45947</x:v>
      </x:c>
      <x:c r="E168" s="86" t="str">
        <x:v>Consulta médica</x:v>
      </x:c>
      <x:c r="F168" s="86" t="n">
        <x:v>4</x:v>
      </x:c>
      <x:c r="G168" s="86" t="n">
        <x:v>1</x:v>
      </x:c>
      <x:c r="H168" s="91" t="n">
        <x:v>138.75</x:v>
      </x:c>
      <x:c r="I168" s="87" t="n">
        <x:v>6</x:v>
      </x:c>
    </x:row>
    <x:row r="169">
      <x:c r="A169" s="85" t="n">
        <x:v>168</x:v>
      </x:c>
      <x:c r="B169" s="86" t="n">
        <x:v>324</x:v>
      </x:c>
      <x:c r="C169" s="95" t="n">
        <x:v>45927</x:v>
      </x:c>
      <x:c r="D169" s="95" t="n">
        <x:v>45928</x:v>
      </x:c>
      <x:c r="E169" s="86" t="str">
        <x:v>Atestado médico</x:v>
      </x:c>
      <x:c r="F169" s="86" t="n">
        <x:v>16</x:v>
      </x:c>
      <x:c r="G169" s="86" t="n">
        <x:v>1</x:v>
      </x:c>
      <x:c r="H169" s="91" t="n">
        <x:v>343.85</x:v>
      </x:c>
      <x:c r="I169" s="87" t="n">
        <x:v>7</x:v>
      </x:c>
    </x:row>
    <x:row r="170">
      <x:c r="A170" s="85" t="n">
        <x:v>169</x:v>
      </x:c>
      <x:c r="B170" s="86" t="n">
        <x:v>263</x:v>
      </x:c>
      <x:c r="C170" s="95" t="n">
        <x:v>45390</x:v>
      </x:c>
      <x:c r="D170" s="95" t="n">
        <x:v>45390</x:v>
      </x:c>
      <x:c r="E170" s="86" t="str">
        <x:v>Atestado médico</x:v>
      </x:c>
      <x:c r="F170" s="86" t="n">
        <x:v>1</x:v>
      </x:c>
      <x:c r="G170" s="86" t="n">
        <x:v>1</x:v>
      </x:c>
      <x:c r="H170" s="91" t="n">
        <x:v>25.59</x:v>
      </x:c>
      <x:c r="I170" s="87" t="n">
        <x:v>10</x:v>
      </x:c>
    </x:row>
    <x:row r="171">
      <x:c r="A171" s="85" t="n">
        <x:v>170</x:v>
      </x:c>
      <x:c r="B171" s="86" t="n">
        <x:v>91</x:v>
      </x:c>
      <x:c r="C171" s="95" t="n">
        <x:v>45846</x:v>
      </x:c>
      <x:c r="D171" s="95" t="n">
        <x:v>45847</x:v>
      </x:c>
      <x:c r="E171" s="86" t="str">
        <x:v>Atestado médico</x:v>
      </x:c>
      <x:c r="F171" s="86" t="n">
        <x:v>16</x:v>
      </x:c>
      <x:c r="G171" s="86" t="n">
        <x:v>1</x:v>
      </x:c>
      <x:c r="H171" s="91" t="n">
        <x:v>572.8</x:v>
      </x:c>
      <x:c r="I171" s="87" t="n">
        <x:v>1</x:v>
      </x:c>
    </x:row>
    <x:row r="172">
      <x:c r="A172" s="85" t="n">
        <x:v>171</x:v>
      </x:c>
      <x:c r="B172" s="86" t="n">
        <x:v>420</x:v>
      </x:c>
      <x:c r="C172" s="95" t="n">
        <x:v>45926</x:v>
      </x:c>
      <x:c r="D172" s="95" t="n">
        <x:v>45926</x:v>
      </x:c>
      <x:c r="E172" s="86" t="str">
        <x:v>Atestado médico</x:v>
      </x:c>
      <x:c r="F172" s="86" t="n">
        <x:v>4</x:v>
      </x:c>
      <x:c r="G172" s="86" t="n">
        <x:v>1</x:v>
      </x:c>
      <x:c r="H172" s="91" t="n">
        <x:v>59.16</x:v>
      </x:c>
      <x:c r="I172" s="87" t="n">
        <x:v>3</x:v>
      </x:c>
    </x:row>
    <x:row r="173">
      <x:c r="A173" s="85" t="n">
        <x:v>172</x:v>
      </x:c>
      <x:c r="B173" s="86" t="n">
        <x:v>378</x:v>
      </x:c>
      <x:c r="C173" s="95" t="n">
        <x:v>45741</x:v>
      </x:c>
      <x:c r="D173" s="95" t="n">
        <x:v>45741</x:v>
      </x:c>
      <x:c r="E173" s="86" t="str">
        <x:v>Atraso</x:v>
      </x:c>
      <x:c r="F173" s="86" t="n">
        <x:v>2</x:v>
      </x:c>
      <x:c r="G173" s="86" t="n">
        <x:v>1</x:v>
      </x:c>
      <x:c r="H173" s="91" t="n">
        <x:v>89.26</x:v>
      </x:c>
      <x:c r="I173" s="87" t="n">
        <x:v>5</x:v>
      </x:c>
    </x:row>
    <x:row r="174">
      <x:c r="A174" s="85" t="n">
        <x:v>173</x:v>
      </x:c>
      <x:c r="B174" s="86" t="n">
        <x:v>244</x:v>
      </x:c>
      <x:c r="C174" s="95" t="n">
        <x:v>45808</x:v>
      </x:c>
      <x:c r="D174" s="95" t="n">
        <x:v>45809</x:v>
      </x:c>
      <x:c r="E174" s="86" t="str">
        <x:v>Atestado médico</x:v>
      </x:c>
      <x:c r="F174" s="86" t="n">
        <x:v>16</x:v>
      </x:c>
      <x:c r="G174" s="86" t="n">
        <x:v>1</x:v>
      </x:c>
      <x:c r="H174" s="91" t="n">
        <x:v>245.96</x:v>
      </x:c>
      <x:c r="I174" s="87" t="n">
        <x:v>1</x:v>
      </x:c>
    </x:row>
    <x:row r="175">
      <x:c r="A175" s="85" t="n">
        <x:v>174</x:v>
      </x:c>
      <x:c r="B175" s="86" t="n">
        <x:v>275</x:v>
      </x:c>
      <x:c r="C175" s="95" t="n">
        <x:v>45968</x:v>
      </x:c>
      <x:c r="D175" s="95" t="n">
        <x:v>45969</x:v>
      </x:c>
      <x:c r="E175" s="86" t="str">
        <x:v>Atestado médico</x:v>
      </x:c>
      <x:c r="F175" s="86" t="n">
        <x:v>16</x:v>
      </x:c>
      <x:c r="G175" s="86" t="n">
        <x:v>1</x:v>
      </x:c>
      <x:c r="H175" s="91" t="n">
        <x:v>161.08</x:v>
      </x:c>
      <x:c r="I175" s="87" t="n">
        <x:v>1</x:v>
      </x:c>
    </x:row>
    <x:row r="176">
      <x:c r="A176" s="85" t="n">
        <x:v>175</x:v>
      </x:c>
      <x:c r="B176" s="86" t="n">
        <x:v>284</x:v>
      </x:c>
      <x:c r="C176" s="95" t="n">
        <x:v>45355</x:v>
      </x:c>
      <x:c r="D176" s="95" t="n">
        <x:v>45356</x:v>
      </x:c>
      <x:c r="E176" s="86" t="str">
        <x:v>Licença</x:v>
      </x:c>
      <x:c r="F176" s="86" t="n">
        <x:v>16</x:v>
      </x:c>
      <x:c r="G176" s="86" t="n">
        <x:v>1</x:v>
      </x:c>
      <x:c r="H176" s="91" t="n">
        <x:v>165.75</x:v>
      </x:c>
      <x:c r="I176" s="87" t="n">
        <x:v>1</x:v>
      </x:c>
    </x:row>
    <x:row r="177">
      <x:c r="A177" s="85" t="n">
        <x:v>176</x:v>
      </x:c>
      <x:c r="B177" s="86" t="n">
        <x:v>66</x:v>
      </x:c>
      <x:c r="C177" s="95" t="n">
        <x:v>45606</x:v>
      </x:c>
      <x:c r="D177" s="95" t="n">
        <x:v>45606</x:v>
      </x:c>
      <x:c r="E177" s="86" t="str">
        <x:v>Atestado médico</x:v>
      </x:c>
      <x:c r="F177" s="86" t="n">
        <x:v>1</x:v>
      </x:c>
      <x:c r="G177" s="86" t="n">
        <x:v>1</x:v>
      </x:c>
      <x:c r="H177" s="91" t="n">
        <x:v>13.49</x:v>
      </x:c>
      <x:c r="I177" s="87" t="n">
        <x:v>1</x:v>
      </x:c>
    </x:row>
    <x:row r="178">
      <x:c r="A178" s="85" t="n">
        <x:v>177</x:v>
      </x:c>
      <x:c r="B178" s="86" t="n">
        <x:v>101</x:v>
      </x:c>
      <x:c r="C178" s="95" t="n">
        <x:v>45944</x:v>
      </x:c>
      <x:c r="D178" s="95" t="n">
        <x:v>45944</x:v>
      </x:c>
      <x:c r="E178" s="86" t="str">
        <x:v>Atraso</x:v>
      </x:c>
      <x:c r="F178" s="86" t="n">
        <x:v>2</x:v>
      </x:c>
      <x:c r="G178" s="86" t="n">
        <x:v>1</x:v>
      </x:c>
      <x:c r="H178" s="91" t="n">
        <x:v>20.98</x:v>
      </x:c>
      <x:c r="I178" s="87" t="n">
        <x:v>1</x:v>
      </x:c>
    </x:row>
    <x:row r="179">
      <x:c r="A179" s="85" t="n">
        <x:v>178</x:v>
      </x:c>
      <x:c r="B179" s="86" t="n">
        <x:v>30</x:v>
      </x:c>
      <x:c r="C179" s="95" t="n">
        <x:v>45668</x:v>
      </x:c>
      <x:c r="D179" s="95" t="n">
        <x:v>45672</x:v>
      </x:c>
      <x:c r="E179" s="86" t="str">
        <x:v>Consulta médica</x:v>
      </x:c>
      <x:c r="F179" s="86" t="n">
        <x:v>40</x:v>
      </x:c>
      <x:c r="G179" s="86" t="n">
        <x:v>1</x:v>
      </x:c>
      <x:c r="H179" s="91" t="n">
        <x:v>603.77</x:v>
      </x:c>
      <x:c r="I179" s="87" t="n">
        <x:v>3</x:v>
      </x:c>
    </x:row>
    <x:row r="180">
      <x:c r="A180" s="85" t="n">
        <x:v>179</x:v>
      </x:c>
      <x:c r="B180" s="86" t="n">
        <x:v>19</x:v>
      </x:c>
      <x:c r="C180" s="95" t="n">
        <x:v>45793</x:v>
      </x:c>
      <x:c r="D180" s="95" t="n">
        <x:v>45793</x:v>
      </x:c>
      <x:c r="E180" s="86" t="str">
        <x:v>Atraso</x:v>
      </x:c>
      <x:c r="F180" s="86" t="n">
        <x:v>1</x:v>
      </x:c>
      <x:c r="G180" s="86" t="n">
        <x:v>1</x:v>
      </x:c>
      <x:c r="H180" s="91" t="n">
        <x:v>29.02</x:v>
      </x:c>
      <x:c r="I180" s="87" t="n">
        <x:v>7</x:v>
      </x:c>
    </x:row>
    <x:row r="181">
      <x:c r="A181" s="85" t="n">
        <x:v>180</x:v>
      </x:c>
      <x:c r="B181" s="86" t="n">
        <x:v>183</x:v>
      </x:c>
      <x:c r="C181" s="95" t="n">
        <x:v>45999</x:v>
      </x:c>
      <x:c r="D181" s="95" t="n">
        <x:v>45999</x:v>
      </x:c>
      <x:c r="E181" s="86" t="str">
        <x:v>Atestado médico</x:v>
      </x:c>
      <x:c r="F181" s="86" t="n">
        <x:v>8</x:v>
      </x:c>
      <x:c r="G181" s="86" t="n">
        <x:v>1</x:v>
      </x:c>
      <x:c r="H181" s="91" t="n">
        <x:v>101.37</x:v>
      </x:c>
      <x:c r="I181" s="87" t="n">
        <x:v>1</x:v>
      </x:c>
    </x:row>
    <x:row r="182">
      <x:c r="A182" s="85" t="n">
        <x:v>181</x:v>
      </x:c>
      <x:c r="B182" s="86" t="n">
        <x:v>320</x:v>
      </x:c>
      <x:c r="C182" s="95" t="n">
        <x:v>45884</x:v>
      </x:c>
      <x:c r="D182" s="95" t="n">
        <x:v>45884</x:v>
      </x:c>
      <x:c r="E182" s="86" t="str">
        <x:v>Licença</x:v>
      </x:c>
      <x:c r="F182" s="86" t="n">
        <x:v>1</x:v>
      </x:c>
      <x:c r="G182" s="86" t="n">
        <x:v>1</x:v>
      </x:c>
      <x:c r="H182" s="91" t="n">
        <x:v>14.74</x:v>
      </x:c>
      <x:c r="I182" s="87" t="n">
        <x:v>1</x:v>
      </x:c>
    </x:row>
    <x:row r="183">
      <x:c r="A183" s="85" t="n">
        <x:v>182</x:v>
      </x:c>
      <x:c r="B183" s="86" t="n">
        <x:v>214</x:v>
      </x:c>
      <x:c r="C183" s="95" t="n">
        <x:v>45986</x:v>
      </x:c>
      <x:c r="D183" s="95" t="n">
        <x:v>45986</x:v>
      </x:c>
      <x:c r="E183" s="86" t="str">
        <x:v>Atraso</x:v>
      </x:c>
      <x:c r="F183" s="86" t="n">
        <x:v>2</x:v>
      </x:c>
      <x:c r="G183" s="86" t="n">
        <x:v>1</x:v>
      </x:c>
      <x:c r="H183" s="91" t="n">
        <x:v>54.35</x:v>
      </x:c>
      <x:c r="I183" s="87" t="n">
        <x:v>8</x:v>
      </x:c>
    </x:row>
    <x:row r="184">
      <x:c r="A184" s="85" t="n">
        <x:v>183</x:v>
      </x:c>
      <x:c r="B184" s="86" t="n">
        <x:v>418</x:v>
      </x:c>
      <x:c r="C184" s="95" t="n">
        <x:v>45820</x:v>
      </x:c>
      <x:c r="D184" s="95" t="n">
        <x:v>45820</x:v>
      </x:c>
      <x:c r="E184" s="86" t="str">
        <x:v>Atestado médico</x:v>
      </x:c>
      <x:c r="F184" s="86" t="n">
        <x:v>2</x:v>
      </x:c>
      <x:c r="G184" s="86" t="n">
        <x:v>1</x:v>
      </x:c>
      <x:c r="H184" s="91" t="n">
        <x:v>56.38</x:v>
      </x:c>
      <x:c r="I184" s="87" t="n">
        <x:v>10</x:v>
      </x:c>
    </x:row>
    <x:row r="185">
      <x:c r="A185" s="85" t="n">
        <x:v>184</x:v>
      </x:c>
      <x:c r="B185" s="86" t="n">
        <x:v>321</x:v>
      </x:c>
      <x:c r="C185" s="95" t="n">
        <x:v>45968</x:v>
      </x:c>
      <x:c r="D185" s="95" t="n">
        <x:v>45968</x:v>
      </x:c>
      <x:c r="E185" s="86" t="str">
        <x:v>Atestado médico</x:v>
      </x:c>
      <x:c r="F185" s="86" t="n">
        <x:v>2</x:v>
      </x:c>
      <x:c r="G185" s="86" t="n">
        <x:v>1</x:v>
      </x:c>
      <x:c r="H185" s="91" t="n">
        <x:v>28.64</x:v>
      </x:c>
      <x:c r="I185" s="87" t="n">
        <x:v>7</x:v>
      </x:c>
    </x:row>
    <x:row r="186">
      <x:c r="A186" s="85" t="n">
        <x:v>185</x:v>
      </x:c>
      <x:c r="B186" s="86" t="n">
        <x:v>178</x:v>
      </x:c>
      <x:c r="C186" s="95" t="n">
        <x:v>46002</x:v>
      </x:c>
      <x:c r="D186" s="95" t="n">
        <x:v>46002</x:v>
      </x:c>
      <x:c r="E186" s="86" t="str">
        <x:v>Consulta médica</x:v>
      </x:c>
      <x:c r="F186" s="86" t="n">
        <x:v>4</x:v>
      </x:c>
      <x:c r="G186" s="86" t="n">
        <x:v>1</x:v>
      </x:c>
      <x:c r="H186" s="91" t="n">
        <x:v>86.34</x:v>
      </x:c>
      <x:c r="I186" s="87" t="n">
        <x:v>2</x:v>
      </x:c>
    </x:row>
    <x:row r="187">
      <x:c r="A187" s="85" t="n">
        <x:v>186</x:v>
      </x:c>
      <x:c r="B187" s="86" t="n">
        <x:v>388</x:v>
      </x:c>
      <x:c r="C187" s="95" t="n">
        <x:v>45431</x:v>
      </x:c>
      <x:c r="D187" s="95" t="n">
        <x:v>45431</x:v>
      </x:c>
      <x:c r="E187" s="86" t="str">
        <x:v>Atraso</x:v>
      </x:c>
      <x:c r="F187" s="86" t="n">
        <x:v>1</x:v>
      </x:c>
      <x:c r="G187" s="86" t="n">
        <x:v>1</x:v>
      </x:c>
      <x:c r="H187" s="91" t="n">
        <x:v>12.53</x:v>
      </x:c>
      <x:c r="I187" s="87" t="n">
        <x:v>1</x:v>
      </x:c>
    </x:row>
    <x:row r="188">
      <x:c r="A188" s="85" t="n">
        <x:v>187</x:v>
      </x:c>
      <x:c r="B188" s="86" t="n">
        <x:v>353</x:v>
      </x:c>
      <x:c r="C188" s="95" t="n">
        <x:v>45749</x:v>
      </x:c>
      <x:c r="D188" s="95" t="n">
        <x:v>45751</x:v>
      </x:c>
      <x:c r="E188" s="86" t="str">
        <x:v>Consulta médica</x:v>
      </x:c>
      <x:c r="F188" s="86" t="n">
        <x:v>24</x:v>
      </x:c>
      <x:c r="G188" s="86" t="n">
        <x:v>1</x:v>
      </x:c>
      <x:c r="H188" s="91" t="n">
        <x:v>261.34</x:v>
      </x:c>
      <x:c r="I188" s="87" t="n">
        <x:v>1</x:v>
      </x:c>
    </x:row>
    <x:row r="189">
      <x:c r="A189" s="85" t="n">
        <x:v>188</x:v>
      </x:c>
      <x:c r="B189" s="86" t="n">
        <x:v>281</x:v>
      </x:c>
      <x:c r="C189" s="95" t="n">
        <x:v>45784</x:v>
      </x:c>
      <x:c r="D189" s="95" t="n">
        <x:v>45784</x:v>
      </x:c>
      <x:c r="E189" s="86" t="str">
        <x:v>Atestado médico</x:v>
      </x:c>
      <x:c r="F189" s="86" t="n">
        <x:v>8</x:v>
      </x:c>
      <x:c r="G189" s="86" t="n">
        <x:v>1</x:v>
      </x:c>
      <x:c r="H189" s="91" t="n">
        <x:v>83.22</x:v>
      </x:c>
      <x:c r="I189" s="87" t="n">
        <x:v>1</x:v>
      </x:c>
    </x:row>
    <x:row r="190">
      <x:c r="A190" s="85" t="n">
        <x:v>189</x:v>
      </x:c>
      <x:c r="B190" s="86" t="n">
        <x:v>157</x:v>
      </x:c>
      <x:c r="C190" s="95" t="n">
        <x:v>45676</x:v>
      </x:c>
      <x:c r="D190" s="95" t="n">
        <x:v>45677</x:v>
      </x:c>
      <x:c r="E190" s="86" t="str">
        <x:v>Consulta médica</x:v>
      </x:c>
      <x:c r="F190" s="86" t="n">
        <x:v>16</x:v>
      </x:c>
      <x:c r="G190" s="86" t="n">
        <x:v>1</x:v>
      </x:c>
      <x:c r="H190" s="91" t="n">
        <x:v>354.79</x:v>
      </x:c>
      <x:c r="I190" s="87" t="n">
        <x:v>7</x:v>
      </x:c>
    </x:row>
    <x:row r="191">
      <x:c r="A191" s="85" t="n">
        <x:v>190</x:v>
      </x:c>
      <x:c r="B191" s="86" t="n">
        <x:v>207</x:v>
      </x:c>
      <x:c r="C191" s="95" t="n">
        <x:v>45545</x:v>
      </x:c>
      <x:c r="D191" s="95" t="n">
        <x:v>45545</x:v>
      </x:c>
      <x:c r="E191" s="86" t="str">
        <x:v>Atraso</x:v>
      </x:c>
      <x:c r="F191" s="86" t="n">
        <x:v>3</x:v>
      </x:c>
      <x:c r="G191" s="86" t="n">
        <x:v>1</x:v>
      </x:c>
      <x:c r="H191" s="91" t="n">
        <x:v>41.23</x:v>
      </x:c>
      <x:c r="I191" s="87" t="n">
        <x:v>1</x:v>
      </x:c>
    </x:row>
    <x:row r="192">
      <x:c r="A192" s="85" t="n">
        <x:v>191</x:v>
      </x:c>
      <x:c r="B192" s="86" t="n">
        <x:v>319</x:v>
      </x:c>
      <x:c r="C192" s="95" t="n">
        <x:v>46000</x:v>
      </x:c>
      <x:c r="D192" s="95" t="n">
        <x:v>46000</x:v>
      </x:c>
      <x:c r="E192" s="86" t="str">
        <x:v>Atraso</x:v>
      </x:c>
      <x:c r="F192" s="86" t="n">
        <x:v>3</x:v>
      </x:c>
      <x:c r="G192" s="86" t="n">
        <x:v>1</x:v>
      </x:c>
      <x:c r="H192" s="91" t="n">
        <x:v>85.7</x:v>
      </x:c>
      <x:c r="I192" s="87" t="n">
        <x:v>8</x:v>
      </x:c>
    </x:row>
    <x:row r="193">
      <x:c r="A193" s="85" t="n">
        <x:v>192</x:v>
      </x:c>
      <x:c r="B193" s="86" t="n">
        <x:v>308</x:v>
      </x:c>
      <x:c r="C193" s="95" t="n">
        <x:v>45896</x:v>
      </x:c>
      <x:c r="D193" s="95" t="n">
        <x:v>45896</x:v>
      </x:c>
      <x:c r="E193" s="86" t="str">
        <x:v>Atraso</x:v>
      </x:c>
      <x:c r="F193" s="86" t="n">
        <x:v>1</x:v>
      </x:c>
      <x:c r="G193" s="86" t="n">
        <x:v>1</x:v>
      </x:c>
      <x:c r="H193" s="91" t="n">
        <x:v>13.84</x:v>
      </x:c>
      <x:c r="I193" s="87" t="n">
        <x:v>3</x:v>
      </x:c>
    </x:row>
    <x:row r="194">
      <x:c r="A194" s="85" t="n">
        <x:v>193</x:v>
      </x:c>
      <x:c r="B194" s="86" t="n">
        <x:v>307</x:v>
      </x:c>
      <x:c r="C194" s="95" t="n">
        <x:v>45959</x:v>
      </x:c>
      <x:c r="D194" s="95" t="n">
        <x:v>45959</x:v>
      </x:c>
      <x:c r="E194" s="86" t="str">
        <x:v>Consulta médica</x:v>
      </x:c>
      <x:c r="F194" s="86" t="n">
        <x:v>4</x:v>
      </x:c>
      <x:c r="G194" s="86" t="n">
        <x:v>1</x:v>
      </x:c>
      <x:c r="H194" s="91" t="n">
        <x:v>78.76</x:v>
      </x:c>
      <x:c r="I194" s="87" t="n">
        <x:v>3</x:v>
      </x:c>
    </x:row>
    <x:row r="195">
      <x:c r="A195" s="85" t="n">
        <x:v>194</x:v>
      </x:c>
      <x:c r="B195" s="86" t="n">
        <x:v>76</x:v>
      </x:c>
      <x:c r="C195" s="95" t="n">
        <x:v>45872</x:v>
      </x:c>
      <x:c r="D195" s="95" t="n">
        <x:v>45872</x:v>
      </x:c>
      <x:c r="E195" s="86" t="str">
        <x:v>Atraso</x:v>
      </x:c>
      <x:c r="F195" s="86" t="n">
        <x:v>3</x:v>
      </x:c>
      <x:c r="G195" s="86" t="n">
        <x:v>1</x:v>
      </x:c>
      <x:c r="H195" s="91" t="n">
        <x:v>88.64</x:v>
      </x:c>
      <x:c r="I195" s="87" t="n">
        <x:v>7</x:v>
      </x:c>
    </x:row>
    <x:row r="196">
      <x:c r="A196" s="85" t="n">
        <x:v>195</x:v>
      </x:c>
      <x:c r="B196" s="86" t="n">
        <x:v>279</x:v>
      </x:c>
      <x:c r="C196" s="95" t="n">
        <x:v>45714</x:v>
      </x:c>
      <x:c r="D196" s="95" t="n">
        <x:v>45718</x:v>
      </x:c>
      <x:c r="E196" s="86" t="str">
        <x:v>Falta não justificada</x:v>
      </x:c>
      <x:c r="F196" s="86" t="n">
        <x:v>40</x:v>
      </x:c>
      <x:c r="G196" s="86" t="n">
        <x:v>0</x:v>
      </x:c>
      <x:c r="H196" s="91" t="n">
        <x:v>1502.79</x:v>
      </x:c>
      <x:c r="I196" s="87" t="n">
        <x:v>6</x:v>
      </x:c>
    </x:row>
    <x:row r="197">
      <x:c r="A197" s="85" t="n">
        <x:v>196</x:v>
      </x:c>
      <x:c r="B197" s="86" t="n">
        <x:v>382</x:v>
      </x:c>
      <x:c r="C197" s="95" t="n">
        <x:v>45683</x:v>
      </x:c>
      <x:c r="D197" s="95" t="n">
        <x:v>45685</x:v>
      </x:c>
      <x:c r="E197" s="86" t="str">
        <x:v>Consulta médica</x:v>
      </x:c>
      <x:c r="F197" s="86" t="n">
        <x:v>24</x:v>
      </x:c>
      <x:c r="G197" s="86" t="n">
        <x:v>1</x:v>
      </x:c>
      <x:c r="H197" s="91" t="n">
        <x:v>1014.37</x:v>
      </x:c>
      <x:c r="I197" s="87" t="n">
        <x:v>5</x:v>
      </x:c>
    </x:row>
    <x:row r="198">
      <x:c r="A198" s="85" t="n">
        <x:v>197</x:v>
      </x:c>
      <x:c r="B198" s="86" t="n">
        <x:v>158</x:v>
      </x:c>
      <x:c r="C198" s="95" t="n">
        <x:v>45826</x:v>
      </x:c>
      <x:c r="D198" s="95" t="n">
        <x:v>45826</x:v>
      </x:c>
      <x:c r="E198" s="86" t="str">
        <x:v>Atestado médico</x:v>
      </x:c>
      <x:c r="F198" s="86" t="n">
        <x:v>2</x:v>
      </x:c>
      <x:c r="G198" s="86" t="n">
        <x:v>1</x:v>
      </x:c>
      <x:c r="H198" s="91" t="n">
        <x:v>57.75</x:v>
      </x:c>
      <x:c r="I198" s="87" t="n">
        <x:v>10</x:v>
      </x:c>
    </x:row>
    <x:row r="199">
      <x:c r="A199" s="85" t="n">
        <x:v>198</x:v>
      </x:c>
      <x:c r="B199" s="86" t="n">
        <x:v>64</x:v>
      </x:c>
      <x:c r="C199" s="95" t="n">
        <x:v>45648</x:v>
      </x:c>
      <x:c r="D199" s="95" t="n">
        <x:v>45648</x:v>
      </x:c>
      <x:c r="E199" s="86" t="str">
        <x:v>Atestado médico</x:v>
      </x:c>
      <x:c r="F199" s="86" t="n">
        <x:v>1</x:v>
      </x:c>
      <x:c r="G199" s="86" t="n">
        <x:v>1</x:v>
      </x:c>
      <x:c r="H199" s="91" t="n">
        <x:v>71.11</x:v>
      </x:c>
      <x:c r="I199" s="87" t="n">
        <x:v>8</x:v>
      </x:c>
    </x:row>
    <x:row r="200">
      <x:c r="A200" s="85" t="n">
        <x:v>199</x:v>
      </x:c>
      <x:c r="B200" s="86" t="n">
        <x:v>141</x:v>
      </x:c>
      <x:c r="C200" s="95" t="n">
        <x:v>46004</x:v>
      </x:c>
      <x:c r="D200" s="95" t="n">
        <x:v>46004</x:v>
      </x:c>
      <x:c r="E200" s="86" t="str">
        <x:v>Atestado médico</x:v>
      </x:c>
      <x:c r="F200" s="86" t="n">
        <x:v>2</x:v>
      </x:c>
      <x:c r="G200" s="86" t="n">
        <x:v>1</x:v>
      </x:c>
      <x:c r="H200" s="91" t="n">
        <x:v>39.48</x:v>
      </x:c>
      <x:c r="I200" s="87" t="n">
        <x:v>4</x:v>
      </x:c>
    </x:row>
    <x:row r="201">
      <x:c r="A201" s="85" t="n">
        <x:v>200</x:v>
      </x:c>
      <x:c r="B201" s="86" t="n">
        <x:v>7</x:v>
      </x:c>
      <x:c r="C201" s="95" t="n">
        <x:v>45385</x:v>
      </x:c>
      <x:c r="D201" s="95" t="n">
        <x:v>45385</x:v>
      </x:c>
      <x:c r="E201" s="86" t="str">
        <x:v>Atestado médico</x:v>
      </x:c>
      <x:c r="F201" s="86" t="n">
        <x:v>2</x:v>
      </x:c>
      <x:c r="G201" s="86" t="n">
        <x:v>1</x:v>
      </x:c>
      <x:c r="H201" s="91" t="n">
        <x:v>24.09</x:v>
      </x:c>
      <x:c r="I201" s="87" t="n">
        <x:v>1</x:v>
      </x:c>
    </x:row>
    <x:row r="202">
      <x:c r="A202" s="85" t="n">
        <x:v>201</x:v>
      </x:c>
      <x:c r="B202" s="86" t="n">
        <x:v>385</x:v>
      </x:c>
      <x:c r="C202" s="95" t="n">
        <x:v>45966</x:v>
      </x:c>
      <x:c r="D202" s="95" t="n">
        <x:v>45968</x:v>
      </x:c>
      <x:c r="E202" s="86" t="str">
        <x:v>Atestado médico</x:v>
      </x:c>
      <x:c r="F202" s="86" t="n">
        <x:v>24</x:v>
      </x:c>
      <x:c r="G202" s="86" t="n">
        <x:v>1</x:v>
      </x:c>
      <x:c r="H202" s="91" t="n">
        <x:v>360.23</x:v>
      </x:c>
      <x:c r="I202" s="87" t="n">
        <x:v>3</x:v>
      </x:c>
    </x:row>
    <x:row r="203">
      <x:c r="A203" s="85" t="n">
        <x:v>202</x:v>
      </x:c>
      <x:c r="B203" s="86" t="n">
        <x:v>310</x:v>
      </x:c>
      <x:c r="C203" s="95" t="n">
        <x:v>45856</x:v>
      </x:c>
      <x:c r="D203" s="95" t="n">
        <x:v>45856</x:v>
      </x:c>
      <x:c r="E203" s="86" t="str">
        <x:v>Atraso</x:v>
      </x:c>
      <x:c r="F203" s="86" t="n">
        <x:v>3</x:v>
      </x:c>
      <x:c r="G203" s="86" t="n">
        <x:v>1</x:v>
      </x:c>
      <x:c r="H203" s="91" t="n">
        <x:v>37.01</x:v>
      </x:c>
      <x:c r="I203" s="87" t="n">
        <x:v>1</x:v>
      </x:c>
    </x:row>
    <x:row r="204">
      <x:c r="A204" s="85" t="n">
        <x:v>203</x:v>
      </x:c>
      <x:c r="B204" s="86" t="n">
        <x:v>179</x:v>
      </x:c>
      <x:c r="C204" s="95" t="n">
        <x:v>45790</x:v>
      </x:c>
      <x:c r="D204" s="95" t="n">
        <x:v>45790</x:v>
      </x:c>
      <x:c r="E204" s="86" t="str">
        <x:v>Atraso</x:v>
      </x:c>
      <x:c r="F204" s="86" t="n">
        <x:v>1</x:v>
      </x:c>
      <x:c r="G204" s="86" t="n">
        <x:v>1</x:v>
      </x:c>
      <x:c r="H204" s="91" t="n">
        <x:v>32.96</x:v>
      </x:c>
      <x:c r="I204" s="87" t="n">
        <x:v>8</x:v>
      </x:c>
    </x:row>
    <x:row r="205">
      <x:c r="A205" s="85" t="n">
        <x:v>204</x:v>
      </x:c>
      <x:c r="B205" s="86" t="n">
        <x:v>134</x:v>
      </x:c>
      <x:c r="C205" s="95" t="n">
        <x:v>45602</x:v>
      </x:c>
      <x:c r="D205" s="95" t="n">
        <x:v>45604</x:v>
      </x:c>
      <x:c r="E205" s="86" t="str">
        <x:v>Falta não justificada</x:v>
      </x:c>
      <x:c r="F205" s="86" t="n">
        <x:v>24</x:v>
      </x:c>
      <x:c r="G205" s="86" t="n">
        <x:v>0</x:v>
      </x:c>
      <x:c r="H205" s="91" t="n">
        <x:v>841.58</x:v>
      </x:c>
      <x:c r="I205" s="87" t="n">
        <x:v>5</x:v>
      </x:c>
    </x:row>
    <x:row r="206">
      <x:c r="A206" s="85" t="n">
        <x:v>205</x:v>
      </x:c>
      <x:c r="B206" s="86" t="n">
        <x:v>359</x:v>
      </x:c>
      <x:c r="C206" s="95" t="n">
        <x:v>46017</x:v>
      </x:c>
      <x:c r="D206" s="95" t="n">
        <x:v>46017</x:v>
      </x:c>
      <x:c r="E206" s="86" t="str">
        <x:v>Atraso</x:v>
      </x:c>
      <x:c r="F206" s="86" t="n">
        <x:v>2</x:v>
      </x:c>
      <x:c r="G206" s="86" t="n">
        <x:v>1</x:v>
      </x:c>
      <x:c r="H206" s="91" t="n">
        <x:v>26.71</x:v>
      </x:c>
      <x:c r="I206" s="87" t="n">
        <x:v>1</x:v>
      </x:c>
    </x:row>
    <x:row r="207">
      <x:c r="A207" s="85" t="n">
        <x:v>206</x:v>
      </x:c>
      <x:c r="B207" s="86" t="n">
        <x:v>153</x:v>
      </x:c>
      <x:c r="C207" s="95" t="n">
        <x:v>45860</x:v>
      </x:c>
      <x:c r="D207" s="95" t="n">
        <x:v>45860</x:v>
      </x:c>
      <x:c r="E207" s="86" t="str">
        <x:v>Licença</x:v>
      </x:c>
      <x:c r="F207" s="86" t="n">
        <x:v>4</x:v>
      </x:c>
      <x:c r="G207" s="86" t="n">
        <x:v>1</x:v>
      </x:c>
      <x:c r="H207" s="91" t="n">
        <x:v>98.93</x:v>
      </x:c>
      <x:c r="I207" s="87" t="n">
        <x:v>4</x:v>
      </x:c>
    </x:row>
    <x:row r="208">
      <x:c r="A208" s="85" t="n">
        <x:v>207</x:v>
      </x:c>
      <x:c r="B208" s="86" t="n">
        <x:v>284</x:v>
      </x:c>
      <x:c r="C208" s="95" t="n">
        <x:v>45662</x:v>
      </x:c>
      <x:c r="D208" s="95" t="n">
        <x:v>45666</x:v>
      </x:c>
      <x:c r="E208" s="86" t="str">
        <x:v>Atestado médico</x:v>
      </x:c>
      <x:c r="F208" s="86" t="n">
        <x:v>40</x:v>
      </x:c>
      <x:c r="G208" s="86" t="n">
        <x:v>1</x:v>
      </x:c>
      <x:c r="H208" s="91" t="n">
        <x:v>414.37</x:v>
      </x:c>
      <x:c r="I208" s="87" t="n">
        <x:v>1</x:v>
      </x:c>
    </x:row>
    <x:row r="209">
      <x:c r="A209" s="85" t="n">
        <x:v>208</x:v>
      </x:c>
      <x:c r="B209" s="86" t="n">
        <x:v>406</x:v>
      </x:c>
      <x:c r="C209" s="95" t="n">
        <x:v>45679</x:v>
      </x:c>
      <x:c r="D209" s="95" t="n">
        <x:v>45679</x:v>
      </x:c>
      <x:c r="E209" s="86" t="str">
        <x:v>Atraso</x:v>
      </x:c>
      <x:c r="F209" s="86" t="n">
        <x:v>2</x:v>
      </x:c>
      <x:c r="G209" s="86" t="n">
        <x:v>1</x:v>
      </x:c>
      <x:c r="H209" s="91" t="n">
        <x:v>41.67</x:v>
      </x:c>
      <x:c r="I209" s="87" t="n">
        <x:v>10</x:v>
      </x:c>
    </x:row>
    <x:row r="210">
      <x:c r="A210" s="85" t="n">
        <x:v>209</x:v>
      </x:c>
      <x:c r="B210" s="86" t="n">
        <x:v>319</x:v>
      </x:c>
      <x:c r="C210" s="95" t="n">
        <x:v>45973</x:v>
      </x:c>
      <x:c r="D210" s="95" t="n">
        <x:v>45974</x:v>
      </x:c>
      <x:c r="E210" s="86" t="str">
        <x:v>Consulta médica</x:v>
      </x:c>
      <x:c r="F210" s="86" t="n">
        <x:v>16</x:v>
      </x:c>
      <x:c r="G210" s="86" t="n">
        <x:v>1</x:v>
      </x:c>
      <x:c r="H210" s="91" t="n">
        <x:v>457.05</x:v>
      </x:c>
      <x:c r="I210" s="87" t="n">
        <x:v>8</x:v>
      </x:c>
    </x:row>
    <x:row r="211">
      <x:c r="A211" s="85" t="n">
        <x:v>210</x:v>
      </x:c>
      <x:c r="B211" s="86" t="n">
        <x:v>402</x:v>
      </x:c>
      <x:c r="C211" s="95" t="n">
        <x:v>45965</x:v>
      </x:c>
      <x:c r="D211" s="95" t="n">
        <x:v>45965</x:v>
      </x:c>
      <x:c r="E211" s="86" t="str">
        <x:v>Atraso</x:v>
      </x:c>
      <x:c r="F211" s="86" t="n">
        <x:v>1</x:v>
      </x:c>
      <x:c r="G211" s="86" t="n">
        <x:v>1</x:v>
      </x:c>
      <x:c r="H211" s="91" t="n">
        <x:v>15.94</x:v>
      </x:c>
      <x:c r="I211" s="87" t="n">
        <x:v>1</x:v>
      </x:c>
    </x:row>
    <x:row r="212">
      <x:c r="A212" s="85" t="n">
        <x:v>211</x:v>
      </x:c>
      <x:c r="B212" s="86" t="n">
        <x:v>346</x:v>
      </x:c>
      <x:c r="C212" s="95" t="n">
        <x:v>45521</x:v>
      </x:c>
      <x:c r="D212" s="95" t="n">
        <x:v>45523</x:v>
      </x:c>
      <x:c r="E212" s="86" t="str">
        <x:v>Atestado médico</x:v>
      </x:c>
      <x:c r="F212" s="86" t="n">
        <x:v>24</x:v>
      </x:c>
      <x:c r="G212" s="86" t="n">
        <x:v>1</x:v>
      </x:c>
      <x:c r="H212" s="91" t="n">
        <x:v>699.3</x:v>
      </x:c>
      <x:c r="I212" s="87" t="n">
        <x:v>9</x:v>
      </x:c>
    </x:row>
    <x:row r="213">
      <x:c r="A213" s="85" t="n">
        <x:v>212</x:v>
      </x:c>
      <x:c r="B213" s="86" t="n">
        <x:v>101</x:v>
      </x:c>
      <x:c r="C213" s="95" t="n">
        <x:v>45388</x:v>
      </x:c>
      <x:c r="D213" s="95" t="n">
        <x:v>45392</x:v>
      </x:c>
      <x:c r="E213" s="86" t="str">
        <x:v>Consulta médica</x:v>
      </x:c>
      <x:c r="F213" s="86" t="n">
        <x:v>40</x:v>
      </x:c>
      <x:c r="G213" s="86" t="n">
        <x:v>1</x:v>
      </x:c>
      <x:c r="H213" s="91" t="n">
        <x:v>419.52</x:v>
      </x:c>
      <x:c r="I213" s="87" t="n">
        <x:v>1</x:v>
      </x:c>
    </x:row>
    <x:row r="214">
      <x:c r="A214" s="85" t="n">
        <x:v>213</x:v>
      </x:c>
      <x:c r="B214" s="86" t="n">
        <x:v>210</x:v>
      </x:c>
      <x:c r="C214" s="95" t="n">
        <x:v>45906</x:v>
      </x:c>
      <x:c r="D214" s="95" t="n">
        <x:v>45906</x:v>
      </x:c>
      <x:c r="E214" s="86" t="str">
        <x:v>Consulta médica</x:v>
      </x:c>
      <x:c r="F214" s="86" t="n">
        <x:v>1</x:v>
      </x:c>
      <x:c r="G214" s="86" t="n">
        <x:v>1</x:v>
      </x:c>
      <x:c r="H214" s="91" t="n">
        <x:v>14.95</x:v>
      </x:c>
      <x:c r="I214" s="87" t="n">
        <x:v>1</x:v>
      </x:c>
    </x:row>
    <x:row r="215">
      <x:c r="A215" s="85" t="n">
        <x:v>214</x:v>
      </x:c>
      <x:c r="B215" s="86" t="n">
        <x:v>334</x:v>
      </x:c>
      <x:c r="C215" s="95" t="n">
        <x:v>45970</x:v>
      </x:c>
      <x:c r="D215" s="95" t="n">
        <x:v>45970</x:v>
      </x:c>
      <x:c r="E215" s="86" t="str">
        <x:v>Atestado médico</x:v>
      </x:c>
      <x:c r="F215" s="86" t="n">
        <x:v>2</x:v>
      </x:c>
      <x:c r="G215" s="86" t="n">
        <x:v>1</x:v>
      </x:c>
      <x:c r="H215" s="91" t="n">
        <x:v>66.81</x:v>
      </x:c>
      <x:c r="I215" s="87" t="n">
        <x:v>5</x:v>
      </x:c>
    </x:row>
    <x:row r="216">
      <x:c r="A216" s="85" t="n">
        <x:v>215</x:v>
      </x:c>
      <x:c r="B216" s="86" t="n">
        <x:v>105</x:v>
      </x:c>
      <x:c r="C216" s="95" t="n">
        <x:v>45953</x:v>
      </x:c>
      <x:c r="D216" s="95" t="n">
        <x:v>45953</x:v>
      </x:c>
      <x:c r="E216" s="86" t="str">
        <x:v>Falta não justificada</x:v>
      </x:c>
      <x:c r="F216" s="86" t="n">
        <x:v>1</x:v>
      </x:c>
      <x:c r="G216" s="86" t="n">
        <x:v>0</x:v>
      </x:c>
      <x:c r="H216" s="91" t="n">
        <x:v>18.52</x:v>
      </x:c>
      <x:c r="I216" s="87" t="n">
        <x:v>2</x:v>
      </x:c>
    </x:row>
    <x:row r="217">
      <x:c r="A217" s="85" t="n">
        <x:v>216</x:v>
      </x:c>
      <x:c r="B217" s="86" t="n">
        <x:v>204</x:v>
      </x:c>
      <x:c r="C217" s="95" t="n">
        <x:v>45917</x:v>
      </x:c>
      <x:c r="D217" s="95" t="n">
        <x:v>45918</x:v>
      </x:c>
      <x:c r="E217" s="86" t="str">
        <x:v>Atestado médico</x:v>
      </x:c>
      <x:c r="F217" s="86" t="n">
        <x:v>16</x:v>
      </x:c>
      <x:c r="G217" s="86" t="n">
        <x:v>1</x:v>
      </x:c>
      <x:c r="H217" s="91" t="n">
        <x:v>368.14</x:v>
      </x:c>
      <x:c r="I217" s="87" t="n">
        <x:v>6</x:v>
      </x:c>
    </x:row>
    <x:row r="218">
      <x:c r="A218" s="85" t="n">
        <x:v>217</x:v>
      </x:c>
      <x:c r="B218" s="86" t="n">
        <x:v>373</x:v>
      </x:c>
      <x:c r="C218" s="95" t="n">
        <x:v>45860</x:v>
      </x:c>
      <x:c r="D218" s="95" t="n">
        <x:v>45860</x:v>
      </x:c>
      <x:c r="E218" s="86" t="str">
        <x:v>Atestado médico</x:v>
      </x:c>
      <x:c r="F218" s="86" t="n">
        <x:v>8</x:v>
      </x:c>
      <x:c r="G218" s="86" t="n">
        <x:v>1</x:v>
      </x:c>
      <x:c r="H218" s="91" t="n">
        <x:v>118.48</x:v>
      </x:c>
      <x:c r="I218" s="87" t="n">
        <x:v>1</x:v>
      </x:c>
    </x:row>
    <x:row r="219">
      <x:c r="A219" s="85" t="n">
        <x:v>218</x:v>
      </x:c>
      <x:c r="B219" s="86" t="n">
        <x:v>408</x:v>
      </x:c>
      <x:c r="C219" s="95" t="n">
        <x:v>45406</x:v>
      </x:c>
      <x:c r="D219" s="95" t="n">
        <x:v>45408</x:v>
      </x:c>
      <x:c r="E219" s="86" t="str">
        <x:v>Atestado médico</x:v>
      </x:c>
      <x:c r="F219" s="86" t="n">
        <x:v>24</x:v>
      </x:c>
      <x:c r="G219" s="86" t="n">
        <x:v>1</x:v>
      </x:c>
      <x:c r="H219" s="91" t="n">
        <x:v>592.83</x:v>
      </x:c>
      <x:c r="I219" s="87" t="n">
        <x:v>4</x:v>
      </x:c>
    </x:row>
    <x:row r="220">
      <x:c r="A220" s="85" t="n">
        <x:v>219</x:v>
      </x:c>
      <x:c r="B220" s="86" t="n">
        <x:v>279</x:v>
      </x:c>
      <x:c r="C220" s="95" t="n">
        <x:v>45775</x:v>
      </x:c>
      <x:c r="D220" s="95" t="n">
        <x:v>45775</x:v>
      </x:c>
      <x:c r="E220" s="86" t="str">
        <x:v>Atestado médico</x:v>
      </x:c>
      <x:c r="F220" s="86" t="n">
        <x:v>8</x:v>
      </x:c>
      <x:c r="G220" s="86" t="n">
        <x:v>1</x:v>
      </x:c>
      <x:c r="H220" s="91" t="n">
        <x:v>300.56</x:v>
      </x:c>
      <x:c r="I220" s="87" t="n">
        <x:v>6</x:v>
      </x:c>
    </x:row>
    <x:row r="221">
      <x:c r="A221" s="85" t="n">
        <x:v>220</x:v>
      </x:c>
      <x:c r="B221" s="86" t="n">
        <x:v>35</x:v>
      </x:c>
      <x:c r="C221" s="95" t="n">
        <x:v>45450</x:v>
      </x:c>
      <x:c r="D221" s="95" t="n">
        <x:v>45454</x:v>
      </x:c>
      <x:c r="E221" s="86" t="str">
        <x:v>Consulta médica</x:v>
      </x:c>
      <x:c r="F221" s="86" t="n">
        <x:v>40</x:v>
      </x:c>
      <x:c r="G221" s="86" t="n">
        <x:v>1</x:v>
      </x:c>
      <x:c r="H221" s="91" t="n">
        <x:v>1337.84</x:v>
      </x:c>
      <x:c r="I221" s="87" t="n">
        <x:v>6</x:v>
      </x:c>
    </x:row>
    <x:row r="222">
      <x:c r="A222" s="85" t="n">
        <x:v>221</x:v>
      </x:c>
      <x:c r="B222" s="86" t="n">
        <x:v>12</x:v>
      </x:c>
      <x:c r="C222" s="95" t="n">
        <x:v>45902</x:v>
      </x:c>
      <x:c r="D222" s="95" t="n">
        <x:v>45902</x:v>
      </x:c>
      <x:c r="E222" s="86" t="str">
        <x:v>Atraso</x:v>
      </x:c>
      <x:c r="F222" s="86" t="n">
        <x:v>3</x:v>
      </x:c>
      <x:c r="G222" s="86" t="n">
        <x:v>1</x:v>
      </x:c>
      <x:c r="H222" s="91" t="n">
        <x:v>33.57</x:v>
      </x:c>
      <x:c r="I222" s="87" t="n">
        <x:v>1</x:v>
      </x:c>
    </x:row>
    <x:row r="223">
      <x:c r="A223" s="85" t="n">
        <x:v>222</x:v>
      </x:c>
      <x:c r="B223" s="86" t="n">
        <x:v>23</x:v>
      </x:c>
      <x:c r="C223" s="95" t="n">
        <x:v>45872</x:v>
      </x:c>
      <x:c r="D223" s="95" t="n">
        <x:v>45876</x:v>
      </x:c>
      <x:c r="E223" s="86" t="str">
        <x:v>Atestado médico</x:v>
      </x:c>
      <x:c r="F223" s="86" t="n">
        <x:v>40</x:v>
      </x:c>
      <x:c r="G223" s="86" t="n">
        <x:v>1</x:v>
      </x:c>
      <x:c r="H223" s="91" t="n">
        <x:v>1776.61</x:v>
      </x:c>
      <x:c r="I223" s="87" t="n">
        <x:v>5</x:v>
      </x:c>
    </x:row>
    <x:row r="224">
      <x:c r="A224" s="85" t="n">
        <x:v>223</x:v>
      </x:c>
      <x:c r="B224" s="86" t="n">
        <x:v>80</x:v>
      </x:c>
      <x:c r="C224" s="95" t="n">
        <x:v>45772</x:v>
      </x:c>
      <x:c r="D224" s="95" t="n">
        <x:v>45772</x:v>
      </x:c>
      <x:c r="E224" s="86" t="str">
        <x:v>Consulta médica</x:v>
      </x:c>
      <x:c r="F224" s="86" t="n">
        <x:v>4</x:v>
      </x:c>
      <x:c r="G224" s="86" t="n">
        <x:v>1</x:v>
      </x:c>
      <x:c r="H224" s="91" t="n">
        <x:v>116.75</x:v>
      </x:c>
      <x:c r="I224" s="87" t="n">
        <x:v>9</x:v>
      </x:c>
    </x:row>
    <x:row r="225">
      <x:c r="A225" s="85" t="n">
        <x:v>224</x:v>
      </x:c>
      <x:c r="B225" s="86" t="n">
        <x:v>312</x:v>
      </x:c>
      <x:c r="C225" s="95" t="n">
        <x:v>45909</x:v>
      </x:c>
      <x:c r="D225" s="95" t="n">
        <x:v>45909</x:v>
      </x:c>
      <x:c r="E225" s="86" t="str">
        <x:v>Atraso</x:v>
      </x:c>
      <x:c r="F225" s="86" t="n">
        <x:v>3</x:v>
      </x:c>
      <x:c r="G225" s="86" t="n">
        <x:v>1</x:v>
      </x:c>
      <x:c r="H225" s="91" t="n">
        <x:v>46.38</x:v>
      </x:c>
      <x:c r="I225" s="87" t="n">
        <x:v>10</x:v>
      </x:c>
    </x:row>
    <x:row r="226">
      <x:c r="A226" s="85" t="n">
        <x:v>225</x:v>
      </x:c>
      <x:c r="B226" s="86" t="n">
        <x:v>366</x:v>
      </x:c>
      <x:c r="C226" s="95" t="n">
        <x:v>45837</x:v>
      </x:c>
      <x:c r="D226" s="95" t="n">
        <x:v>45841</x:v>
      </x:c>
      <x:c r="E226" s="86" t="str">
        <x:v>Consulta médica</x:v>
      </x:c>
      <x:c r="F226" s="86" t="n">
        <x:v>40</x:v>
      </x:c>
      <x:c r="G226" s="86" t="n">
        <x:v>1</x:v>
      </x:c>
      <x:c r="H226" s="91" t="n">
        <x:v>429.48</x:v>
      </x:c>
      <x:c r="I226" s="87" t="n">
        <x:v>1</x:v>
      </x:c>
    </x:row>
    <x:row r="227">
      <x:c r="A227" s="85" t="n">
        <x:v>226</x:v>
      </x:c>
      <x:c r="B227" s="86" t="n">
        <x:v>172</x:v>
      </x:c>
      <x:c r="C227" s="95" t="n">
        <x:v>45633</x:v>
      </x:c>
      <x:c r="D227" s="95" t="n">
        <x:v>45633</x:v>
      </x:c>
      <x:c r="E227" s="86" t="str">
        <x:v>Falta não justificada</x:v>
      </x:c>
      <x:c r="F227" s="86" t="n">
        <x:v>8</x:v>
      </x:c>
      <x:c r="G227" s="86" t="n">
        <x:v>0</x:v>
      </x:c>
      <x:c r="H227" s="91" t="n">
        <x:v>90.11</x:v>
      </x:c>
      <x:c r="I227" s="87" t="n">
        <x:v>1</x:v>
      </x:c>
    </x:row>
    <x:row r="228">
      <x:c r="A228" s="85" t="n">
        <x:v>227</x:v>
      </x:c>
      <x:c r="B228" s="86" t="n">
        <x:v>266</x:v>
      </x:c>
      <x:c r="C228" s="95" t="n">
        <x:v>45863</x:v>
      </x:c>
      <x:c r="D228" s="95" t="n">
        <x:v>45863</x:v>
      </x:c>
      <x:c r="E228" s="86" t="str">
        <x:v>Atestado médico</x:v>
      </x:c>
      <x:c r="F228" s="86" t="n">
        <x:v>4</x:v>
      </x:c>
      <x:c r="G228" s="86" t="n">
        <x:v>1</x:v>
      </x:c>
      <x:c r="H228" s="91" t="n">
        <x:v>50.38</x:v>
      </x:c>
      <x:c r="I228" s="87" t="n">
        <x:v>1</x:v>
      </x:c>
    </x:row>
    <x:row r="229">
      <x:c r="A229" s="85" t="n">
        <x:v>228</x:v>
      </x:c>
      <x:c r="B229" s="86" t="n">
        <x:v>383</x:v>
      </x:c>
      <x:c r="C229" s="95" t="n">
        <x:v>45955</x:v>
      </x:c>
      <x:c r="D229" s="95" t="n">
        <x:v>45955</x:v>
      </x:c>
      <x:c r="E229" s="86" t="str">
        <x:v>Atestado médico</x:v>
      </x:c>
      <x:c r="F229" s="86" t="n">
        <x:v>1</x:v>
      </x:c>
      <x:c r="G229" s="86" t="n">
        <x:v>1</x:v>
      </x:c>
      <x:c r="H229" s="91" t="n">
        <x:v>20.9</x:v>
      </x:c>
      <x:c r="I229" s="87" t="n">
        <x:v>3</x:v>
      </x:c>
    </x:row>
    <x:row r="230">
      <x:c r="A230" s="85" t="n">
        <x:v>229</x:v>
      </x:c>
      <x:c r="B230" s="86" t="n">
        <x:v>21</x:v>
      </x:c>
      <x:c r="C230" s="95" t="n">
        <x:v>45655</x:v>
      </x:c>
      <x:c r="D230" s="95" t="n">
        <x:v>45655</x:v>
      </x:c>
      <x:c r="E230" s="86" t="str">
        <x:v>Atestado médico</x:v>
      </x:c>
      <x:c r="F230" s="86" t="n">
        <x:v>4</x:v>
      </x:c>
      <x:c r="G230" s="86" t="n">
        <x:v>1</x:v>
      </x:c>
      <x:c r="H230" s="91" t="n">
        <x:v>64.62</x:v>
      </x:c>
      <x:c r="I230" s="87" t="n">
        <x:v>3</x:v>
      </x:c>
    </x:row>
    <x:row r="231">
      <x:c r="A231" s="85" t="n">
        <x:v>230</x:v>
      </x:c>
      <x:c r="B231" s="86" t="n">
        <x:v>114</x:v>
      </x:c>
      <x:c r="C231" s="95" t="n">
        <x:v>45530</x:v>
      </x:c>
      <x:c r="D231" s="95" t="n">
        <x:v>45534</x:v>
      </x:c>
      <x:c r="E231" s="86" t="str">
        <x:v>Consulta médica</x:v>
      </x:c>
      <x:c r="F231" s="86" t="n">
        <x:v>40</x:v>
      </x:c>
      <x:c r="G231" s="86" t="n">
        <x:v>1</x:v>
      </x:c>
      <x:c r="H231" s="91" t="n">
        <x:v>890.81</x:v>
      </x:c>
      <x:c r="I231" s="87" t="n">
        <x:v>7</x:v>
      </x:c>
    </x:row>
    <x:row r="232">
      <x:c r="A232" s="85" t="n">
        <x:v>231</x:v>
      </x:c>
      <x:c r="B232" s="86" t="n">
        <x:v>356</x:v>
      </x:c>
      <x:c r="C232" s="95" t="n">
        <x:v>45884</x:v>
      </x:c>
      <x:c r="D232" s="95" t="n">
        <x:v>45884</x:v>
      </x:c>
      <x:c r="E232" s="86" t="str">
        <x:v>Atestado médico</x:v>
      </x:c>
      <x:c r="F232" s="86" t="n">
        <x:v>2</x:v>
      </x:c>
      <x:c r="G232" s="86" t="n">
        <x:v>1</x:v>
      </x:c>
      <x:c r="H232" s="91" t="n">
        <x:v>61.11</x:v>
      </x:c>
      <x:c r="I232" s="87" t="n">
        <x:v>8</x:v>
      </x:c>
    </x:row>
    <x:row r="233">
      <x:c r="A233" s="85" t="n">
        <x:v>232</x:v>
      </x:c>
      <x:c r="B233" s="86" t="n">
        <x:v>161</x:v>
      </x:c>
      <x:c r="C233" s="95" t="n">
        <x:v>45570</x:v>
      </x:c>
      <x:c r="D233" s="95" t="n">
        <x:v>45572</x:v>
      </x:c>
      <x:c r="E233" s="86" t="str">
        <x:v>Atestado médico</x:v>
      </x:c>
      <x:c r="F233" s="86" t="n">
        <x:v>24</x:v>
      </x:c>
      <x:c r="G233" s="86" t="n">
        <x:v>1</x:v>
      </x:c>
      <x:c r="H233" s="91" t="n">
        <x:v>349.57</x:v>
      </x:c>
      <x:c r="I233" s="87" t="n">
        <x:v>1</x:v>
      </x:c>
    </x:row>
    <x:row r="234">
      <x:c r="A234" s="85" t="n">
        <x:v>233</x:v>
      </x:c>
      <x:c r="B234" s="86" t="n">
        <x:v>48</x:v>
      </x:c>
      <x:c r="C234" s="95" t="n">
        <x:v>45330</x:v>
      </x:c>
      <x:c r="D234" s="95" t="n">
        <x:v>45330</x:v>
      </x:c>
      <x:c r="E234" s="86" t="str">
        <x:v>Atraso</x:v>
      </x:c>
      <x:c r="F234" s="86" t="n">
        <x:v>3</x:v>
      </x:c>
      <x:c r="G234" s="86" t="n">
        <x:v>1</x:v>
      </x:c>
      <x:c r="H234" s="91" t="n">
        <x:v>93.19</x:v>
      </x:c>
      <x:c r="I234" s="87" t="n">
        <x:v>8</x:v>
      </x:c>
    </x:row>
    <x:row r="235">
      <x:c r="A235" s="85" t="n">
        <x:v>234</x:v>
      </x:c>
      <x:c r="B235" s="86" t="n">
        <x:v>129</x:v>
      </x:c>
      <x:c r="C235" s="95" t="n">
        <x:v>46011</x:v>
      </x:c>
      <x:c r="D235" s="95" t="n">
        <x:v>46011</x:v>
      </x:c>
      <x:c r="E235" s="86" t="str">
        <x:v>Falta não justificada</x:v>
      </x:c>
      <x:c r="F235" s="86" t="n">
        <x:v>8</x:v>
      </x:c>
      <x:c r="G235" s="86" t="n">
        <x:v>0</x:v>
      </x:c>
      <x:c r="H235" s="91" t="n">
        <x:v>126.05</x:v>
      </x:c>
      <x:c r="I235" s="87" t="n">
        <x:v>1</x:v>
      </x:c>
    </x:row>
    <x:row r="236">
      <x:c r="A236" s="85" t="n">
        <x:v>235</x:v>
      </x:c>
      <x:c r="B236" s="86" t="n">
        <x:v>231</x:v>
      </x:c>
      <x:c r="C236" s="95" t="n">
        <x:v>45337</x:v>
      </x:c>
      <x:c r="D236" s="95" t="n">
        <x:v>45337</x:v>
      </x:c>
      <x:c r="E236" s="86" t="str">
        <x:v>Falta não justificada</x:v>
      </x:c>
      <x:c r="F236" s="86" t="n">
        <x:v>8</x:v>
      </x:c>
      <x:c r="G236" s="86" t="n">
        <x:v>0</x:v>
      </x:c>
      <x:c r="H236" s="91" t="n">
        <x:v>217.34</x:v>
      </x:c>
      <x:c r="I236" s="87" t="n">
        <x:v>7</x:v>
      </x:c>
    </x:row>
    <x:row r="237">
      <x:c r="A237" s="85" t="n">
        <x:v>236</x:v>
      </x:c>
      <x:c r="B237" s="86" t="n">
        <x:v>56</x:v>
      </x:c>
      <x:c r="C237" s="95" t="n">
        <x:v>45789</x:v>
      </x:c>
      <x:c r="D237" s="95" t="n">
        <x:v>45789</x:v>
      </x:c>
      <x:c r="E237" s="86" t="str">
        <x:v>Falta não justificada</x:v>
      </x:c>
      <x:c r="F237" s="86" t="n">
        <x:v>2</x:v>
      </x:c>
      <x:c r="G237" s="86" t="n">
        <x:v>0</x:v>
      </x:c>
      <x:c r="H237" s="91" t="n">
        <x:v>31.48</x:v>
      </x:c>
      <x:c r="I237" s="87" t="n">
        <x:v>1</x:v>
      </x:c>
    </x:row>
    <x:row r="238">
      <x:c r="A238" s="85" t="n">
        <x:v>237</x:v>
      </x:c>
      <x:c r="B238" s="86" t="n">
        <x:v>316</x:v>
      </x:c>
      <x:c r="C238" s="95" t="n">
        <x:v>45556</x:v>
      </x:c>
      <x:c r="D238" s="95" t="n">
        <x:v>45558</x:v>
      </x:c>
      <x:c r="E238" s="86" t="str">
        <x:v>Atestado médico</x:v>
      </x:c>
      <x:c r="F238" s="86" t="n">
        <x:v>24</x:v>
      </x:c>
      <x:c r="G238" s="86" t="n">
        <x:v>1</x:v>
      </x:c>
      <x:c r="H238" s="91" t="n">
        <x:v>746.29</x:v>
      </x:c>
      <x:c r="I238" s="87" t="n">
        <x:v>6</x:v>
      </x:c>
    </x:row>
    <x:row r="239">
      <x:c r="A239" s="85" t="n">
        <x:v>238</x:v>
      </x:c>
      <x:c r="B239" s="86" t="n">
        <x:v>115</x:v>
      </x:c>
      <x:c r="C239" s="95" t="n">
        <x:v>45654</x:v>
      </x:c>
      <x:c r="D239" s="95" t="n">
        <x:v>45654</x:v>
      </x:c>
      <x:c r="E239" s="86" t="str">
        <x:v>Atraso</x:v>
      </x:c>
      <x:c r="F239" s="86" t="n">
        <x:v>3</x:v>
      </x:c>
      <x:c r="G239" s="86" t="n">
        <x:v>1</x:v>
      </x:c>
      <x:c r="H239" s="91" t="n">
        <x:v>74.92</x:v>
      </x:c>
      <x:c r="I239" s="87" t="n">
        <x:v>4</x:v>
      </x:c>
    </x:row>
    <x:row r="240">
      <x:c r="A240" s="85" t="n">
        <x:v>239</x:v>
      </x:c>
      <x:c r="B240" s="86" t="n">
        <x:v>391</x:v>
      </x:c>
      <x:c r="C240" s="95" t="n">
        <x:v>45848</x:v>
      </x:c>
      <x:c r="D240" s="95" t="n">
        <x:v>45850</x:v>
      </x:c>
      <x:c r="E240" s="86" t="str">
        <x:v>Atestado médico</x:v>
      </x:c>
      <x:c r="F240" s="86" t="n">
        <x:v>24</x:v>
      </x:c>
      <x:c r="G240" s="86" t="n">
        <x:v>1</x:v>
      </x:c>
      <x:c r="H240" s="91" t="n">
        <x:v>501.73</x:v>
      </x:c>
      <x:c r="I240" s="87" t="n">
        <x:v>2</x:v>
      </x:c>
    </x:row>
    <x:row r="241">
      <x:c r="A241" s="85" t="n">
        <x:v>240</x:v>
      </x:c>
      <x:c r="B241" s="86" t="n">
        <x:v>217</x:v>
      </x:c>
      <x:c r="C241" s="95" t="n">
        <x:v>45832</x:v>
      </x:c>
      <x:c r="D241" s="95" t="n">
        <x:v>45832</x:v>
      </x:c>
      <x:c r="E241" s="86" t="str">
        <x:v>Consulta médica</x:v>
      </x:c>
      <x:c r="F241" s="86" t="n">
        <x:v>8</x:v>
      </x:c>
      <x:c r="G241" s="86" t="n">
        <x:v>1</x:v>
      </x:c>
      <x:c r="H241" s="91" t="n">
        <x:v>228.67</x:v>
      </x:c>
      <x:c r="I241" s="87" t="n">
        <x:v>9</x:v>
      </x:c>
    </x:row>
    <x:row r="242">
      <x:c r="A242" s="85" t="n">
        <x:v>241</x:v>
      </x:c>
      <x:c r="B242" s="86" t="n">
        <x:v>328</x:v>
      </x:c>
      <x:c r="C242" s="95" t="n">
        <x:v>45771</x:v>
      </x:c>
      <x:c r="D242" s="95" t="n">
        <x:v>45771</x:v>
      </x:c>
      <x:c r="E242" s="86" t="str">
        <x:v>Atestado médico</x:v>
      </x:c>
      <x:c r="F242" s="86" t="n">
        <x:v>8</x:v>
      </x:c>
      <x:c r="G242" s="86" t="n">
        <x:v>1</x:v>
      </x:c>
      <x:c r="H242" s="91" t="n">
        <x:v>227.08</x:v>
      </x:c>
      <x:c r="I242" s="87" t="n">
        <x:v>6</x:v>
      </x:c>
    </x:row>
    <x:row r="243">
      <x:c r="A243" s="85" t="n">
        <x:v>242</x:v>
      </x:c>
      <x:c r="B243" s="86" t="n">
        <x:v>345</x:v>
      </x:c>
      <x:c r="C243" s="95" t="n">
        <x:v>45624</x:v>
      </x:c>
      <x:c r="D243" s="95" t="n">
        <x:v>45624</x:v>
      </x:c>
      <x:c r="E243" s="86" t="str">
        <x:v>Consulta médica</x:v>
      </x:c>
      <x:c r="F243" s="86" t="n">
        <x:v>2</x:v>
      </x:c>
      <x:c r="G243" s="86" t="n">
        <x:v>1</x:v>
      </x:c>
      <x:c r="H243" s="91" t="n">
        <x:v>34.31</x:v>
      </x:c>
      <x:c r="I243" s="87" t="n">
        <x:v>3</x:v>
      </x:c>
    </x:row>
    <x:row r="244">
      <x:c r="A244" s="85" t="n">
        <x:v>243</x:v>
      </x:c>
      <x:c r="B244" s="86" t="n">
        <x:v>70</x:v>
      </x:c>
      <x:c r="C244" s="95" t="n">
        <x:v>45834</x:v>
      </x:c>
      <x:c r="D244" s="95" t="n">
        <x:v>45834</x:v>
      </x:c>
      <x:c r="E244" s="86" t="str">
        <x:v>Atraso</x:v>
      </x:c>
      <x:c r="F244" s="86" t="n">
        <x:v>1</x:v>
      </x:c>
      <x:c r="G244" s="86" t="n">
        <x:v>1</x:v>
      </x:c>
      <x:c r="H244" s="91" t="n">
        <x:v>16.9</x:v>
      </x:c>
      <x:c r="I244" s="87" t="n">
        <x:v>3</x:v>
      </x:c>
    </x:row>
    <x:row r="245">
      <x:c r="A245" s="85" t="n">
        <x:v>244</x:v>
      </x:c>
      <x:c r="B245" s="86" t="n">
        <x:v>87</x:v>
      </x:c>
      <x:c r="C245" s="95" t="n">
        <x:v>45981</x:v>
      </x:c>
      <x:c r="D245" s="95" t="n">
        <x:v>45981</x:v>
      </x:c>
      <x:c r="E245" s="86" t="str">
        <x:v>Consulta médica</x:v>
      </x:c>
      <x:c r="F245" s="86" t="n">
        <x:v>4</x:v>
      </x:c>
      <x:c r="G245" s="86" t="n">
        <x:v>1</x:v>
      </x:c>
      <x:c r="H245" s="91" t="n">
        <x:v>72.34</x:v>
      </x:c>
      <x:c r="I245" s="87" t="n">
        <x:v>2</x:v>
      </x:c>
    </x:row>
    <x:row r="246">
      <x:c r="A246" s="85" t="n">
        <x:v>245</x:v>
      </x:c>
      <x:c r="B246" s="86" t="n">
        <x:v>113</x:v>
      </x:c>
      <x:c r="C246" s="95" t="n">
        <x:v>45773</x:v>
      </x:c>
      <x:c r="D246" s="95" t="n">
        <x:v>45773</x:v>
      </x:c>
      <x:c r="E246" s="86" t="str">
        <x:v>Atestado médico</x:v>
      </x:c>
      <x:c r="F246" s="86" t="n">
        <x:v>8</x:v>
      </x:c>
      <x:c r="G246" s="86" t="n">
        <x:v>1</x:v>
      </x:c>
      <x:c r="H246" s="91" t="n">
        <x:v>119.18</x:v>
      </x:c>
      <x:c r="I246" s="87" t="n">
        <x:v>1</x:v>
      </x:c>
    </x:row>
    <x:row r="247">
      <x:c r="A247" s="85" t="n">
        <x:v>246</x:v>
      </x:c>
      <x:c r="B247" s="86" t="n">
        <x:v>398</x:v>
      </x:c>
      <x:c r="C247" s="95" t="n">
        <x:v>45827</x:v>
      </x:c>
      <x:c r="D247" s="95" t="n">
        <x:v>45827</x:v>
      </x:c>
      <x:c r="E247" s="86" t="str">
        <x:v>Falta não justificada</x:v>
      </x:c>
      <x:c r="F247" s="86" t="n">
        <x:v>8</x:v>
      </x:c>
      <x:c r="G247" s="86" t="n">
        <x:v>0</x:v>
      </x:c>
      <x:c r="H247" s="91" t="n">
        <x:v>93.08</x:v>
      </x:c>
      <x:c r="I247" s="87" t="n">
        <x:v>1</x:v>
      </x:c>
    </x:row>
    <x:row r="248">
      <x:c r="A248" s="85" t="n">
        <x:v>247</x:v>
      </x:c>
      <x:c r="B248" s="86" t="n">
        <x:v>11</x:v>
      </x:c>
      <x:c r="C248" s="95" t="n">
        <x:v>45777</x:v>
      </x:c>
      <x:c r="D248" s="95" t="n">
        <x:v>45779</x:v>
      </x:c>
      <x:c r="E248" s="86" t="str">
        <x:v>Licença</x:v>
      </x:c>
      <x:c r="F248" s="86" t="n">
        <x:v>24</x:v>
      </x:c>
      <x:c r="G248" s="86" t="n">
        <x:v>1</x:v>
      </x:c>
      <x:c r="H248" s="91" t="n">
        <x:v>870.77</x:v>
      </x:c>
      <x:c r="I248" s="87" t="n">
        <x:v>9</x:v>
      </x:c>
    </x:row>
    <x:row r="249">
      <x:c r="A249" s="85" t="n">
        <x:v>248</x:v>
      </x:c>
      <x:c r="B249" s="86" t="n">
        <x:v>370</x:v>
      </x:c>
      <x:c r="C249" s="95" t="n">
        <x:v>45979</x:v>
      </x:c>
      <x:c r="D249" s="95" t="n">
        <x:v>45979</x:v>
      </x:c>
      <x:c r="E249" s="86" t="str">
        <x:v>Atraso</x:v>
      </x:c>
      <x:c r="F249" s="86" t="n">
        <x:v>3</x:v>
      </x:c>
      <x:c r="G249" s="86" t="n">
        <x:v>1</x:v>
      </x:c>
      <x:c r="H249" s="91" t="n">
        <x:v>84.48</x:v>
      </x:c>
      <x:c r="I249" s="87" t="n">
        <x:v>4</x:v>
      </x:c>
    </x:row>
    <x:row r="250">
      <x:c r="A250" s="85" t="n">
        <x:v>249</x:v>
      </x:c>
      <x:c r="B250" s="86" t="n">
        <x:v>40</x:v>
      </x:c>
      <x:c r="C250" s="95" t="n">
        <x:v>45752</x:v>
      </x:c>
      <x:c r="D250" s="95" t="n">
        <x:v>45756</x:v>
      </x:c>
      <x:c r="E250" s="86" t="str">
        <x:v>Consulta médica</x:v>
      </x:c>
      <x:c r="F250" s="86" t="n">
        <x:v>40</x:v>
      </x:c>
      <x:c r="G250" s="86" t="n">
        <x:v>1</x:v>
      </x:c>
      <x:c r="H250" s="91" t="n">
        <x:v>444.56</x:v>
      </x:c>
      <x:c r="I250" s="87" t="n">
        <x:v>1</x:v>
      </x:c>
    </x:row>
    <x:row r="251">
      <x:c r="A251" s="85" t="n">
        <x:v>250</x:v>
      </x:c>
      <x:c r="B251" s="86" t="n">
        <x:v>34</x:v>
      </x:c>
      <x:c r="C251" s="95" t="n">
        <x:v>45923</x:v>
      </x:c>
      <x:c r="D251" s="95" t="n">
        <x:v>45923</x:v>
      </x:c>
      <x:c r="E251" s="86" t="str">
        <x:v>Consulta médica</x:v>
      </x:c>
      <x:c r="F251" s="86" t="n">
        <x:v>4</x:v>
      </x:c>
      <x:c r="G251" s="86" t="n">
        <x:v>1</x:v>
      </x:c>
      <x:c r="H251" s="91" t="n">
        <x:v>49.56</x:v>
      </x:c>
      <x:c r="I251" s="87" t="n">
        <x:v>1</x:v>
      </x:c>
    </x:row>
    <x:row r="252">
      <x:c r="A252" s="85" t="n">
        <x:v>251</x:v>
      </x:c>
      <x:c r="B252" s="86" t="n">
        <x:v>237</x:v>
      </x:c>
      <x:c r="C252" s="95" t="n">
        <x:v>45808</x:v>
      </x:c>
      <x:c r="D252" s="95" t="n">
        <x:v>45808</x:v>
      </x:c>
      <x:c r="E252" s="86" t="str">
        <x:v>Atraso</x:v>
      </x:c>
      <x:c r="F252" s="86" t="n">
        <x:v>3</x:v>
      </x:c>
      <x:c r="G252" s="86" t="n">
        <x:v>1</x:v>
      </x:c>
      <x:c r="H252" s="91" t="n">
        <x:v>126.82</x:v>
      </x:c>
      <x:c r="I252" s="87" t="n">
        <x:v>4</x:v>
      </x:c>
    </x:row>
    <x:row r="253">
      <x:c r="A253" s="85" t="n">
        <x:v>252</x:v>
      </x:c>
      <x:c r="B253" s="86" t="n">
        <x:v>99</x:v>
      </x:c>
      <x:c r="C253" s="95" t="n">
        <x:v>46014</x:v>
      </x:c>
      <x:c r="D253" s="95" t="n">
        <x:v>46014</x:v>
      </x:c>
      <x:c r="E253" s="86" t="str">
        <x:v>Atraso</x:v>
      </x:c>
      <x:c r="F253" s="86" t="n">
        <x:v>1</x:v>
      </x:c>
      <x:c r="G253" s="86" t="n">
        <x:v>1</x:v>
      </x:c>
      <x:c r="H253" s="91" t="n">
        <x:v>14.89</x:v>
      </x:c>
      <x:c r="I253" s="87" t="n">
        <x:v>2</x:v>
      </x:c>
    </x:row>
    <x:row r="254">
      <x:c r="A254" s="85" t="n">
        <x:v>253</x:v>
      </x:c>
      <x:c r="B254" s="86" t="n">
        <x:v>35</x:v>
      </x:c>
      <x:c r="C254" s="95" t="n">
        <x:v>45732</x:v>
      </x:c>
      <x:c r="D254" s="95" t="n">
        <x:v>45734</x:v>
      </x:c>
      <x:c r="E254" s="86" t="str">
        <x:v>Atestado médico</x:v>
      </x:c>
      <x:c r="F254" s="86" t="n">
        <x:v>24</x:v>
      </x:c>
      <x:c r="G254" s="86" t="n">
        <x:v>1</x:v>
      </x:c>
      <x:c r="H254" s="91" t="n">
        <x:v>802.7</x:v>
      </x:c>
      <x:c r="I254" s="87" t="n">
        <x:v>6</x:v>
      </x:c>
    </x:row>
    <x:row r="255">
      <x:c r="A255" s="85" t="n">
        <x:v>254</x:v>
      </x:c>
      <x:c r="B255" s="86" t="n">
        <x:v>148</x:v>
      </x:c>
      <x:c r="C255" s="95" t="n">
        <x:v>45754</x:v>
      </x:c>
      <x:c r="D255" s="95" t="n">
        <x:v>45754</x:v>
      </x:c>
      <x:c r="E255" s="86" t="str">
        <x:v>Atraso</x:v>
      </x:c>
      <x:c r="F255" s="86" t="n">
        <x:v>3</x:v>
      </x:c>
      <x:c r="G255" s="86" t="n">
        <x:v>1</x:v>
      </x:c>
      <x:c r="H255" s="91" t="n">
        <x:v>118.38</x:v>
      </x:c>
      <x:c r="I255" s="87" t="n">
        <x:v>2</x:v>
      </x:c>
    </x:row>
    <x:row r="256">
      <x:c r="A256" s="85" t="n">
        <x:v>255</x:v>
      </x:c>
      <x:c r="B256" s="86" t="n">
        <x:v>273</x:v>
      </x:c>
      <x:c r="C256" s="95" t="n">
        <x:v>45694</x:v>
      </x:c>
      <x:c r="D256" s="95" t="n">
        <x:v>45694</x:v>
      </x:c>
      <x:c r="E256" s="86" t="str">
        <x:v>Atestado médico</x:v>
      </x:c>
      <x:c r="F256" s="86" t="n">
        <x:v>4</x:v>
      </x:c>
      <x:c r="G256" s="86" t="n">
        <x:v>1</x:v>
      </x:c>
      <x:c r="H256" s="91" t="n">
        <x:v>118.09</x:v>
      </x:c>
      <x:c r="I256" s="87" t="n">
        <x:v>4</x:v>
      </x:c>
    </x:row>
    <x:row r="257">
      <x:c r="A257" s="85" t="n">
        <x:v>256</x:v>
      </x:c>
      <x:c r="B257" s="86" t="n">
        <x:v>337</x:v>
      </x:c>
      <x:c r="C257" s="95" t="n">
        <x:v>45519</x:v>
      </x:c>
      <x:c r="D257" s="95" t="n">
        <x:v>45523</x:v>
      </x:c>
      <x:c r="E257" s="86" t="str">
        <x:v>Licença</x:v>
      </x:c>
      <x:c r="F257" s="86" t="n">
        <x:v>40</x:v>
      </x:c>
      <x:c r="G257" s="86" t="n">
        <x:v>1</x:v>
      </x:c>
      <x:c r="H257" s="91" t="n">
        <x:v>1452.73</x:v>
      </x:c>
      <x:c r="I257" s="87" t="n">
        <x:v>6</x:v>
      </x:c>
    </x:row>
    <x:row r="258">
      <x:c r="A258" s="85" t="n">
        <x:v>257</x:v>
      </x:c>
      <x:c r="B258" s="86" t="n">
        <x:v>415</x:v>
      </x:c>
      <x:c r="C258" s="95" t="n">
        <x:v>45953</x:v>
      </x:c>
      <x:c r="D258" s="95" t="n">
        <x:v>45954</x:v>
      </x:c>
      <x:c r="E258" s="86" t="str">
        <x:v>Atestado médico</x:v>
      </x:c>
      <x:c r="F258" s="86" t="n">
        <x:v>16</x:v>
      </x:c>
      <x:c r="G258" s="86" t="n">
        <x:v>1</x:v>
      </x:c>
      <x:c r="H258" s="91" t="n">
        <x:v>209.98</x:v>
      </x:c>
      <x:c r="I258" s="87" t="n">
        <x:v>1</x:v>
      </x:c>
    </x:row>
    <x:row r="259">
      <x:c r="A259" s="85" t="n">
        <x:v>258</x:v>
      </x:c>
      <x:c r="B259" s="86" t="n">
        <x:v>395</x:v>
      </x:c>
      <x:c r="C259" s="95" t="n">
        <x:v>46021</x:v>
      </x:c>
      <x:c r="D259" s="95" t="n">
        <x:v>46021</x:v>
      </x:c>
      <x:c r="E259" s="86" t="str">
        <x:v>Atestado médico</x:v>
      </x:c>
      <x:c r="F259" s="86" t="n">
        <x:v>8</x:v>
      </x:c>
      <x:c r="G259" s="86" t="n">
        <x:v>1</x:v>
      </x:c>
      <x:c r="H259" s="91" t="n">
        <x:v>216.24</x:v>
      </x:c>
      <x:c r="I259" s="87" t="n">
        <x:v>4</x:v>
      </x:c>
    </x:row>
    <x:row r="260">
      <x:c r="A260" s="85" t="n">
        <x:v>259</x:v>
      </x:c>
      <x:c r="B260" s="86" t="n">
        <x:v>250</x:v>
      </x:c>
      <x:c r="C260" s="95" t="n">
        <x:v>45893</x:v>
      </x:c>
      <x:c r="D260" s="95" t="n">
        <x:v>45893</x:v>
      </x:c>
      <x:c r="E260" s="86" t="str">
        <x:v>Consulta médica</x:v>
      </x:c>
      <x:c r="F260" s="86" t="n">
        <x:v>1</x:v>
      </x:c>
      <x:c r="G260" s="86" t="n">
        <x:v>1</x:v>
      </x:c>
      <x:c r="H260" s="91" t="n">
        <x:v>22.53</x:v>
      </x:c>
      <x:c r="I260" s="87" t="n">
        <x:v>10</x:v>
      </x:c>
    </x:row>
    <x:row r="261">
      <x:c r="A261" s="85" t="n">
        <x:v>260</x:v>
      </x:c>
      <x:c r="B261" s="86" t="n">
        <x:v>208</x:v>
      </x:c>
      <x:c r="C261" s="95" t="n">
        <x:v>45634</x:v>
      </x:c>
      <x:c r="D261" s="95" t="n">
        <x:v>45634</x:v>
      </x:c>
      <x:c r="E261" s="86" t="str">
        <x:v>Atestado médico</x:v>
      </x:c>
      <x:c r="F261" s="86" t="n">
        <x:v>1</x:v>
      </x:c>
      <x:c r="G261" s="86" t="n">
        <x:v>1</x:v>
      </x:c>
      <x:c r="H261" s="91" t="n">
        <x:v>40.91</x:v>
      </x:c>
      <x:c r="I261" s="87" t="n">
        <x:v>9</x:v>
      </x:c>
    </x:row>
    <x:row r="262">
      <x:c r="A262" s="85" t="n">
        <x:v>261</x:v>
      </x:c>
      <x:c r="B262" s="86" t="n">
        <x:v>271</x:v>
      </x:c>
      <x:c r="C262" s="95" t="n">
        <x:v>45803</x:v>
      </x:c>
      <x:c r="D262" s="95" t="n">
        <x:v>45803</x:v>
      </x:c>
      <x:c r="E262" s="86" t="str">
        <x:v>Atraso</x:v>
      </x:c>
      <x:c r="F262" s="86" t="n">
        <x:v>2</x:v>
      </x:c>
      <x:c r="G262" s="86" t="n">
        <x:v>1</x:v>
      </x:c>
      <x:c r="H262" s="91" t="n">
        <x:v>83.65</x:v>
      </x:c>
      <x:c r="I262" s="87" t="n">
        <x:v>9</x:v>
      </x:c>
    </x:row>
    <x:row r="263">
      <x:c r="A263" s="85" t="n">
        <x:v>262</x:v>
      </x:c>
      <x:c r="B263" s="86" t="n">
        <x:v>32</x:v>
      </x:c>
      <x:c r="C263" s="95" t="n">
        <x:v>45412</x:v>
      </x:c>
      <x:c r="D263" s="95" t="n">
        <x:v>45412</x:v>
      </x:c>
      <x:c r="E263" s="86" t="str">
        <x:v>Falta não justificada</x:v>
      </x:c>
      <x:c r="F263" s="86" t="n">
        <x:v>2</x:v>
      </x:c>
      <x:c r="G263" s="86" t="n">
        <x:v>0</x:v>
      </x:c>
      <x:c r="H263" s="91" t="n">
        <x:v>60.11</x:v>
      </x:c>
      <x:c r="I263" s="87" t="n">
        <x:v>6</x:v>
      </x:c>
    </x:row>
    <x:row r="264">
      <x:c r="A264" s="85" t="n">
        <x:v>263</x:v>
      </x:c>
      <x:c r="B264" s="86" t="n">
        <x:v>269</x:v>
      </x:c>
      <x:c r="C264" s="95" t="n">
        <x:v>45822</x:v>
      </x:c>
      <x:c r="D264" s="95" t="n">
        <x:v>45822</x:v>
      </x:c>
      <x:c r="E264" s="86" t="str">
        <x:v>Consulta médica</x:v>
      </x:c>
      <x:c r="F264" s="86" t="n">
        <x:v>4</x:v>
      </x:c>
      <x:c r="G264" s="86" t="n">
        <x:v>1</x:v>
      </x:c>
      <x:c r="H264" s="91" t="n">
        <x:v>115.36</x:v>
      </x:c>
      <x:c r="I264" s="87" t="n">
        <x:v>4</x:v>
      </x:c>
    </x:row>
    <x:row r="265">
      <x:c r="A265" s="85" t="n">
        <x:v>264</x:v>
      </x:c>
      <x:c r="B265" s="86" t="n">
        <x:v>202</x:v>
      </x:c>
      <x:c r="C265" s="95" t="n">
        <x:v>45805</x:v>
      </x:c>
      <x:c r="D265" s="95" t="n">
        <x:v>45806</x:v>
      </x:c>
      <x:c r="E265" s="86" t="str">
        <x:v>Consulta médica</x:v>
      </x:c>
      <x:c r="F265" s="86" t="n">
        <x:v>16</x:v>
      </x:c>
      <x:c r="G265" s="86" t="n">
        <x:v>1</x:v>
      </x:c>
      <x:c r="H265" s="91" t="n">
        <x:v>563.21</x:v>
      </x:c>
      <x:c r="I265" s="87" t="n">
        <x:v>1</x:v>
      </x:c>
    </x:row>
    <x:row r="266">
      <x:c r="A266" s="85" t="n">
        <x:v>265</x:v>
      </x:c>
      <x:c r="B266" s="86" t="n">
        <x:v>49</x:v>
      </x:c>
      <x:c r="C266" s="95" t="n">
        <x:v>45427</x:v>
      </x:c>
      <x:c r="D266" s="95" t="n">
        <x:v>45429</x:v>
      </x:c>
      <x:c r="E266" s="86" t="str">
        <x:v>Licença</x:v>
      </x:c>
      <x:c r="F266" s="86" t="n">
        <x:v>24</x:v>
      </x:c>
      <x:c r="G266" s="86" t="n">
        <x:v>1</x:v>
      </x:c>
      <x:c r="H266" s="91" t="n">
        <x:v>712.64</x:v>
      </x:c>
      <x:c r="I266" s="87" t="n">
        <x:v>10</x:v>
      </x:c>
    </x:row>
    <x:row r="267">
      <x:c r="A267" s="85" t="n">
        <x:v>266</x:v>
      </x:c>
      <x:c r="B267" s="86" t="n">
        <x:v>307</x:v>
      </x:c>
      <x:c r="C267" s="95" t="n">
        <x:v>45645</x:v>
      </x:c>
      <x:c r="D267" s="95" t="n">
        <x:v>45645</x:v>
      </x:c>
      <x:c r="E267" s="86" t="str">
        <x:v>Atestado médico</x:v>
      </x:c>
      <x:c r="F267" s="86" t="n">
        <x:v>8</x:v>
      </x:c>
      <x:c r="G267" s="86" t="n">
        <x:v>1</x:v>
      </x:c>
      <x:c r="H267" s="91" t="n">
        <x:v>157.52</x:v>
      </x:c>
      <x:c r="I267" s="87" t="n">
        <x:v>3</x:v>
      </x:c>
    </x:row>
    <x:row r="268">
      <x:c r="A268" s="85" t="n">
        <x:v>267</x:v>
      </x:c>
      <x:c r="B268" s="86" t="n">
        <x:v>339</x:v>
      </x:c>
      <x:c r="C268" s="95" t="n">
        <x:v>45688</x:v>
      </x:c>
      <x:c r="D268" s="95" t="n">
        <x:v>45692</x:v>
      </x:c>
      <x:c r="E268" s="86" t="str">
        <x:v>Consulta médica</x:v>
      </x:c>
      <x:c r="F268" s="86" t="n">
        <x:v>40</x:v>
      </x:c>
      <x:c r="G268" s="86" t="n">
        <x:v>1</x:v>
      </x:c>
      <x:c r="H268" s="91" t="n">
        <x:v>1154.41</x:v>
      </x:c>
      <x:c r="I268" s="87" t="n">
        <x:v>7</x:v>
      </x:c>
    </x:row>
    <x:row r="269">
      <x:c r="A269" s="85" t="n">
        <x:v>268</x:v>
      </x:c>
      <x:c r="B269" s="86" t="n">
        <x:v>159</x:v>
      </x:c>
      <x:c r="C269" s="95" t="n">
        <x:v>45432</x:v>
      </x:c>
      <x:c r="D269" s="95" t="n">
        <x:v>45432</x:v>
      </x:c>
      <x:c r="E269" s="86" t="str">
        <x:v>Atraso</x:v>
      </x:c>
      <x:c r="F269" s="86" t="n">
        <x:v>2</x:v>
      </x:c>
      <x:c r="G269" s="86" t="n">
        <x:v>1</x:v>
      </x:c>
      <x:c r="H269" s="91" t="n">
        <x:v>64.14</x:v>
      </x:c>
      <x:c r="I269" s="87" t="n">
        <x:v>10</x:v>
      </x:c>
    </x:row>
    <x:row r="270">
      <x:c r="A270" s="85" t="n">
        <x:v>269</x:v>
      </x:c>
      <x:c r="B270" s="86" t="n">
        <x:v>329</x:v>
      </x:c>
      <x:c r="C270" s="95" t="n">
        <x:v>45970</x:v>
      </x:c>
      <x:c r="D270" s="95" t="n">
        <x:v>45970</x:v>
      </x:c>
      <x:c r="E270" s="86" t="str">
        <x:v>Atraso</x:v>
      </x:c>
      <x:c r="F270" s="86" t="n">
        <x:v>1</x:v>
      </x:c>
      <x:c r="G270" s="86" t="n">
        <x:v>1</x:v>
      </x:c>
      <x:c r="H270" s="91" t="n">
        <x:v>32.64</x:v>
      </x:c>
      <x:c r="I270" s="87" t="n">
        <x:v>7</x:v>
      </x:c>
    </x:row>
    <x:row r="271">
      <x:c r="A271" s="85" t="n">
        <x:v>270</x:v>
      </x:c>
      <x:c r="B271" s="86" t="n">
        <x:v>50</x:v>
      </x:c>
      <x:c r="C271" s="95" t="n">
        <x:v>45806</x:v>
      </x:c>
      <x:c r="D271" s="95" t="n">
        <x:v>45806</x:v>
      </x:c>
      <x:c r="E271" s="86" t="str">
        <x:v>Atestado médico</x:v>
      </x:c>
      <x:c r="F271" s="86" t="n">
        <x:v>2</x:v>
      </x:c>
      <x:c r="G271" s="86" t="n">
        <x:v>1</x:v>
      </x:c>
      <x:c r="H271" s="91" t="n">
        <x:v>44.05</x:v>
      </x:c>
      <x:c r="I271" s="87" t="n">
        <x:v>6</x:v>
      </x:c>
    </x:row>
    <x:row r="272">
      <x:c r="A272" s="85" t="n">
        <x:v>271</x:v>
      </x:c>
      <x:c r="B272" s="86" t="n">
        <x:v>411</x:v>
      </x:c>
      <x:c r="C272" s="95" t="n">
        <x:v>45305</x:v>
      </x:c>
      <x:c r="D272" s="95" t="n">
        <x:v>45305</x:v>
      </x:c>
      <x:c r="E272" s="86" t="str">
        <x:v>Consulta médica</x:v>
      </x:c>
      <x:c r="F272" s="86" t="n">
        <x:v>1</x:v>
      </x:c>
      <x:c r="G272" s="86" t="n">
        <x:v>1</x:v>
      </x:c>
      <x:c r="H272" s="91" t="n">
        <x:v>30.83</x:v>
      </x:c>
      <x:c r="I272" s="87" t="n">
        <x:v>4</x:v>
      </x:c>
    </x:row>
    <x:row r="273">
      <x:c r="A273" s="85" t="n">
        <x:v>272</x:v>
      </x:c>
      <x:c r="B273" s="86" t="n">
        <x:v>372</x:v>
      </x:c>
      <x:c r="C273" s="95" t="n">
        <x:v>45984</x:v>
      </x:c>
      <x:c r="D273" s="95" t="n">
        <x:v>45986</x:v>
      </x:c>
      <x:c r="E273" s="86" t="str">
        <x:v>Atestado médico</x:v>
      </x:c>
      <x:c r="F273" s="86" t="n">
        <x:v>24</x:v>
      </x:c>
      <x:c r="G273" s="86" t="n">
        <x:v>1</x:v>
      </x:c>
      <x:c r="H273" s="91" t="n">
        <x:v>403.49</x:v>
      </x:c>
      <x:c r="I273" s="87" t="n">
        <x:v>2</x:v>
      </x:c>
    </x:row>
    <x:row r="274">
      <x:c r="A274" s="85" t="n">
        <x:v>273</x:v>
      </x:c>
      <x:c r="B274" s="86" t="n">
        <x:v>378</x:v>
      </x:c>
      <x:c r="C274" s="95" t="n">
        <x:v>45854</x:v>
      </x:c>
      <x:c r="D274" s="95" t="n">
        <x:v>45856</x:v>
      </x:c>
      <x:c r="E274" s="86" t="str">
        <x:v>Falta não justificada</x:v>
      </x:c>
      <x:c r="F274" s="86" t="n">
        <x:v>24</x:v>
      </x:c>
      <x:c r="G274" s="86" t="n">
        <x:v>0</x:v>
      </x:c>
      <x:c r="H274" s="91" t="n">
        <x:v>1071.18</x:v>
      </x:c>
      <x:c r="I274" s="87" t="n">
        <x:v>5</x:v>
      </x:c>
    </x:row>
    <x:row r="275">
      <x:c r="A275" s="85" t="n">
        <x:v>274</x:v>
      </x:c>
      <x:c r="B275" s="86" t="n">
        <x:v>60</x:v>
      </x:c>
      <x:c r="C275" s="95" t="n">
        <x:v>45998</x:v>
      </x:c>
      <x:c r="D275" s="95" t="n">
        <x:v>45998</x:v>
      </x:c>
      <x:c r="E275" s="86" t="str">
        <x:v>Atraso</x:v>
      </x:c>
      <x:c r="F275" s="86" t="n">
        <x:v>3</x:v>
      </x:c>
      <x:c r="G275" s="86" t="n">
        <x:v>1</x:v>
      </x:c>
      <x:c r="H275" s="91" t="n">
        <x:v>139.82</x:v>
      </x:c>
      <x:c r="I275" s="87" t="n">
        <x:v>5</x:v>
      </x:c>
    </x:row>
    <x:row r="276">
      <x:c r="A276" s="85" t="n">
        <x:v>275</x:v>
      </x:c>
      <x:c r="B276" s="86" t="n">
        <x:v>170</x:v>
      </x:c>
      <x:c r="C276" s="95" t="n">
        <x:v>45808</x:v>
      </x:c>
      <x:c r="D276" s="95" t="n">
        <x:v>45808</x:v>
      </x:c>
      <x:c r="E276" s="86" t="str">
        <x:v>Atestado médico</x:v>
      </x:c>
      <x:c r="F276" s="86" t="n">
        <x:v>2</x:v>
      </x:c>
      <x:c r="G276" s="86" t="n">
        <x:v>1</x:v>
      </x:c>
      <x:c r="H276" s="91" t="n">
        <x:v>53.21</x:v>
      </x:c>
      <x:c r="I276" s="87" t="n">
        <x:v>4</x:v>
      </x:c>
    </x:row>
    <x:row r="277">
      <x:c r="A277" s="85" t="n">
        <x:v>276</x:v>
      </x:c>
      <x:c r="B277" s="86" t="n">
        <x:v>7</x:v>
      </x:c>
      <x:c r="C277" s="95" t="n">
        <x:v>46015</x:v>
      </x:c>
      <x:c r="D277" s="95" t="n">
        <x:v>46015</x:v>
      </x:c>
      <x:c r="E277" s="86" t="str">
        <x:v>Atestado médico</x:v>
      </x:c>
      <x:c r="F277" s="86" t="n">
        <x:v>4</x:v>
      </x:c>
      <x:c r="G277" s="86" t="n">
        <x:v>1</x:v>
      </x:c>
      <x:c r="H277" s="91" t="n">
        <x:v>48.18</x:v>
      </x:c>
      <x:c r="I277" s="87" t="n">
        <x:v>1</x:v>
      </x:c>
    </x:row>
    <x:row r="278">
      <x:c r="A278" s="85" t="n">
        <x:v>277</x:v>
      </x:c>
      <x:c r="B278" s="86" t="n">
        <x:v>18</x:v>
      </x:c>
      <x:c r="C278" s="95" t="n">
        <x:v>45764</x:v>
      </x:c>
      <x:c r="D278" s="95" t="n">
        <x:v>45764</x:v>
      </x:c>
      <x:c r="E278" s="86" t="str">
        <x:v>Licença</x:v>
      </x:c>
      <x:c r="F278" s="86" t="n">
        <x:v>8</x:v>
      </x:c>
      <x:c r="G278" s="86" t="n">
        <x:v>1</x:v>
      </x:c>
      <x:c r="H278" s="91" t="n">
        <x:v>99.36</x:v>
      </x:c>
      <x:c r="I278" s="87" t="n">
        <x:v>1</x:v>
      </x:c>
    </x:row>
    <x:row r="279">
      <x:c r="A279" s="85" t="n">
        <x:v>278</x:v>
      </x:c>
      <x:c r="B279" s="86" t="n">
        <x:v>386</x:v>
      </x:c>
      <x:c r="C279" s="95" t="n">
        <x:v>45492</x:v>
      </x:c>
      <x:c r="D279" s="95" t="n">
        <x:v>45492</x:v>
      </x:c>
      <x:c r="E279" s="86" t="str">
        <x:v>Atraso</x:v>
      </x:c>
      <x:c r="F279" s="86" t="n">
        <x:v>3</x:v>
      </x:c>
      <x:c r="G279" s="86" t="n">
        <x:v>1</x:v>
      </x:c>
      <x:c r="H279" s="91" t="n">
        <x:v>32.54</x:v>
      </x:c>
      <x:c r="I279" s="87" t="n">
        <x:v>1</x:v>
      </x:c>
    </x:row>
    <x:row r="280">
      <x:c r="A280" s="85" t="n">
        <x:v>279</x:v>
      </x:c>
      <x:c r="B280" s="86" t="n">
        <x:v>373</x:v>
      </x:c>
      <x:c r="C280" s="95" t="n">
        <x:v>45814</x:v>
      </x:c>
      <x:c r="D280" s="95" t="n">
        <x:v>45814</x:v>
      </x:c>
      <x:c r="E280" s="86" t="str">
        <x:v>Consulta médica</x:v>
      </x:c>
      <x:c r="F280" s="86" t="n">
        <x:v>4</x:v>
      </x:c>
      <x:c r="G280" s="86" t="n">
        <x:v>1</x:v>
      </x:c>
      <x:c r="H280" s="91" t="n">
        <x:v>59.24</x:v>
      </x:c>
      <x:c r="I280" s="87" t="n">
        <x:v>1</x:v>
      </x:c>
    </x:row>
    <x:row r="281">
      <x:c r="A281" s="85" t="n">
        <x:v>280</x:v>
      </x:c>
      <x:c r="B281" s="86" t="n">
        <x:v>361</x:v>
      </x:c>
      <x:c r="C281" s="95" t="n">
        <x:v>45964</x:v>
      </x:c>
      <x:c r="D281" s="95" t="n">
        <x:v>45968</x:v>
      </x:c>
      <x:c r="E281" s="86" t="str">
        <x:v>Atestado médico</x:v>
      </x:c>
      <x:c r="F281" s="86" t="n">
        <x:v>40</x:v>
      </x:c>
      <x:c r="G281" s="86" t="n">
        <x:v>1</x:v>
      </x:c>
      <x:c r="H281" s="91" t="n">
        <x:v>1008.56</x:v>
      </x:c>
      <x:c r="I281" s="87" t="n">
        <x:v>8</x:v>
      </x:c>
    </x:row>
    <x:row r="282">
      <x:c r="A282" s="85" t="n">
        <x:v>281</x:v>
      </x:c>
      <x:c r="B282" s="86" t="n">
        <x:v>55</x:v>
      </x:c>
      <x:c r="C282" s="95" t="n">
        <x:v>45879</x:v>
      </x:c>
      <x:c r="D282" s="95" t="n">
        <x:v>45879</x:v>
      </x:c>
      <x:c r="E282" s="86" t="str">
        <x:v>Atraso</x:v>
      </x:c>
      <x:c r="F282" s="86" t="n">
        <x:v>2</x:v>
      </x:c>
      <x:c r="G282" s="86" t="n">
        <x:v>1</x:v>
      </x:c>
      <x:c r="H282" s="91" t="n">
        <x:v>22.56</x:v>
      </x:c>
      <x:c r="I282" s="87" t="n">
        <x:v>1</x:v>
      </x:c>
    </x:row>
    <x:row r="283">
      <x:c r="A283" s="85" t="n">
        <x:v>282</x:v>
      </x:c>
      <x:c r="B283" s="86" t="n">
        <x:v>125</x:v>
      </x:c>
      <x:c r="C283" s="95" t="n">
        <x:v>45609</x:v>
      </x:c>
      <x:c r="D283" s="95" t="n">
        <x:v>45609</x:v>
      </x:c>
      <x:c r="E283" s="86" t="str">
        <x:v>Atestado médico</x:v>
      </x:c>
      <x:c r="F283" s="86" t="n">
        <x:v>2</x:v>
      </x:c>
      <x:c r="G283" s="86" t="n">
        <x:v>1</x:v>
      </x:c>
      <x:c r="H283" s="91" t="n">
        <x:v>28.64</x:v>
      </x:c>
      <x:c r="I283" s="87" t="n">
        <x:v>1</x:v>
      </x:c>
    </x:row>
    <x:row r="284">
      <x:c r="A284" s="85" t="n">
        <x:v>283</x:v>
      </x:c>
      <x:c r="B284" s="86" t="n">
        <x:v>223</x:v>
      </x:c>
      <x:c r="C284" s="95" t="n">
        <x:v>45999</x:v>
      </x:c>
      <x:c r="D284" s="95" t="n">
        <x:v>45999</x:v>
      </x:c>
      <x:c r="E284" s="86" t="str">
        <x:v>Atestado médico</x:v>
      </x:c>
      <x:c r="F284" s="86" t="n">
        <x:v>1</x:v>
      </x:c>
      <x:c r="G284" s="86" t="n">
        <x:v>1</x:v>
      </x:c>
      <x:c r="H284" s="91" t="n">
        <x:v>15.12</x:v>
      </x:c>
      <x:c r="I284" s="87" t="n">
        <x:v>2</x:v>
      </x:c>
    </x:row>
    <x:row r="285">
      <x:c r="A285" s="85" t="n">
        <x:v>284</x:v>
      </x:c>
      <x:c r="B285" s="86" t="n">
        <x:v>145</x:v>
      </x:c>
      <x:c r="C285" s="95" t="n">
        <x:v>45879</x:v>
      </x:c>
      <x:c r="D285" s="95" t="n">
        <x:v>45879</x:v>
      </x:c>
      <x:c r="E285" s="86" t="str">
        <x:v>Atestado médico</x:v>
      </x:c>
      <x:c r="F285" s="86" t="n">
        <x:v>2</x:v>
      </x:c>
      <x:c r="G285" s="86" t="n">
        <x:v>1</x:v>
      </x:c>
      <x:c r="H285" s="91" t="n">
        <x:v>38.53</x:v>
      </x:c>
      <x:c r="I285" s="87" t="n">
        <x:v>2</x:v>
      </x:c>
    </x:row>
    <x:row r="286">
      <x:c r="A286" s="85" t="n">
        <x:v>285</x:v>
      </x:c>
      <x:c r="B286" s="86" t="n">
        <x:v>197</x:v>
      </x:c>
      <x:c r="C286" s="95" t="n">
        <x:v>45618</x:v>
      </x:c>
      <x:c r="D286" s="95" t="n">
        <x:v>45618</x:v>
      </x:c>
      <x:c r="E286" s="86" t="str">
        <x:v>Consulta médica</x:v>
      </x:c>
      <x:c r="F286" s="86" t="n">
        <x:v>1</x:v>
      </x:c>
      <x:c r="G286" s="86" t="n">
        <x:v>1</x:v>
      </x:c>
      <x:c r="H286" s="91" t="n">
        <x:v>16.05</x:v>
      </x:c>
      <x:c r="I286" s="87" t="n">
        <x:v>1</x:v>
      </x:c>
    </x:row>
    <x:row r="287">
      <x:c r="A287" s="85" t="n">
        <x:v>286</x:v>
      </x:c>
      <x:c r="B287" s="86" t="n">
        <x:v>146</x:v>
      </x:c>
      <x:c r="C287" s="95" t="n">
        <x:v>45932</x:v>
      </x:c>
      <x:c r="D287" s="95" t="n">
        <x:v>45936</x:v>
      </x:c>
      <x:c r="E287" s="86" t="str">
        <x:v>Atestado médico</x:v>
      </x:c>
      <x:c r="F287" s="86" t="n">
        <x:v>40</x:v>
      </x:c>
      <x:c r="G287" s="86" t="n">
        <x:v>1</x:v>
      </x:c>
      <x:c r="H287" s="91" t="n">
        <x:v>1693.68</x:v>
      </x:c>
      <x:c r="I287" s="87" t="n">
        <x:v>9</x:v>
      </x:c>
    </x:row>
    <x:row r="288">
      <x:c r="A288" s="85" t="n">
        <x:v>287</x:v>
      </x:c>
      <x:c r="B288" s="86" t="n">
        <x:v>289</x:v>
      </x:c>
      <x:c r="C288" s="95" t="n">
        <x:v>45938</x:v>
      </x:c>
      <x:c r="D288" s="95" t="n">
        <x:v>45938</x:v>
      </x:c>
      <x:c r="E288" s="86" t="str">
        <x:v>Atestado médico</x:v>
      </x:c>
      <x:c r="F288" s="86" t="n">
        <x:v>1</x:v>
      </x:c>
      <x:c r="G288" s="86" t="n">
        <x:v>1</x:v>
      </x:c>
      <x:c r="H288" s="91" t="n">
        <x:v>12.47</x:v>
      </x:c>
      <x:c r="I288" s="87" t="n">
        <x:v>1</x:v>
      </x:c>
    </x:row>
    <x:row r="289">
      <x:c r="A289" s="85" t="n">
        <x:v>288</x:v>
      </x:c>
      <x:c r="B289" s="86" t="n">
        <x:v>333</x:v>
      </x:c>
      <x:c r="C289" s="95" t="n">
        <x:v>45313</x:v>
      </x:c>
      <x:c r="D289" s="95" t="n">
        <x:v>45313</x:v>
      </x:c>
      <x:c r="E289" s="86" t="str">
        <x:v>Falta não justificada</x:v>
      </x:c>
      <x:c r="F289" s="86" t="n">
        <x:v>2</x:v>
      </x:c>
      <x:c r="G289" s="86" t="n">
        <x:v>0</x:v>
      </x:c>
      <x:c r="H289" s="91" t="n">
        <x:v>76.37</x:v>
      </x:c>
      <x:c r="I289" s="87" t="n">
        <x:v>6</x:v>
      </x:c>
    </x:row>
    <x:row r="290">
      <x:c r="A290" s="85" t="n">
        <x:v>289</x:v>
      </x:c>
      <x:c r="B290" s="86" t="n">
        <x:v>363</x:v>
      </x:c>
      <x:c r="C290" s="95" t="n">
        <x:v>45303</x:v>
      </x:c>
      <x:c r="D290" s="95" t="n">
        <x:v>45307</x:v>
      </x:c>
      <x:c r="E290" s="86" t="str">
        <x:v>Consulta médica</x:v>
      </x:c>
      <x:c r="F290" s="86" t="n">
        <x:v>40</x:v>
      </x:c>
      <x:c r="G290" s="86" t="n">
        <x:v>1</x:v>
      </x:c>
      <x:c r="H290" s="91" t="n">
        <x:v>514.68</x:v>
      </x:c>
      <x:c r="I290" s="87" t="n">
        <x:v>1</x:v>
      </x:c>
    </x:row>
    <x:row r="291">
      <x:c r="A291" s="85" t="n">
        <x:v>290</x:v>
      </x:c>
      <x:c r="B291" s="86" t="n">
        <x:v>28</x:v>
      </x:c>
      <x:c r="C291" s="95" t="n">
        <x:v>45716</x:v>
      </x:c>
      <x:c r="D291" s="95" t="n">
        <x:v>45720</x:v>
      </x:c>
      <x:c r="E291" s="86" t="str">
        <x:v>Falta não justificada</x:v>
      </x:c>
      <x:c r="F291" s="86" t="n">
        <x:v>40</x:v>
      </x:c>
      <x:c r="G291" s="86" t="n">
        <x:v>0</x:v>
      </x:c>
      <x:c r="H291" s="91" t="n">
        <x:v>548.8</x:v>
      </x:c>
      <x:c r="I291" s="87" t="n">
        <x:v>1</x:v>
      </x:c>
    </x:row>
    <x:row r="292">
      <x:c r="A292" s="85" t="n">
        <x:v>291</x:v>
      </x:c>
      <x:c r="B292" s="86" t="n">
        <x:v>268</x:v>
      </x:c>
      <x:c r="C292" s="95" t="n">
        <x:v>45966</x:v>
      </x:c>
      <x:c r="D292" s="95" t="n">
        <x:v>45966</x:v>
      </x:c>
      <x:c r="E292" s="86" t="str">
        <x:v>Atestado médico</x:v>
      </x:c>
      <x:c r="F292" s="86" t="n">
        <x:v>2</x:v>
      </x:c>
      <x:c r="G292" s="86" t="n">
        <x:v>1</x:v>
      </x:c>
      <x:c r="H292" s="91" t="n">
        <x:v>38.97</x:v>
      </x:c>
      <x:c r="I292" s="87" t="n">
        <x:v>4</x:v>
      </x:c>
    </x:row>
    <x:row r="293">
      <x:c r="A293" s="85" t="n">
        <x:v>292</x:v>
      </x:c>
      <x:c r="B293" s="86" t="n">
        <x:v>143</x:v>
      </x:c>
      <x:c r="C293" s="95" t="n">
        <x:v>45817</x:v>
      </x:c>
      <x:c r="D293" s="95" t="n">
        <x:v>45817</x:v>
      </x:c>
      <x:c r="E293" s="86" t="str">
        <x:v>Atestado médico</x:v>
      </x:c>
      <x:c r="F293" s="86" t="n">
        <x:v>1</x:v>
      </x:c>
      <x:c r="G293" s="86" t="n">
        <x:v>1</x:v>
      </x:c>
      <x:c r="H293" s="91" t="n">
        <x:v>30.47</x:v>
      </x:c>
      <x:c r="I293" s="87" t="n">
        <x:v>4</x:v>
      </x:c>
    </x:row>
    <x:row r="294">
      <x:c r="A294" s="85" t="n">
        <x:v>293</x:v>
      </x:c>
      <x:c r="B294" s="86" t="n">
        <x:v>364</x:v>
      </x:c>
      <x:c r="C294" s="95" t="n">
        <x:v>45688</x:v>
      </x:c>
      <x:c r="D294" s="95" t="n">
        <x:v>45688</x:v>
      </x:c>
      <x:c r="E294" s="86" t="str">
        <x:v>Atraso</x:v>
      </x:c>
      <x:c r="F294" s="86" t="n">
        <x:v>1</x:v>
      </x:c>
      <x:c r="G294" s="86" t="n">
        <x:v>1</x:v>
      </x:c>
      <x:c r="H294" s="91" t="n">
        <x:v>39.24</x:v>
      </x:c>
      <x:c r="I294" s="87" t="n">
        <x:v>5</x:v>
      </x:c>
    </x:row>
    <x:row r="295">
      <x:c r="A295" s="85" t="n">
        <x:v>294</x:v>
      </x:c>
      <x:c r="B295" s="86" t="n">
        <x:v>133</x:v>
      </x:c>
      <x:c r="C295" s="95" t="n">
        <x:v>45869</x:v>
      </x:c>
      <x:c r="D295" s="95" t="n">
        <x:v>45869</x:v>
      </x:c>
      <x:c r="E295" s="86" t="str">
        <x:v>Atraso</x:v>
      </x:c>
      <x:c r="F295" s="86" t="n">
        <x:v>2</x:v>
      </x:c>
      <x:c r="G295" s="86" t="n">
        <x:v>1</x:v>
      </x:c>
      <x:c r="H295" s="91" t="n">
        <x:v>74.99</x:v>
      </x:c>
      <x:c r="I295" s="87" t="n">
        <x:v>6</x:v>
      </x:c>
    </x:row>
    <x:row r="296">
      <x:c r="A296" s="85" t="n">
        <x:v>295</x:v>
      </x:c>
      <x:c r="B296" s="86" t="n">
        <x:v>120</x:v>
      </x:c>
      <x:c r="C296" s="95" t="n">
        <x:v>45799</x:v>
      </x:c>
      <x:c r="D296" s="95" t="n">
        <x:v>45799</x:v>
      </x:c>
      <x:c r="E296" s="86" t="str">
        <x:v>Consulta médica</x:v>
      </x:c>
      <x:c r="F296" s="86" t="n">
        <x:v>4</x:v>
      </x:c>
      <x:c r="G296" s="86" t="n">
        <x:v>1</x:v>
      </x:c>
      <x:c r="H296" s="91" t="n">
        <x:v>175.1</x:v>
      </x:c>
      <x:c r="I296" s="87" t="n">
        <x:v>5</x:v>
      </x:c>
    </x:row>
    <x:row r="297">
      <x:c r="A297" s="85" t="n">
        <x:v>296</x:v>
      </x:c>
      <x:c r="B297" s="86" t="n">
        <x:v>125</x:v>
      </x:c>
      <x:c r="C297" s="95" t="n">
        <x:v>45568</x:v>
      </x:c>
      <x:c r="D297" s="95" t="n">
        <x:v>45568</x:v>
      </x:c>
      <x:c r="E297" s="86" t="str">
        <x:v>Consulta médica</x:v>
      </x:c>
      <x:c r="F297" s="86" t="n">
        <x:v>8</x:v>
      </x:c>
      <x:c r="G297" s="86" t="n">
        <x:v>1</x:v>
      </x:c>
      <x:c r="H297" s="91" t="n">
        <x:v>114.56</x:v>
      </x:c>
      <x:c r="I297" s="87" t="n">
        <x:v>1</x:v>
      </x:c>
    </x:row>
    <x:row r="298">
      <x:c r="A298" s="85" t="n">
        <x:v>297</x:v>
      </x:c>
      <x:c r="B298" s="86" t="n">
        <x:v>201</x:v>
      </x:c>
      <x:c r="C298" s="95" t="n">
        <x:v>45532</x:v>
      </x:c>
      <x:c r="D298" s="95" t="n">
        <x:v>45536</x:v>
      </x:c>
      <x:c r="E298" s="86" t="str">
        <x:v>Atestado médico</x:v>
      </x:c>
      <x:c r="F298" s="86" t="n">
        <x:v>40</x:v>
      </x:c>
      <x:c r="G298" s="86" t="n">
        <x:v>1</x:v>
      </x:c>
      <x:c r="H298" s="91" t="n">
        <x:v>412.69</x:v>
      </x:c>
      <x:c r="I298" s="87" t="n">
        <x:v>1</x:v>
      </x:c>
    </x:row>
    <x:row r="299">
      <x:c r="A299" s="85" t="n">
        <x:v>298</x:v>
      </x:c>
      <x:c r="B299" s="86" t="n">
        <x:v>390</x:v>
      </x:c>
      <x:c r="C299" s="95" t="n">
        <x:v>45735</x:v>
      </x:c>
      <x:c r="D299" s="95" t="n">
        <x:v>45735</x:v>
      </x:c>
      <x:c r="E299" s="86" t="str">
        <x:v>Atestado médico</x:v>
      </x:c>
      <x:c r="F299" s="86" t="n">
        <x:v>1</x:v>
      </x:c>
      <x:c r="G299" s="86" t="n">
        <x:v>1</x:v>
      </x:c>
      <x:c r="H299" s="91" t="n">
        <x:v>31.73</x:v>
      </x:c>
      <x:c r="I299" s="87" t="n">
        <x:v>5</x:v>
      </x:c>
    </x:row>
    <x:row r="300">
      <x:c r="A300" s="85" t="n">
        <x:v>299</x:v>
      </x:c>
      <x:c r="B300" s="86" t="n">
        <x:v>239</x:v>
      </x:c>
      <x:c r="C300" s="95" t="n">
        <x:v>45360</x:v>
      </x:c>
      <x:c r="D300" s="95" t="n">
        <x:v>45361</x:v>
      </x:c>
      <x:c r="E300" s="86" t="str">
        <x:v>Consulta médica</x:v>
      </x:c>
      <x:c r="F300" s="86" t="n">
        <x:v>16</x:v>
      </x:c>
      <x:c r="G300" s="86" t="n">
        <x:v>1</x:v>
      </x:c>
      <x:c r="H300" s="91" t="n">
        <x:v>798.79</x:v>
      </x:c>
      <x:c r="I300" s="87" t="n">
        <x:v>4</x:v>
      </x:c>
    </x:row>
    <x:row r="301">
      <x:c r="A301" s="85" t="n">
        <x:v>300</x:v>
      </x:c>
      <x:c r="B301" s="86" t="n">
        <x:v>212</x:v>
      </x:c>
      <x:c r="C301" s="95" t="n">
        <x:v>45700</x:v>
      </x:c>
      <x:c r="D301" s="95" t="n">
        <x:v>45700</x:v>
      </x:c>
      <x:c r="E301" s="86" t="str">
        <x:v>Atraso</x:v>
      </x:c>
      <x:c r="F301" s="86" t="n">
        <x:v>2</x:v>
      </x:c>
      <x:c r="G301" s="86" t="n">
        <x:v>1</x:v>
      </x:c>
      <x:c r="H301" s="91" t="n">
        <x:v>36.47</x:v>
      </x:c>
      <x:c r="I301" s="87" t="n">
        <x:v>3</x:v>
      </x:c>
    </x:row>
    <x:row r="302">
      <x:c r="A302" s="85" t="n">
        <x:v>301</x:v>
      </x:c>
      <x:c r="B302" s="86" t="n">
        <x:v>50</x:v>
      </x:c>
      <x:c r="C302" s="95" t="n">
        <x:v>45968</x:v>
      </x:c>
      <x:c r="D302" s="95" t="n">
        <x:v>45968</x:v>
      </x:c>
      <x:c r="E302" s="86" t="str">
        <x:v>Falta não justificada</x:v>
      </x:c>
      <x:c r="F302" s="86" t="n">
        <x:v>8</x:v>
      </x:c>
      <x:c r="G302" s="86" t="n">
        <x:v>0</x:v>
      </x:c>
      <x:c r="H302" s="91" t="n">
        <x:v>176.19</x:v>
      </x:c>
      <x:c r="I302" s="87" t="n">
        <x:v>6</x:v>
      </x:c>
    </x:row>
    <x:row r="303">
      <x:c r="A303" s="85" t="n">
        <x:v>302</x:v>
      </x:c>
      <x:c r="B303" s="86" t="n">
        <x:v>174</x:v>
      </x:c>
      <x:c r="C303" s="95" t="n">
        <x:v>45571</x:v>
      </x:c>
      <x:c r="D303" s="95" t="n">
        <x:v>45571</x:v>
      </x:c>
      <x:c r="E303" s="86" t="str">
        <x:v>Licença</x:v>
      </x:c>
      <x:c r="F303" s="86" t="n">
        <x:v>8</x:v>
      </x:c>
      <x:c r="G303" s="86" t="n">
        <x:v>1</x:v>
      </x:c>
      <x:c r="H303" s="91" t="n">
        <x:v>184.39</x:v>
      </x:c>
      <x:c r="I303" s="87" t="n">
        <x:v>2</x:v>
      </x:c>
    </x:row>
    <x:row r="304">
      <x:c r="A304" s="85" t="n">
        <x:v>303</x:v>
      </x:c>
      <x:c r="B304" s="86" t="n">
        <x:v>332</x:v>
      </x:c>
      <x:c r="C304" s="95" t="n">
        <x:v>45782</x:v>
      </x:c>
      <x:c r="D304" s="95" t="n">
        <x:v>45782</x:v>
      </x:c>
      <x:c r="E304" s="86" t="str">
        <x:v>Atestado médico</x:v>
      </x:c>
      <x:c r="F304" s="86" t="n">
        <x:v>2</x:v>
      </x:c>
      <x:c r="G304" s="86" t="n">
        <x:v>1</x:v>
      </x:c>
      <x:c r="H304" s="91" t="n">
        <x:v>74.61</x:v>
      </x:c>
      <x:c r="I304" s="87" t="n">
        <x:v>5</x:v>
      </x:c>
    </x:row>
    <x:row r="305">
      <x:c r="A305" s="85" t="n">
        <x:v>304</x:v>
      </x:c>
      <x:c r="B305" s="86" t="n">
        <x:v>252</x:v>
      </x:c>
      <x:c r="C305" s="95" t="n">
        <x:v>46004</x:v>
      </x:c>
      <x:c r="D305" s="95" t="n">
        <x:v>46004</x:v>
      </x:c>
      <x:c r="E305" s="86" t="str">
        <x:v>Atraso</x:v>
      </x:c>
      <x:c r="F305" s="86" t="n">
        <x:v>3</x:v>
      </x:c>
      <x:c r="G305" s="86" t="n">
        <x:v>1</x:v>
      </x:c>
      <x:c r="H305" s="91" t="n">
        <x:v>140.95</x:v>
      </x:c>
      <x:c r="I305" s="87" t="n">
        <x:v>5</x:v>
      </x:c>
    </x:row>
    <x:row r="306">
      <x:c r="A306" s="85" t="n">
        <x:v>305</x:v>
      </x:c>
      <x:c r="B306" s="86" t="n">
        <x:v>360</x:v>
      </x:c>
      <x:c r="C306" s="95" t="n">
        <x:v>45602</x:v>
      </x:c>
      <x:c r="D306" s="95" t="n">
        <x:v>45603</x:v>
      </x:c>
      <x:c r="E306" s="86" t="str">
        <x:v>Licença</x:v>
      </x:c>
      <x:c r="F306" s="86" t="n">
        <x:v>16</x:v>
      </x:c>
      <x:c r="G306" s="86" t="n">
        <x:v>1</x:v>
      </x:c>
      <x:c r="H306" s="91" t="n">
        <x:v>327.07</x:v>
      </x:c>
      <x:c r="I306" s="87" t="n">
        <x:v>2</x:v>
      </x:c>
    </x:row>
    <x:row r="307">
      <x:c r="A307" s="85" t="n">
        <x:v>306</x:v>
      </x:c>
      <x:c r="B307" s="86" t="n">
        <x:v>94</x:v>
      </x:c>
      <x:c r="C307" s="95" t="n">
        <x:v>45870</x:v>
      </x:c>
      <x:c r="D307" s="95" t="n">
        <x:v>45870</x:v>
      </x:c>
      <x:c r="E307" s="86" t="str">
        <x:v>Atraso</x:v>
      </x:c>
      <x:c r="F307" s="86" t="n">
        <x:v>2</x:v>
      </x:c>
      <x:c r="G307" s="86" t="n">
        <x:v>1</x:v>
      </x:c>
      <x:c r="H307" s="91" t="n">
        <x:v>139.04</x:v>
      </x:c>
      <x:c r="I307" s="87" t="n">
        <x:v>5</x:v>
      </x:c>
    </x:row>
    <x:row r="308">
      <x:c r="A308" s="85" t="n">
        <x:v>307</x:v>
      </x:c>
      <x:c r="B308" s="86" t="n">
        <x:v>372</x:v>
      </x:c>
      <x:c r="C308" s="95" t="n">
        <x:v>45728</x:v>
      </x:c>
      <x:c r="D308" s="95" t="n">
        <x:v>45728</x:v>
      </x:c>
      <x:c r="E308" s="86" t="str">
        <x:v>Atestado médico</x:v>
      </x:c>
      <x:c r="F308" s="86" t="n">
        <x:v>8</x:v>
      </x:c>
      <x:c r="G308" s="86" t="n">
        <x:v>1</x:v>
      </x:c>
      <x:c r="H308" s="91" t="n">
        <x:v>134.5</x:v>
      </x:c>
      <x:c r="I308" s="87" t="n">
        <x:v>2</x:v>
      </x:c>
    </x:row>
    <x:row r="309">
      <x:c r="A309" s="85" t="n">
        <x:v>308</x:v>
      </x:c>
      <x:c r="B309" s="86" t="n">
        <x:v>335</x:v>
      </x:c>
      <x:c r="C309" s="95" t="n">
        <x:v>45971</x:v>
      </x:c>
      <x:c r="D309" s="95" t="n">
        <x:v>45975</x:v>
      </x:c>
      <x:c r="E309" s="86" t="str">
        <x:v>Atestado médico</x:v>
      </x:c>
      <x:c r="F309" s="86" t="n">
        <x:v>40</x:v>
      </x:c>
      <x:c r="G309" s="86" t="n">
        <x:v>1</x:v>
      </x:c>
      <x:c r="H309" s="91" t="n">
        <x:v>1252.4</x:v>
      </x:c>
      <x:c r="I309" s="87" t="n">
        <x:v>7</x:v>
      </x:c>
    </x:row>
    <x:row r="310">
      <x:c r="A310" s="85" t="n">
        <x:v>309</x:v>
      </x:c>
      <x:c r="B310" s="86" t="n">
        <x:v>209</x:v>
      </x:c>
      <x:c r="C310" s="95" t="n">
        <x:v>45829</x:v>
      </x:c>
      <x:c r="D310" s="95" t="n">
        <x:v>45829</x:v>
      </x:c>
      <x:c r="E310" s="86" t="str">
        <x:v>Atraso</x:v>
      </x:c>
      <x:c r="F310" s="86" t="n">
        <x:v>3</x:v>
      </x:c>
      <x:c r="G310" s="86" t="n">
        <x:v>1</x:v>
      </x:c>
      <x:c r="H310" s="91" t="n">
        <x:v>95.31</x:v>
      </x:c>
      <x:c r="I310" s="87" t="n">
        <x:v>7</x:v>
      </x:c>
    </x:row>
    <x:row r="311">
      <x:c r="A311" s="85" t="n">
        <x:v>310</x:v>
      </x:c>
      <x:c r="B311" s="86" t="n">
        <x:v>379</x:v>
      </x:c>
      <x:c r="C311" s="95" t="n">
        <x:v>45444</x:v>
      </x:c>
      <x:c r="D311" s="95" t="n">
        <x:v>45444</x:v>
      </x:c>
      <x:c r="E311" s="86" t="str">
        <x:v>Atestado médico</x:v>
      </x:c>
      <x:c r="F311" s="86" t="n">
        <x:v>1</x:v>
      </x:c>
      <x:c r="G311" s="86" t="n">
        <x:v>1</x:v>
      </x:c>
      <x:c r="H311" s="91" t="n">
        <x:v>19.25</x:v>
      </x:c>
      <x:c r="I311" s="87" t="n">
        <x:v>2</x:v>
      </x:c>
    </x:row>
    <x:row r="312">
      <x:c r="A312" s="85" t="n">
        <x:v>311</x:v>
      </x:c>
      <x:c r="B312" s="86" t="n">
        <x:v>36</x:v>
      </x:c>
      <x:c r="C312" s="95" t="n">
        <x:v>45571</x:v>
      </x:c>
      <x:c r="D312" s="95" t="n">
        <x:v>45571</x:v>
      </x:c>
      <x:c r="E312" s="86" t="str">
        <x:v>Atraso</x:v>
      </x:c>
      <x:c r="F312" s="86" t="n">
        <x:v>3</x:v>
      </x:c>
      <x:c r="G312" s="86" t="n">
        <x:v>1</x:v>
      </x:c>
      <x:c r="H312" s="91" t="n">
        <x:v>51.82</x:v>
      </x:c>
      <x:c r="I312" s="87" t="n">
        <x:v>4</x:v>
      </x:c>
    </x:row>
    <x:row r="313">
      <x:c r="A313" s="85" t="n">
        <x:v>312</x:v>
      </x:c>
      <x:c r="B313" s="86" t="n">
        <x:v>7</x:v>
      </x:c>
      <x:c r="C313" s="95" t="n">
        <x:v>45794</x:v>
      </x:c>
      <x:c r="D313" s="95" t="n">
        <x:v>45794</x:v>
      </x:c>
      <x:c r="E313" s="86" t="str">
        <x:v>Atestado médico</x:v>
      </x:c>
      <x:c r="F313" s="86" t="n">
        <x:v>1</x:v>
      </x:c>
      <x:c r="G313" s="86" t="n">
        <x:v>1</x:v>
      </x:c>
      <x:c r="H313" s="91" t="n">
        <x:v>12.05</x:v>
      </x:c>
      <x:c r="I313" s="87" t="n">
        <x:v>1</x:v>
      </x:c>
    </x:row>
    <x:row r="314">
      <x:c r="A314" s="85" t="n">
        <x:v>313</x:v>
      </x:c>
      <x:c r="B314" s="86" t="n">
        <x:v>419</x:v>
      </x:c>
      <x:c r="C314" s="95" t="n">
        <x:v>45410</x:v>
      </x:c>
      <x:c r="D314" s="95" t="n">
        <x:v>45410</x:v>
      </x:c>
      <x:c r="E314" s="86" t="str">
        <x:v>Atestado médico</x:v>
      </x:c>
      <x:c r="F314" s="86" t="n">
        <x:v>4</x:v>
      </x:c>
      <x:c r="G314" s="86" t="n">
        <x:v>1</x:v>
      </x:c>
      <x:c r="H314" s="91" t="n">
        <x:v>60.92</x:v>
      </x:c>
      <x:c r="I314" s="87" t="n">
        <x:v>1</x:v>
      </x:c>
    </x:row>
    <x:row r="315">
      <x:c r="A315" s="85" t="n">
        <x:v>314</x:v>
      </x:c>
      <x:c r="B315" s="86" t="n">
        <x:v>39</x:v>
      </x:c>
      <x:c r="C315" s="95" t="n">
        <x:v>45869</x:v>
      </x:c>
      <x:c r="D315" s="95" t="n">
        <x:v>45873</x:v>
      </x:c>
      <x:c r="E315" s="86" t="str">
        <x:v>Atestado médico</x:v>
      </x:c>
      <x:c r="F315" s="86" t="n">
        <x:v>40</x:v>
      </x:c>
      <x:c r="G315" s="86" t="n">
        <x:v>1</x:v>
      </x:c>
      <x:c r="H315" s="91" t="n">
        <x:v>2435.99</x:v>
      </x:c>
      <x:c r="I315" s="87" t="n">
        <x:v>5</x:v>
      </x:c>
    </x:row>
    <x:row r="316">
      <x:c r="A316" s="85" t="n">
        <x:v>315</x:v>
      </x:c>
      <x:c r="B316" s="86" t="n">
        <x:v>263</x:v>
      </x:c>
      <x:c r="C316" s="95" t="n">
        <x:v>45611</x:v>
      </x:c>
      <x:c r="D316" s="95" t="n">
        <x:v>45612</x:v>
      </x:c>
      <x:c r="E316" s="86" t="str">
        <x:v>Atestado médico</x:v>
      </x:c>
      <x:c r="F316" s="86" t="n">
        <x:v>16</x:v>
      </x:c>
      <x:c r="G316" s="86" t="n">
        <x:v>1</x:v>
      </x:c>
      <x:c r="H316" s="91" t="n">
        <x:v>409.42</x:v>
      </x:c>
      <x:c r="I316" s="87" t="n">
        <x:v>10</x:v>
      </x:c>
    </x:row>
    <x:row r="317">
      <x:c r="A317" s="85" t="n">
        <x:v>316</x:v>
      </x:c>
      <x:c r="B317" s="86" t="n">
        <x:v>80</x:v>
      </x:c>
      <x:c r="C317" s="95" t="n">
        <x:v>45791</x:v>
      </x:c>
      <x:c r="D317" s="95" t="n">
        <x:v>45795</x:v>
      </x:c>
      <x:c r="E317" s="86" t="str">
        <x:v>Atestado médico</x:v>
      </x:c>
      <x:c r="F317" s="86" t="n">
        <x:v>40</x:v>
      </x:c>
      <x:c r="G317" s="86" t="n">
        <x:v>1</x:v>
      </x:c>
      <x:c r="H317" s="91" t="n">
        <x:v>1167.53</x:v>
      </x:c>
      <x:c r="I317" s="87" t="n">
        <x:v>9</x:v>
      </x:c>
    </x:row>
    <x:row r="318">
      <x:c r="A318" s="85" t="n">
        <x:v>317</x:v>
      </x:c>
      <x:c r="B318" s="86" t="n">
        <x:v>66</x:v>
      </x:c>
      <x:c r="C318" s="95" t="n">
        <x:v>45303</x:v>
      </x:c>
      <x:c r="D318" s="95" t="n">
        <x:v>45305</x:v>
      </x:c>
      <x:c r="E318" s="86" t="str">
        <x:v>Atestado médico</x:v>
      </x:c>
      <x:c r="F318" s="86" t="n">
        <x:v>24</x:v>
      </x:c>
      <x:c r="G318" s="86" t="n">
        <x:v>1</x:v>
      </x:c>
      <x:c r="H318" s="91" t="n">
        <x:v>323.83</x:v>
      </x:c>
      <x:c r="I318" s="87" t="n">
        <x:v>1</x:v>
      </x:c>
    </x:row>
    <x:row r="319">
      <x:c r="A319" s="85" t="n">
        <x:v>318</x:v>
      </x:c>
      <x:c r="B319" s="86" t="n">
        <x:v>357</x:v>
      </x:c>
      <x:c r="C319" s="95" t="n">
        <x:v>45951</x:v>
      </x:c>
      <x:c r="D319" s="95" t="n">
        <x:v>45951</x:v>
      </x:c>
      <x:c r="E319" s="86" t="str">
        <x:v>Atraso</x:v>
      </x:c>
      <x:c r="F319" s="86" t="n">
        <x:v>3</x:v>
      </x:c>
      <x:c r="G319" s="86" t="n">
        <x:v>1</x:v>
      </x:c>
      <x:c r="H319" s="91" t="n">
        <x:v>99.38</x:v>
      </x:c>
      <x:c r="I319" s="87" t="n">
        <x:v>10</x:v>
      </x:c>
    </x:row>
    <x:row r="320">
      <x:c r="A320" s="85" t="n">
        <x:v>319</x:v>
      </x:c>
      <x:c r="B320" s="86" t="n">
        <x:v>107</x:v>
      </x:c>
      <x:c r="C320" s="95" t="n">
        <x:v>45736</x:v>
      </x:c>
      <x:c r="D320" s="95" t="n">
        <x:v>45736</x:v>
      </x:c>
      <x:c r="E320" s="86" t="str">
        <x:v>Atraso</x:v>
      </x:c>
      <x:c r="F320" s="86" t="n">
        <x:v>3</x:v>
      </x:c>
      <x:c r="G320" s="86" t="n">
        <x:v>1</x:v>
      </x:c>
      <x:c r="H320" s="91" t="n">
        <x:v>73.03</x:v>
      </x:c>
      <x:c r="I320" s="87" t="n">
        <x:v>7</x:v>
      </x:c>
    </x:row>
    <x:row r="321">
      <x:c r="A321" s="85" t="n">
        <x:v>320</x:v>
      </x:c>
      <x:c r="B321" s="86" t="n">
        <x:v>282</x:v>
      </x:c>
      <x:c r="C321" s="95" t="n">
        <x:v>45725</x:v>
      </x:c>
      <x:c r="D321" s="95" t="n">
        <x:v>45725</x:v>
      </x:c>
      <x:c r="E321" s="86" t="str">
        <x:v>Atraso</x:v>
      </x:c>
      <x:c r="F321" s="86" t="n">
        <x:v>3</x:v>
      </x:c>
      <x:c r="G321" s="86" t="n">
        <x:v>1</x:v>
      </x:c>
      <x:c r="H321" s="91" t="n">
        <x:v>41.3</x:v>
      </x:c>
      <x:c r="I321" s="87" t="n">
        <x:v>1</x:v>
      </x:c>
    </x:row>
    <x:row r="322">
      <x:c r="A322" s="85" t="n">
        <x:v>321</x:v>
      </x:c>
      <x:c r="B322" s="86" t="n">
        <x:v>229</x:v>
      </x:c>
      <x:c r="C322" s="95" t="n">
        <x:v>45441</x:v>
      </x:c>
      <x:c r="D322" s="95" t="n">
        <x:v>45441</x:v>
      </x:c>
      <x:c r="E322" s="86" t="str">
        <x:v>Consulta médica</x:v>
      </x:c>
      <x:c r="F322" s="86" t="n">
        <x:v>1</x:v>
      </x:c>
      <x:c r="G322" s="86" t="n">
        <x:v>1</x:v>
      </x:c>
      <x:c r="H322" s="91" t="n">
        <x:v>22.44</x:v>
      </x:c>
      <x:c r="I322" s="87" t="n">
        <x:v>10</x:v>
      </x:c>
    </x:row>
    <x:row r="323">
      <x:c r="A323" s="85" t="n">
        <x:v>322</x:v>
      </x:c>
      <x:c r="B323" s="86" t="n">
        <x:v>114</x:v>
      </x:c>
      <x:c r="C323" s="95" t="n">
        <x:v>45563</x:v>
      </x:c>
      <x:c r="D323" s="95" t="n">
        <x:v>45565</x:v>
      </x:c>
      <x:c r="E323" s="86" t="str">
        <x:v>Licença</x:v>
      </x:c>
      <x:c r="F323" s="86" t="n">
        <x:v>24</x:v>
      </x:c>
      <x:c r="G323" s="86" t="n">
        <x:v>1</x:v>
      </x:c>
      <x:c r="H323" s="91" t="n">
        <x:v>534.49</x:v>
      </x:c>
      <x:c r="I323" s="87" t="n">
        <x:v>7</x:v>
      </x:c>
    </x:row>
    <x:row r="324">
      <x:c r="A324" s="85" t="n">
        <x:v>323</x:v>
      </x:c>
      <x:c r="B324" s="86" t="n">
        <x:v>204</x:v>
      </x:c>
      <x:c r="C324" s="95" t="n">
        <x:v>45885</x:v>
      </x:c>
      <x:c r="D324" s="95" t="n">
        <x:v>45889</x:v>
      </x:c>
      <x:c r="E324" s="86" t="str">
        <x:v>Consulta médica</x:v>
      </x:c>
      <x:c r="F324" s="86" t="n">
        <x:v>40</x:v>
      </x:c>
      <x:c r="G324" s="86" t="n">
        <x:v>1</x:v>
      </x:c>
      <x:c r="H324" s="91" t="n">
        <x:v>920.36</x:v>
      </x:c>
      <x:c r="I324" s="87" t="n">
        <x:v>6</x:v>
      </x:c>
    </x:row>
    <x:row r="325">
      <x:c r="A325" s="85" t="n">
        <x:v>324</x:v>
      </x:c>
      <x:c r="B325" s="86" t="n">
        <x:v>154</x:v>
      </x:c>
      <x:c r="C325" s="95" t="n">
        <x:v>45888</x:v>
      </x:c>
      <x:c r="D325" s="95" t="n">
        <x:v>45888</x:v>
      </x:c>
      <x:c r="E325" s="86" t="str">
        <x:v>Atestado médico</x:v>
      </x:c>
      <x:c r="F325" s="86" t="n">
        <x:v>4</x:v>
      </x:c>
      <x:c r="G325" s="86" t="n">
        <x:v>1</x:v>
      </x:c>
      <x:c r="H325" s="91" t="n">
        <x:v>99.17</x:v>
      </x:c>
      <x:c r="I325" s="87" t="n">
        <x:v>7</x:v>
      </x:c>
    </x:row>
    <x:row r="326">
      <x:c r="A326" s="85" t="n">
        <x:v>325</x:v>
      </x:c>
      <x:c r="B326" s="86" t="n">
        <x:v>299</x:v>
      </x:c>
      <x:c r="C326" s="95" t="n">
        <x:v>45997</x:v>
      </x:c>
      <x:c r="D326" s="95" t="n">
        <x:v>45997</x:v>
      </x:c>
      <x:c r="E326" s="86" t="str">
        <x:v>Atestado médico</x:v>
      </x:c>
      <x:c r="F326" s="86" t="n">
        <x:v>1</x:v>
      </x:c>
      <x:c r="G326" s="86" t="n">
        <x:v>1</x:v>
      </x:c>
      <x:c r="H326" s="91" t="n">
        <x:v>12.9</x:v>
      </x:c>
      <x:c r="I326" s="87" t="n">
        <x:v>1</x:v>
      </x:c>
    </x:row>
    <x:row r="327">
      <x:c r="A327" s="85" t="n">
        <x:v>326</x:v>
      </x:c>
      <x:c r="B327" s="86" t="n">
        <x:v>214</x:v>
      </x:c>
      <x:c r="C327" s="95" t="n">
        <x:v>46019</x:v>
      </x:c>
      <x:c r="D327" s="95" t="n">
        <x:v>46023</x:v>
      </x:c>
      <x:c r="E327" s="86" t="str">
        <x:v>Consulta médica</x:v>
      </x:c>
      <x:c r="F327" s="86" t="n">
        <x:v>40</x:v>
      </x:c>
      <x:c r="G327" s="86" t="n">
        <x:v>1</x:v>
      </x:c>
      <x:c r="H327" s="91" t="n">
        <x:v>1086.94</x:v>
      </x:c>
      <x:c r="I327" s="87" t="n">
        <x:v>8</x:v>
      </x:c>
    </x:row>
    <x:row r="328">
      <x:c r="A328" s="85" t="n">
        <x:v>327</x:v>
      </x:c>
      <x:c r="B328" s="86" t="n">
        <x:v>296</x:v>
      </x:c>
      <x:c r="C328" s="95" t="n">
        <x:v>45441</x:v>
      </x:c>
      <x:c r="D328" s="95" t="n">
        <x:v>45441</x:v>
      </x:c>
      <x:c r="E328" s="86" t="str">
        <x:v>Atestado médico</x:v>
      </x:c>
      <x:c r="F328" s="86" t="n">
        <x:v>8</x:v>
      </x:c>
      <x:c r="G328" s="86" t="n">
        <x:v>1</x:v>
      </x:c>
      <x:c r="H328" s="91" t="n">
        <x:v>163.65</x:v>
      </x:c>
      <x:c r="I328" s="87" t="n">
        <x:v>3</x:v>
      </x:c>
    </x:row>
    <x:row r="329">
      <x:c r="A329" s="85" t="n">
        <x:v>328</x:v>
      </x:c>
      <x:c r="B329" s="86" t="n">
        <x:v>159</x:v>
      </x:c>
      <x:c r="C329" s="95" t="n">
        <x:v>45887</x:v>
      </x:c>
      <x:c r="D329" s="95" t="n">
        <x:v>45887</x:v>
      </x:c>
      <x:c r="E329" s="86" t="str">
        <x:v>Licença</x:v>
      </x:c>
      <x:c r="F329" s="86" t="n">
        <x:v>2</x:v>
      </x:c>
      <x:c r="G329" s="86" t="n">
        <x:v>1</x:v>
      </x:c>
      <x:c r="H329" s="91" t="n">
        <x:v>64.14</x:v>
      </x:c>
      <x:c r="I329" s="87" t="n">
        <x:v>10</x:v>
      </x:c>
    </x:row>
    <x:row r="330">
      <x:c r="A330" s="85" t="n">
        <x:v>329</x:v>
      </x:c>
      <x:c r="B330" s="86" t="n">
        <x:v>28</x:v>
      </x:c>
      <x:c r="C330" s="95" t="n">
        <x:v>45565</x:v>
      </x:c>
      <x:c r="D330" s="95" t="n">
        <x:v>45565</x:v>
      </x:c>
      <x:c r="E330" s="86" t="str">
        <x:v>Atraso</x:v>
      </x:c>
      <x:c r="F330" s="86" t="n">
        <x:v>2</x:v>
      </x:c>
      <x:c r="G330" s="86" t="n">
        <x:v>1</x:v>
      </x:c>
      <x:c r="H330" s="91" t="n">
        <x:v>27.44</x:v>
      </x:c>
      <x:c r="I330" s="87" t="n">
        <x:v>1</x:v>
      </x:c>
    </x:row>
    <x:row r="331">
      <x:c r="A331" s="85" t="n">
        <x:v>330</x:v>
      </x:c>
      <x:c r="B331" s="86" t="n">
        <x:v>286</x:v>
      </x:c>
      <x:c r="C331" s="95" t="n">
        <x:v>45435</x:v>
      </x:c>
      <x:c r="D331" s="95" t="n">
        <x:v>45435</x:v>
      </x:c>
      <x:c r="E331" s="86" t="str">
        <x:v>Falta não justificada</x:v>
      </x:c>
      <x:c r="F331" s="86" t="n">
        <x:v>1</x:v>
      </x:c>
      <x:c r="G331" s="86" t="n">
        <x:v>0</x:v>
      </x:c>
      <x:c r="H331" s="91" t="n">
        <x:v>13.37</x:v>
      </x:c>
      <x:c r="I331" s="87" t="n">
        <x:v>1</x:v>
      </x:c>
    </x:row>
    <x:row r="332">
      <x:c r="A332" s="85" t="n">
        <x:v>331</x:v>
      </x:c>
      <x:c r="B332" s="86" t="n">
        <x:v>277</x:v>
      </x:c>
      <x:c r="C332" s="95" t="n">
        <x:v>45709</x:v>
      </x:c>
      <x:c r="D332" s="95" t="n">
        <x:v>45709</x:v>
      </x:c>
      <x:c r="E332" s="86" t="str">
        <x:v>Licença</x:v>
      </x:c>
      <x:c r="F332" s="86" t="n">
        <x:v>2</x:v>
      </x:c>
      <x:c r="G332" s="86" t="n">
        <x:v>1</x:v>
      </x:c>
      <x:c r="H332" s="91" t="n">
        <x:v>49.04</x:v>
      </x:c>
      <x:c r="I332" s="87" t="n">
        <x:v>8</x:v>
      </x:c>
    </x:row>
    <x:row r="333">
      <x:c r="A333" s="85" t="n">
        <x:v>332</x:v>
      </x:c>
      <x:c r="B333" s="86" t="n">
        <x:v>378</x:v>
      </x:c>
      <x:c r="C333" s="95" t="n">
        <x:v>45993</x:v>
      </x:c>
      <x:c r="D333" s="95" t="n">
        <x:v>45997</x:v>
      </x:c>
      <x:c r="E333" s="86" t="str">
        <x:v>Licença</x:v>
      </x:c>
      <x:c r="F333" s="86" t="n">
        <x:v>40</x:v>
      </x:c>
      <x:c r="G333" s="86" t="n">
        <x:v>1</x:v>
      </x:c>
      <x:c r="H333" s="91" t="n">
        <x:v>1785.29</x:v>
      </x:c>
      <x:c r="I333" s="87" t="n">
        <x:v>5</x:v>
      </x:c>
    </x:row>
    <x:row r="334">
      <x:c r="A334" s="85" t="n">
        <x:v>333</x:v>
      </x:c>
      <x:c r="B334" s="86" t="n">
        <x:v>402</x:v>
      </x:c>
      <x:c r="C334" s="95" t="n">
        <x:v>45933</x:v>
      </x:c>
      <x:c r="D334" s="95" t="n">
        <x:v>45933</x:v>
      </x:c>
      <x:c r="E334" s="86" t="str">
        <x:v>Atraso</x:v>
      </x:c>
      <x:c r="F334" s="86" t="n">
        <x:v>3</x:v>
      </x:c>
      <x:c r="G334" s="86" t="n">
        <x:v>1</x:v>
      </x:c>
      <x:c r="H334" s="91" t="n">
        <x:v>47.83</x:v>
      </x:c>
      <x:c r="I334" s="87" t="n">
        <x:v>1</x:v>
      </x:c>
    </x:row>
    <x:row r="335">
      <x:c r="A335" s="85" t="n">
        <x:v>334</x:v>
      </x:c>
      <x:c r="B335" s="86" t="n">
        <x:v>180</x:v>
      </x:c>
      <x:c r="C335" s="95" t="n">
        <x:v>45900</x:v>
      </x:c>
      <x:c r="D335" s="95" t="n">
        <x:v>45900</x:v>
      </x:c>
      <x:c r="E335" s="86" t="str">
        <x:v>Atestado médico</x:v>
      </x:c>
      <x:c r="F335" s="86" t="n">
        <x:v>8</x:v>
      </x:c>
      <x:c r="G335" s="86" t="n">
        <x:v>1</x:v>
      </x:c>
      <x:c r="H335" s="91" t="n">
        <x:v>234.99</x:v>
      </x:c>
      <x:c r="I335" s="87" t="n">
        <x:v>10</x:v>
      </x:c>
    </x:row>
    <x:row r="336">
      <x:c r="A336" s="85" t="n">
        <x:v>335</x:v>
      </x:c>
      <x:c r="B336" s="86" t="n">
        <x:v>109</x:v>
      </x:c>
      <x:c r="C336" s="95" t="n">
        <x:v>45885</x:v>
      </x:c>
      <x:c r="D336" s="95" t="n">
        <x:v>45887</x:v>
      </x:c>
      <x:c r="E336" s="86" t="str">
        <x:v>Atestado médico</x:v>
      </x:c>
      <x:c r="F336" s="86" t="n">
        <x:v>24</x:v>
      </x:c>
      <x:c r="G336" s="86" t="n">
        <x:v>1</x:v>
      </x:c>
      <x:c r="H336" s="91" t="n">
        <x:v>1727.55</x:v>
      </x:c>
      <x:c r="I336" s="87" t="n">
        <x:v>8</x:v>
      </x:c>
    </x:row>
    <x:row r="337">
      <x:c r="A337" s="85" t="n">
        <x:v>336</x:v>
      </x:c>
      <x:c r="B337" s="86" t="n">
        <x:v>2</x:v>
      </x:c>
      <x:c r="C337" s="95" t="n">
        <x:v>45948</x:v>
      </x:c>
      <x:c r="D337" s="95" t="n">
        <x:v>45948</x:v>
      </x:c>
      <x:c r="E337" s="86" t="str">
        <x:v>Atestado médico</x:v>
      </x:c>
      <x:c r="F337" s="86" t="n">
        <x:v>1</x:v>
      </x:c>
      <x:c r="G337" s="86" t="n">
        <x:v>1</x:v>
      </x:c>
      <x:c r="H337" s="91" t="n">
        <x:v>14.92</x:v>
      </x:c>
      <x:c r="I337" s="87" t="n">
        <x:v>3</x:v>
      </x:c>
    </x:row>
    <x:row r="338">
      <x:c r="A338" s="85" t="n">
        <x:v>337</x:v>
      </x:c>
      <x:c r="B338" s="86" t="n">
        <x:v>205</x:v>
      </x:c>
      <x:c r="C338" s="95" t="n">
        <x:v>45984</x:v>
      </x:c>
      <x:c r="D338" s="95" t="n">
        <x:v>45984</x:v>
      </x:c>
      <x:c r="E338" s="86" t="str">
        <x:v>Atraso</x:v>
      </x:c>
      <x:c r="F338" s="86" t="n">
        <x:v>3</x:v>
      </x:c>
      <x:c r="G338" s="86" t="n">
        <x:v>1</x:v>
      </x:c>
      <x:c r="H338" s="91" t="n">
        <x:v>58.42</x:v>
      </x:c>
      <x:c r="I338" s="87" t="n">
        <x:v>4</x:v>
      </x:c>
    </x:row>
    <x:row r="339">
      <x:c r="A339" s="85" t="n">
        <x:v>338</x:v>
      </x:c>
      <x:c r="B339" s="86" t="n">
        <x:v>142</x:v>
      </x:c>
      <x:c r="C339" s="95" t="n">
        <x:v>45779</x:v>
      </x:c>
      <x:c r="D339" s="95" t="n">
        <x:v>45780</x:v>
      </x:c>
      <x:c r="E339" s="86" t="str">
        <x:v>Atestado médico</x:v>
      </x:c>
      <x:c r="F339" s="86" t="n">
        <x:v>16</x:v>
      </x:c>
      <x:c r="G339" s="86" t="n">
        <x:v>1</x:v>
      </x:c>
      <x:c r="H339" s="91" t="n">
        <x:v>345.79</x:v>
      </x:c>
      <x:c r="I339" s="87" t="n">
        <x:v>4</x:v>
      </x:c>
    </x:row>
    <x:row r="340">
      <x:c r="A340" s="85" t="n">
        <x:v>339</x:v>
      </x:c>
      <x:c r="B340" s="86" t="n">
        <x:v>405</x:v>
      </x:c>
      <x:c r="C340" s="95" t="n">
        <x:v>45647</x:v>
      </x:c>
      <x:c r="D340" s="95" t="n">
        <x:v>45647</x:v>
      </x:c>
      <x:c r="E340" s="86" t="str">
        <x:v>Atestado médico</x:v>
      </x:c>
      <x:c r="F340" s="86" t="n">
        <x:v>1</x:v>
      </x:c>
      <x:c r="G340" s="86" t="n">
        <x:v>1</x:v>
      </x:c>
      <x:c r="H340" s="91" t="n">
        <x:v>34.78</x:v>
      </x:c>
      <x:c r="I340" s="87" t="n">
        <x:v>10</x:v>
      </x:c>
    </x:row>
    <x:row r="341">
      <x:c r="A341" s="85" t="n">
        <x:v>340</x:v>
      </x:c>
      <x:c r="B341" s="86" t="n">
        <x:v>75</x:v>
      </x:c>
      <x:c r="C341" s="95" t="n">
        <x:v>45834</x:v>
      </x:c>
      <x:c r="D341" s="95" t="n">
        <x:v>45834</x:v>
      </x:c>
      <x:c r="E341" s="86" t="str">
        <x:v>Atraso</x:v>
      </x:c>
      <x:c r="F341" s="86" t="n">
        <x:v>2</x:v>
      </x:c>
      <x:c r="G341" s="86" t="n">
        <x:v>1</x:v>
      </x:c>
      <x:c r="H341" s="91" t="n">
        <x:v>70.57</x:v>
      </x:c>
      <x:c r="I341" s="87" t="n">
        <x:v>10</x:v>
      </x:c>
    </x:row>
    <x:row r="342">
      <x:c r="A342" s="85" t="n">
        <x:v>341</x:v>
      </x:c>
      <x:c r="B342" s="86" t="n">
        <x:v>320</x:v>
      </x:c>
      <x:c r="C342" s="95" t="n">
        <x:v>45592</x:v>
      </x:c>
      <x:c r="D342" s="95" t="n">
        <x:v>45592</x:v>
      </x:c>
      <x:c r="E342" s="86" t="str">
        <x:v>Atraso</x:v>
      </x:c>
      <x:c r="F342" s="86" t="n">
        <x:v>2</x:v>
      </x:c>
      <x:c r="G342" s="86" t="n">
        <x:v>1</x:v>
      </x:c>
      <x:c r="H342" s="91" t="n">
        <x:v>29.48</x:v>
      </x:c>
      <x:c r="I342" s="87" t="n">
        <x:v>1</x:v>
      </x:c>
    </x:row>
    <x:row r="343">
      <x:c r="A343" s="85" t="n">
        <x:v>342</x:v>
      </x:c>
      <x:c r="B343" s="86" t="n">
        <x:v>396</x:v>
      </x:c>
      <x:c r="C343" s="95" t="n">
        <x:v>45835</x:v>
      </x:c>
      <x:c r="D343" s="95" t="n">
        <x:v>45835</x:v>
      </x:c>
      <x:c r="E343" s="86" t="str">
        <x:v>Atraso</x:v>
      </x:c>
      <x:c r="F343" s="86" t="n">
        <x:v>2</x:v>
      </x:c>
      <x:c r="G343" s="86" t="n">
        <x:v>1</x:v>
      </x:c>
      <x:c r="H343" s="91" t="n">
        <x:v>67.98</x:v>
      </x:c>
      <x:c r="I343" s="87" t="n">
        <x:v>1</x:v>
      </x:c>
    </x:row>
    <x:row r="344">
      <x:c r="A344" s="85" t="n">
        <x:v>343</x:v>
      </x:c>
      <x:c r="B344" s="86" t="n">
        <x:v>328</x:v>
      </x:c>
      <x:c r="C344" s="95" t="n">
        <x:v>45795</x:v>
      </x:c>
      <x:c r="D344" s="95" t="n">
        <x:v>45795</x:v>
      </x:c>
      <x:c r="E344" s="86" t="str">
        <x:v>Atraso</x:v>
      </x:c>
      <x:c r="F344" s="86" t="n">
        <x:v>3</x:v>
      </x:c>
      <x:c r="G344" s="86" t="n">
        <x:v>1</x:v>
      </x:c>
      <x:c r="H344" s="91" t="n">
        <x:v>85.16</x:v>
      </x:c>
      <x:c r="I344" s="87" t="n">
        <x:v>6</x:v>
      </x:c>
    </x:row>
    <x:row r="345">
      <x:c r="A345" s="85" t="n">
        <x:v>344</x:v>
      </x:c>
      <x:c r="B345" s="86" t="n">
        <x:v>400</x:v>
      </x:c>
      <x:c r="C345" s="95" t="n">
        <x:v>45480</x:v>
      </x:c>
      <x:c r="D345" s="95" t="n">
        <x:v>45480</x:v>
      </x:c>
      <x:c r="E345" s="86" t="str">
        <x:v>Consulta médica</x:v>
      </x:c>
      <x:c r="F345" s="86" t="n">
        <x:v>2</x:v>
      </x:c>
      <x:c r="G345" s="86" t="n">
        <x:v>1</x:v>
      </x:c>
      <x:c r="H345" s="91" t="n">
        <x:v>21.1</x:v>
      </x:c>
      <x:c r="I345" s="87" t="n">
        <x:v>1</x:v>
      </x:c>
    </x:row>
    <x:row r="346">
      <x:c r="A346" s="85" t="n">
        <x:v>345</x:v>
      </x:c>
      <x:c r="B346" s="86" t="n">
        <x:v>374</x:v>
      </x:c>
      <x:c r="C346" s="95" t="n">
        <x:v>45358</x:v>
      </x:c>
      <x:c r="D346" s="95" t="n">
        <x:v>45358</x:v>
      </x:c>
      <x:c r="E346" s="86" t="str">
        <x:v>Consulta médica</x:v>
      </x:c>
      <x:c r="F346" s="86" t="n">
        <x:v>1</x:v>
      </x:c>
      <x:c r="G346" s="86" t="n">
        <x:v>1</x:v>
      </x:c>
      <x:c r="H346" s="91" t="n">
        <x:v>11.76</x:v>
      </x:c>
      <x:c r="I346" s="87" t="n">
        <x:v>1</x:v>
      </x:c>
    </x:row>
    <x:row r="347">
      <x:c r="A347" s="85" t="n">
        <x:v>346</x:v>
      </x:c>
      <x:c r="B347" s="86" t="n">
        <x:v>89</x:v>
      </x:c>
      <x:c r="C347" s="95" t="n">
        <x:v>45602</x:v>
      </x:c>
      <x:c r="D347" s="95" t="n">
        <x:v>45602</x:v>
      </x:c>
      <x:c r="E347" s="86" t="str">
        <x:v>Licença</x:v>
      </x:c>
      <x:c r="F347" s="86" t="n">
        <x:v>8</x:v>
      </x:c>
      <x:c r="G347" s="86" t="n">
        <x:v>1</x:v>
      </x:c>
      <x:c r="H347" s="91" t="n">
        <x:v>114.52</x:v>
      </x:c>
      <x:c r="I347" s="87" t="n">
        <x:v>3</x:v>
      </x:c>
    </x:row>
    <x:row r="348">
      <x:c r="A348" s="85" t="n">
        <x:v>347</x:v>
      </x:c>
      <x:c r="B348" s="86" t="n">
        <x:v>238</x:v>
      </x:c>
      <x:c r="C348" s="95" t="n">
        <x:v>45890</x:v>
      </x:c>
      <x:c r="D348" s="95" t="n">
        <x:v>45890</x:v>
      </x:c>
      <x:c r="E348" s="86" t="str">
        <x:v>Falta não justificada</x:v>
      </x:c>
      <x:c r="F348" s="86" t="n">
        <x:v>8</x:v>
      </x:c>
      <x:c r="G348" s="86" t="n">
        <x:v>0</x:v>
      </x:c>
      <x:c r="H348" s="91" t="n">
        <x:v>115.15</x:v>
      </x:c>
      <x:c r="I348" s="87" t="n">
        <x:v>1</x:v>
      </x:c>
    </x:row>
    <x:row r="349">
      <x:c r="A349" s="85" t="n">
        <x:v>348</x:v>
      </x:c>
      <x:c r="B349" s="86" t="n">
        <x:v>337</x:v>
      </x:c>
      <x:c r="C349" s="95" t="n">
        <x:v>45713</x:v>
      </x:c>
      <x:c r="D349" s="95" t="n">
        <x:v>45714</x:v>
      </x:c>
      <x:c r="E349" s="86" t="str">
        <x:v>Atestado médico</x:v>
      </x:c>
      <x:c r="F349" s="86" t="n">
        <x:v>16</x:v>
      </x:c>
      <x:c r="G349" s="86" t="n">
        <x:v>1</x:v>
      </x:c>
      <x:c r="H349" s="91" t="n">
        <x:v>581.09</x:v>
      </x:c>
      <x:c r="I349" s="87" t="n">
        <x:v>6</x:v>
      </x:c>
    </x:row>
    <x:row r="350">
      <x:c r="A350" s="85" t="n">
        <x:v>349</x:v>
      </x:c>
      <x:c r="B350" s="86" t="n">
        <x:v>217</x:v>
      </x:c>
      <x:c r="C350" s="95" t="n">
        <x:v>45693</x:v>
      </x:c>
      <x:c r="D350" s="95" t="n">
        <x:v>45693</x:v>
      </x:c>
      <x:c r="E350" s="86" t="str">
        <x:v>Falta não justificada</x:v>
      </x:c>
      <x:c r="F350" s="86" t="n">
        <x:v>8</x:v>
      </x:c>
      <x:c r="G350" s="86" t="n">
        <x:v>0</x:v>
      </x:c>
      <x:c r="H350" s="91" t="n">
        <x:v>228.67</x:v>
      </x:c>
      <x:c r="I350" s="87" t="n">
        <x:v>9</x:v>
      </x:c>
    </x:row>
    <x:row r="351">
      <x:c r="A351" s="85" t="n">
        <x:v>350</x:v>
      </x:c>
      <x:c r="B351" s="86" t="n">
        <x:v>415</x:v>
      </x:c>
      <x:c r="C351" s="95" t="n">
        <x:v>45984</x:v>
      </x:c>
      <x:c r="D351" s="95" t="n">
        <x:v>45984</x:v>
      </x:c>
      <x:c r="E351" s="86" t="str">
        <x:v>Falta não justificada</x:v>
      </x:c>
      <x:c r="F351" s="86" t="n">
        <x:v>4</x:v>
      </x:c>
      <x:c r="G351" s="86" t="n">
        <x:v>0</x:v>
      </x:c>
      <x:c r="H351" s="91" t="n">
        <x:v>52.49</x:v>
      </x:c>
      <x:c r="I351" s="87" t="n">
        <x:v>1</x:v>
      </x:c>
    </x:row>
    <x:row r="352">
      <x:c r="A352" s="85" t="n">
        <x:v>351</x:v>
      </x:c>
      <x:c r="B352" s="86" t="n">
        <x:v>144</x:v>
      </x:c>
      <x:c r="C352" s="95" t="n">
        <x:v>45954</x:v>
      </x:c>
      <x:c r="D352" s="95" t="n">
        <x:v>45954</x:v>
      </x:c>
      <x:c r="E352" s="86" t="str">
        <x:v>Consulta médica</x:v>
      </x:c>
      <x:c r="F352" s="86" t="n">
        <x:v>1</x:v>
      </x:c>
      <x:c r="G352" s="86" t="n">
        <x:v>1</x:v>
      </x:c>
      <x:c r="H352" s="91" t="n">
        <x:v>27.88</x:v>
      </x:c>
      <x:c r="I352" s="87" t="n">
        <x:v>4</x:v>
      </x:c>
    </x:row>
    <x:row r="353">
      <x:c r="A353" s="85" t="n">
        <x:v>352</x:v>
      </x:c>
      <x:c r="B353" s="86" t="n">
        <x:v>409</x:v>
      </x:c>
      <x:c r="C353" s="95" t="n">
        <x:v>45789</x:v>
      </x:c>
      <x:c r="D353" s="95" t="n">
        <x:v>45793</x:v>
      </x:c>
      <x:c r="E353" s="86" t="str">
        <x:v>Consulta médica</x:v>
      </x:c>
      <x:c r="F353" s="86" t="n">
        <x:v>40</x:v>
      </x:c>
      <x:c r="G353" s="86" t="n">
        <x:v>1</x:v>
      </x:c>
      <x:c r="H353" s="91" t="n">
        <x:v>1288.21</x:v>
      </x:c>
      <x:c r="I353" s="87" t="n">
        <x:v>6</x:v>
      </x:c>
    </x:row>
    <x:row r="354">
      <x:c r="A354" s="85" t="n">
        <x:v>353</x:v>
      </x:c>
      <x:c r="B354" s="86" t="n">
        <x:v>259</x:v>
      </x:c>
      <x:c r="C354" s="95" t="n">
        <x:v>45645</x:v>
      </x:c>
      <x:c r="D354" s="95" t="n">
        <x:v>45646</x:v>
      </x:c>
      <x:c r="E354" s="86" t="str">
        <x:v>Atestado médico</x:v>
      </x:c>
      <x:c r="F354" s="86" t="n">
        <x:v>16</x:v>
      </x:c>
      <x:c r="G354" s="86" t="n">
        <x:v>1</x:v>
      </x:c>
      <x:c r="H354" s="91" t="n">
        <x:v>375.73</x:v>
      </x:c>
      <x:c r="I354" s="87" t="n">
        <x:v>4</x:v>
      </x:c>
    </x:row>
    <x:row r="355">
      <x:c r="A355" s="85" t="n">
        <x:v>354</x:v>
      </x:c>
      <x:c r="B355" s="86" t="n">
        <x:v>374</x:v>
      </x:c>
      <x:c r="C355" s="95" t="n">
        <x:v>45297</x:v>
      </x:c>
      <x:c r="D355" s="95" t="n">
        <x:v>45297</x:v>
      </x:c>
      <x:c r="E355" s="86" t="str">
        <x:v>Falta não justificada</x:v>
      </x:c>
      <x:c r="F355" s="86" t="n">
        <x:v>8</x:v>
      </x:c>
      <x:c r="G355" s="86" t="n">
        <x:v>0</x:v>
      </x:c>
      <x:c r="H355" s="91" t="n">
        <x:v>94.11</x:v>
      </x:c>
      <x:c r="I355" s="87" t="n">
        <x:v>1</x:v>
      </x:c>
    </x:row>
    <x:row r="356">
      <x:c r="A356" s="85" t="n">
        <x:v>355</x:v>
      </x:c>
      <x:c r="B356" s="86" t="n">
        <x:v>29</x:v>
      </x:c>
      <x:c r="C356" s="95" t="n">
        <x:v>45991</x:v>
      </x:c>
      <x:c r="D356" s="95" t="n">
        <x:v>45991</x:v>
      </x:c>
      <x:c r="E356" s="86" t="str">
        <x:v>Falta não justificada</x:v>
      </x:c>
      <x:c r="F356" s="86" t="n">
        <x:v>8</x:v>
      </x:c>
      <x:c r="G356" s="86" t="n">
        <x:v>0</x:v>
      </x:c>
      <x:c r="H356" s="91" t="n">
        <x:v>226.15</x:v>
      </x:c>
      <x:c r="I356" s="87" t="n">
        <x:v>7</x:v>
      </x:c>
    </x:row>
    <x:row r="357">
      <x:c r="A357" s="85" t="n">
        <x:v>356</x:v>
      </x:c>
      <x:c r="B357" s="86" t="n">
        <x:v>240</x:v>
      </x:c>
      <x:c r="C357" s="95" t="n">
        <x:v>45455</x:v>
      </x:c>
      <x:c r="D357" s="95" t="n">
        <x:v>45455</x:v>
      </x:c>
      <x:c r="E357" s="86" t="str">
        <x:v>Atraso</x:v>
      </x:c>
      <x:c r="F357" s="86" t="n">
        <x:v>3</x:v>
      </x:c>
      <x:c r="G357" s="86" t="n">
        <x:v>1</x:v>
      </x:c>
      <x:c r="H357" s="91" t="n">
        <x:v>126.49</x:v>
      </x:c>
      <x:c r="I357" s="87" t="n">
        <x:v>9</x:v>
      </x:c>
    </x:row>
    <x:row r="358">
      <x:c r="A358" s="85" t="n">
        <x:v>357</x:v>
      </x:c>
      <x:c r="B358" s="86" t="n">
        <x:v>219</x:v>
      </x:c>
      <x:c r="C358" s="95" t="n">
        <x:v>45939</x:v>
      </x:c>
      <x:c r="D358" s="95" t="n">
        <x:v>45939</x:v>
      </x:c>
      <x:c r="E358" s="86" t="str">
        <x:v>Atestado médico</x:v>
      </x:c>
      <x:c r="F358" s="86" t="n">
        <x:v>1</x:v>
      </x:c>
      <x:c r="G358" s="86" t="n">
        <x:v>1</x:v>
      </x:c>
      <x:c r="H358" s="91" t="n">
        <x:v>42.88</x:v>
      </x:c>
      <x:c r="I358" s="87" t="n">
        <x:v>5</x:v>
      </x:c>
    </x:row>
    <x:row r="359">
      <x:c r="A359" s="85" t="n">
        <x:v>358</x:v>
      </x:c>
      <x:c r="B359" s="86" t="n">
        <x:v>304</x:v>
      </x:c>
      <x:c r="C359" s="95" t="n">
        <x:v>45842</x:v>
      </x:c>
      <x:c r="D359" s="95" t="n">
        <x:v>45842</x:v>
      </x:c>
      <x:c r="E359" s="86" t="str">
        <x:v>Licença</x:v>
      </x:c>
      <x:c r="F359" s="86" t="n">
        <x:v>2</x:v>
      </x:c>
      <x:c r="G359" s="86" t="n">
        <x:v>1</x:v>
      </x:c>
      <x:c r="H359" s="91" t="n">
        <x:v>21.22</x:v>
      </x:c>
      <x:c r="I359" s="87" t="n">
        <x:v>1</x:v>
      </x:c>
    </x:row>
    <x:row r="360">
      <x:c r="A360" s="85" t="n">
        <x:v>359</x:v>
      </x:c>
      <x:c r="B360" s="86" t="n">
        <x:v>327</x:v>
      </x:c>
      <x:c r="C360" s="95" t="n">
        <x:v>45322</x:v>
      </x:c>
      <x:c r="D360" s="95" t="n">
        <x:v>45322</x:v>
      </x:c>
      <x:c r="E360" s="86" t="str">
        <x:v>Consulta médica</x:v>
      </x:c>
      <x:c r="F360" s="86" t="n">
        <x:v>4</x:v>
      </x:c>
      <x:c r="G360" s="86" t="n">
        <x:v>1</x:v>
      </x:c>
      <x:c r="H360" s="91" t="n">
        <x:v>100.23</x:v>
      </x:c>
      <x:c r="I360" s="87" t="n">
        <x:v>7</x:v>
      </x:c>
    </x:row>
    <x:row r="361">
      <x:c r="A361" s="85" t="n">
        <x:v>360</x:v>
      </x:c>
      <x:c r="B361" s="86" t="n">
        <x:v>77</x:v>
      </x:c>
      <x:c r="C361" s="95" t="n">
        <x:v>45725</x:v>
      </x:c>
      <x:c r="D361" s="95" t="n">
        <x:v>45727</x:v>
      </x:c>
      <x:c r="E361" s="86" t="str">
        <x:v>Consulta médica</x:v>
      </x:c>
      <x:c r="F361" s="86" t="n">
        <x:v>24</x:v>
      </x:c>
      <x:c r="G361" s="86" t="n">
        <x:v>1</x:v>
      </x:c>
      <x:c r="H361" s="91" t="n">
        <x:v>854.83</x:v>
      </x:c>
      <x:c r="I361" s="87" t="n">
        <x:v>1</x:v>
      </x:c>
    </x:row>
    <x:row r="362">
      <x:c r="A362" s="85" t="n">
        <x:v>361</x:v>
      </x:c>
      <x:c r="B362" s="86" t="n">
        <x:v>210</x:v>
      </x:c>
      <x:c r="C362" s="95" t="n">
        <x:v>45891</x:v>
      </x:c>
      <x:c r="D362" s="95" t="n">
        <x:v>45891</x:v>
      </x:c>
      <x:c r="E362" s="86" t="str">
        <x:v>Atestado médico</x:v>
      </x:c>
      <x:c r="F362" s="86" t="n">
        <x:v>1</x:v>
      </x:c>
      <x:c r="G362" s="86" t="n">
        <x:v>1</x:v>
      </x:c>
      <x:c r="H362" s="91" t="n">
        <x:v>14.95</x:v>
      </x:c>
      <x:c r="I362" s="87" t="n">
        <x:v>1</x:v>
      </x:c>
    </x:row>
    <x:row r="363">
      <x:c r="A363" s="85" t="n">
        <x:v>362</x:v>
      </x:c>
      <x:c r="B363" s="86" t="n">
        <x:v>323</x:v>
      </x:c>
      <x:c r="C363" s="95" t="n">
        <x:v>45967</x:v>
      </x:c>
      <x:c r="D363" s="95" t="n">
        <x:v>45967</x:v>
      </x:c>
      <x:c r="E363" s="86" t="str">
        <x:v>Atestado médico</x:v>
      </x:c>
      <x:c r="F363" s="86" t="n">
        <x:v>2</x:v>
      </x:c>
      <x:c r="G363" s="86" t="n">
        <x:v>1</x:v>
      </x:c>
      <x:c r="H363" s="91" t="n">
        <x:v>68.2</x:v>
      </x:c>
      <x:c r="I363" s="87" t="n">
        <x:v>5</x:v>
      </x:c>
    </x:row>
    <x:row r="364">
      <x:c r="A364" s="85" t="n">
        <x:v>363</x:v>
      </x:c>
      <x:c r="B364" s="86" t="n">
        <x:v>62</x:v>
      </x:c>
      <x:c r="C364" s="95" t="n">
        <x:v>45479</x:v>
      </x:c>
      <x:c r="D364" s="95" t="n">
        <x:v>45479</x:v>
      </x:c>
      <x:c r="E364" s="86" t="str">
        <x:v>Falta não justificada</x:v>
      </x:c>
      <x:c r="F364" s="86" t="n">
        <x:v>1</x:v>
      </x:c>
      <x:c r="G364" s="86" t="n">
        <x:v>0</x:v>
      </x:c>
      <x:c r="H364" s="91" t="n">
        <x:v>20.54</x:v>
      </x:c>
      <x:c r="I364" s="87" t="n">
        <x:v>2</x:v>
      </x:c>
    </x:row>
    <x:row r="365">
      <x:c r="A365" s="85" t="n">
        <x:v>364</x:v>
      </x:c>
      <x:c r="B365" s="86" t="n">
        <x:v>135</x:v>
      </x:c>
      <x:c r="C365" s="95" t="n">
        <x:v>45723</x:v>
      </x:c>
      <x:c r="D365" s="95" t="n">
        <x:v>45724</x:v>
      </x:c>
      <x:c r="E365" s="86" t="str">
        <x:v>Licença</x:v>
      </x:c>
      <x:c r="F365" s="86" t="n">
        <x:v>16</x:v>
      </x:c>
      <x:c r="G365" s="86" t="n">
        <x:v>1</x:v>
      </x:c>
      <x:c r="H365" s="91" t="n">
        <x:v>237.92</x:v>
      </x:c>
      <x:c r="I365" s="87" t="n">
        <x:v>10</x:v>
      </x:c>
    </x:row>
    <x:row r="366">
      <x:c r="A366" s="85" t="n">
        <x:v>365</x:v>
      </x:c>
      <x:c r="B366" s="86" t="n">
        <x:v>231</x:v>
      </x:c>
      <x:c r="C366" s="95" t="n">
        <x:v>45388</x:v>
      </x:c>
      <x:c r="D366" s="95" t="n">
        <x:v>45388</x:v>
      </x:c>
      <x:c r="E366" s="86" t="str">
        <x:v>Atraso</x:v>
      </x:c>
      <x:c r="F366" s="86" t="n">
        <x:v>1</x:v>
      </x:c>
      <x:c r="G366" s="86" t="n">
        <x:v>1</x:v>
      </x:c>
      <x:c r="H366" s="91" t="n">
        <x:v>27.17</x:v>
      </x:c>
      <x:c r="I366" s="87" t="n">
        <x:v>7</x:v>
      </x:c>
    </x:row>
    <x:row r="367">
      <x:c r="A367" s="85" t="n">
        <x:v>366</x:v>
      </x:c>
      <x:c r="B367" s="86" t="n">
        <x:v>403</x:v>
      </x:c>
      <x:c r="C367" s="95" t="n">
        <x:v>45367</x:v>
      </x:c>
      <x:c r="D367" s="95" t="n">
        <x:v>45367</x:v>
      </x:c>
      <x:c r="E367" s="86" t="str">
        <x:v>Atraso</x:v>
      </x:c>
      <x:c r="F367" s="86" t="n">
        <x:v>1</x:v>
      </x:c>
      <x:c r="G367" s="86" t="n">
        <x:v>1</x:v>
      </x:c>
      <x:c r="H367" s="91" t="n">
        <x:v>23.01</x:v>
      </x:c>
      <x:c r="I367" s="87" t="n">
        <x:v>6</x:v>
      </x:c>
    </x:row>
    <x:row r="368">
      <x:c r="A368" s="85" t="n">
        <x:v>367</x:v>
      </x:c>
      <x:c r="B368" s="86" t="n">
        <x:v>308</x:v>
      </x:c>
      <x:c r="C368" s="95" t="n">
        <x:v>45806</x:v>
      </x:c>
      <x:c r="D368" s="95" t="n">
        <x:v>45806</x:v>
      </x:c>
      <x:c r="E368" s="86" t="str">
        <x:v>Atestado médico</x:v>
      </x:c>
      <x:c r="F368" s="86" t="n">
        <x:v>2</x:v>
      </x:c>
      <x:c r="G368" s="86" t="n">
        <x:v>1</x:v>
      </x:c>
      <x:c r="H368" s="91" t="n">
        <x:v>27.67</x:v>
      </x:c>
      <x:c r="I368" s="87" t="n">
        <x:v>3</x:v>
      </x:c>
    </x:row>
    <x:row r="369">
      <x:c r="A369" s="85" t="n">
        <x:v>368</x:v>
      </x:c>
      <x:c r="B369" s="86" t="n">
        <x:v>398</x:v>
      </x:c>
      <x:c r="C369" s="95" t="n">
        <x:v>45774</x:v>
      </x:c>
      <x:c r="D369" s="95" t="n">
        <x:v>45774</x:v>
      </x:c>
      <x:c r="E369" s="86" t="str">
        <x:v>Atestado médico</x:v>
      </x:c>
      <x:c r="F369" s="86" t="n">
        <x:v>1</x:v>
      </x:c>
      <x:c r="G369" s="86" t="n">
        <x:v>1</x:v>
      </x:c>
      <x:c r="H369" s="91" t="n">
        <x:v>11.63</x:v>
      </x:c>
      <x:c r="I369" s="87" t="n">
        <x:v>1</x:v>
      </x:c>
    </x:row>
    <x:row r="370">
      <x:c r="A370" s="85" t="n">
        <x:v>369</x:v>
      </x:c>
      <x:c r="B370" s="86" t="n">
        <x:v>295</x:v>
      </x:c>
      <x:c r="C370" s="95" t="n">
        <x:v>45983</x:v>
      </x:c>
      <x:c r="D370" s="95" t="n">
        <x:v>45983</x:v>
      </x:c>
      <x:c r="E370" s="86" t="str">
        <x:v>Atestado médico</x:v>
      </x:c>
      <x:c r="F370" s="86" t="n">
        <x:v>4</x:v>
      </x:c>
      <x:c r="G370" s="86" t="n">
        <x:v>1</x:v>
      </x:c>
      <x:c r="H370" s="91" t="n">
        <x:v>133.4</x:v>
      </x:c>
      <x:c r="I370" s="87" t="n">
        <x:v>9</x:v>
      </x:c>
    </x:row>
    <x:row r="371">
      <x:c r="A371" s="85" t="n">
        <x:v>370</x:v>
      </x:c>
      <x:c r="B371" s="86" t="n">
        <x:v>207</x:v>
      </x:c>
      <x:c r="C371" s="95" t="n">
        <x:v>45877</x:v>
      </x:c>
      <x:c r="D371" s="95" t="n">
        <x:v>45877</x:v>
      </x:c>
      <x:c r="E371" s="86" t="str">
        <x:v>Atraso</x:v>
      </x:c>
      <x:c r="F371" s="86" t="n">
        <x:v>3</x:v>
      </x:c>
      <x:c r="G371" s="86" t="n">
        <x:v>1</x:v>
      </x:c>
      <x:c r="H371" s="91" t="n">
        <x:v>41.23</x:v>
      </x:c>
      <x:c r="I371" s="87" t="n">
        <x:v>1</x:v>
      </x:c>
    </x:row>
    <x:row r="372">
      <x:c r="A372" s="85" t="n">
        <x:v>371</x:v>
      </x:c>
      <x:c r="B372" s="86" t="n">
        <x:v>406</x:v>
      </x:c>
      <x:c r="C372" s="95" t="n">
        <x:v>45539</x:v>
      </x:c>
      <x:c r="D372" s="95" t="n">
        <x:v>45543</x:v>
      </x:c>
      <x:c r="E372" s="86" t="str">
        <x:v>Atestado médico</x:v>
      </x:c>
      <x:c r="F372" s="86" t="n">
        <x:v>40</x:v>
      </x:c>
      <x:c r="G372" s="86" t="n">
        <x:v>1</x:v>
      </x:c>
      <x:c r="H372" s="91" t="n">
        <x:v>833.41</x:v>
      </x:c>
      <x:c r="I372" s="87" t="n">
        <x:v>10</x:v>
      </x:c>
    </x:row>
    <x:row r="373">
      <x:c r="A373" s="85" t="n">
        <x:v>372</x:v>
      </x:c>
      <x:c r="B373" s="86" t="n">
        <x:v>322</x:v>
      </x:c>
      <x:c r="C373" s="95" t="n">
        <x:v>45559</x:v>
      </x:c>
      <x:c r="D373" s="95" t="n">
        <x:v>45559</x:v>
      </x:c>
      <x:c r="E373" s="86" t="str">
        <x:v>Falta não justificada</x:v>
      </x:c>
      <x:c r="F373" s="86" t="n">
        <x:v>4</x:v>
      </x:c>
      <x:c r="G373" s="86" t="n">
        <x:v>0</x:v>
      </x:c>
      <x:c r="H373" s="91" t="n">
        <x:v>83.34</x:v>
      </x:c>
      <x:c r="I373" s="87" t="n">
        <x:v>7</x:v>
      </x:c>
    </x:row>
    <x:row r="374">
      <x:c r="A374" s="85" t="n">
        <x:v>373</x:v>
      </x:c>
      <x:c r="B374" s="86" t="n">
        <x:v>63</x:v>
      </x:c>
      <x:c r="C374" s="95" t="n">
        <x:v>46006</x:v>
      </x:c>
      <x:c r="D374" s="95" t="n">
        <x:v>46008</x:v>
      </x:c>
      <x:c r="E374" s="86" t="str">
        <x:v>Consulta médica</x:v>
      </x:c>
      <x:c r="F374" s="86" t="n">
        <x:v>24</x:v>
      </x:c>
      <x:c r="G374" s="86" t="n">
        <x:v>1</x:v>
      </x:c>
      <x:c r="H374" s="91" t="n">
        <x:v>533.98</x:v>
      </x:c>
      <x:c r="I374" s="87" t="n">
        <x:v>7</x:v>
      </x:c>
    </x:row>
    <x:row r="375">
      <x:c r="A375" s="85" t="n">
        <x:v>374</x:v>
      </x:c>
      <x:c r="B375" s="86" t="n">
        <x:v>142</x:v>
      </x:c>
      <x:c r="C375" s="95" t="n">
        <x:v>45786</x:v>
      </x:c>
      <x:c r="D375" s="95" t="n">
        <x:v>45788</x:v>
      </x:c>
      <x:c r="E375" s="86" t="str">
        <x:v>Licença</x:v>
      </x:c>
      <x:c r="F375" s="86" t="n">
        <x:v>24</x:v>
      </x:c>
      <x:c r="G375" s="86" t="n">
        <x:v>1</x:v>
      </x:c>
      <x:c r="H375" s="91" t="n">
        <x:v>518.68</x:v>
      </x:c>
      <x:c r="I375" s="87" t="n">
        <x:v>4</x:v>
      </x:c>
    </x:row>
    <x:row r="376">
      <x:c r="A376" s="85" t="n">
        <x:v>375</x:v>
      </x:c>
      <x:c r="B376" s="86" t="n">
        <x:v>151</x:v>
      </x:c>
      <x:c r="C376" s="95" t="n">
        <x:v>45915</x:v>
      </x:c>
      <x:c r="D376" s="95" t="n">
        <x:v>45915</x:v>
      </x:c>
      <x:c r="E376" s="86" t="str">
        <x:v>Falta não justificada</x:v>
      </x:c>
      <x:c r="F376" s="86" t="n">
        <x:v>1</x:v>
      </x:c>
      <x:c r="G376" s="86" t="n">
        <x:v>0</x:v>
      </x:c>
      <x:c r="H376" s="91" t="n">
        <x:v>21.66</x:v>
      </x:c>
      <x:c r="I376" s="87" t="n">
        <x:v>2</x:v>
      </x:c>
    </x:row>
    <x:row r="377">
      <x:c r="A377" s="85" t="n">
        <x:v>376</x:v>
      </x:c>
      <x:c r="B377" s="86" t="n">
        <x:v>84</x:v>
      </x:c>
      <x:c r="C377" s="95" t="n">
        <x:v>45941</x:v>
      </x:c>
      <x:c r="D377" s="95" t="n">
        <x:v>45945</x:v>
      </x:c>
      <x:c r="E377" s="86" t="str">
        <x:v>Consulta médica</x:v>
      </x:c>
      <x:c r="F377" s="86" t="n">
        <x:v>40</x:v>
      </x:c>
      <x:c r="G377" s="86" t="n">
        <x:v>1</x:v>
      </x:c>
      <x:c r="H377" s="91" t="n">
        <x:v>1013.45</x:v>
      </x:c>
      <x:c r="I377" s="87" t="n">
        <x:v>4</x:v>
      </x:c>
    </x:row>
    <x:row r="378">
      <x:c r="A378" s="85" t="n">
        <x:v>377</x:v>
      </x:c>
      <x:c r="B378" s="86" t="n">
        <x:v>388</x:v>
      </x:c>
      <x:c r="C378" s="95" t="n">
        <x:v>45527</x:v>
      </x:c>
      <x:c r="D378" s="95" t="n">
        <x:v>45527</x:v>
      </x:c>
      <x:c r="E378" s="86" t="str">
        <x:v>Atraso</x:v>
      </x:c>
      <x:c r="F378" s="86" t="n">
        <x:v>3</x:v>
      </x:c>
      <x:c r="G378" s="86" t="n">
        <x:v>1</x:v>
      </x:c>
      <x:c r="H378" s="91" t="n">
        <x:v>37.6</x:v>
      </x:c>
      <x:c r="I378" s="87" t="n">
        <x:v>1</x:v>
      </x:c>
    </x:row>
    <x:row r="379">
      <x:c r="A379" s="85" t="n">
        <x:v>378</x:v>
      </x:c>
      <x:c r="B379" s="86" t="n">
        <x:v>182</x:v>
      </x:c>
      <x:c r="C379" s="95" t="n">
        <x:v>45498</x:v>
      </x:c>
      <x:c r="D379" s="95" t="n">
        <x:v>45498</x:v>
      </x:c>
      <x:c r="E379" s="86" t="str">
        <x:v>Atestado médico</x:v>
      </x:c>
      <x:c r="F379" s="86" t="n">
        <x:v>8</x:v>
      </x:c>
      <x:c r="G379" s="86" t="n">
        <x:v>1</x:v>
      </x:c>
      <x:c r="H379" s="91" t="n">
        <x:v>111.63</x:v>
      </x:c>
      <x:c r="I379" s="87" t="n">
        <x:v>1</x:v>
      </x:c>
    </x:row>
    <x:row r="380">
      <x:c r="A380" s="85" t="n">
        <x:v>379</x:v>
      </x:c>
      <x:c r="B380" s="86" t="n">
        <x:v>85</x:v>
      </x:c>
      <x:c r="C380" s="95" t="n">
        <x:v>45450</x:v>
      </x:c>
      <x:c r="D380" s="95" t="n">
        <x:v>45454</x:v>
      </x:c>
      <x:c r="E380" s="86" t="str">
        <x:v>Licença</x:v>
      </x:c>
      <x:c r="F380" s="86" t="n">
        <x:v>40</x:v>
      </x:c>
      <x:c r="G380" s="86" t="n">
        <x:v>1</x:v>
      </x:c>
      <x:c r="H380" s="91" t="n">
        <x:v>1485.7</x:v>
      </x:c>
      <x:c r="I380" s="87" t="n">
        <x:v>1</x:v>
      </x:c>
    </x:row>
    <x:row r="381">
      <x:c r="A381" s="85" t="n">
        <x:v>380</x:v>
      </x:c>
      <x:c r="B381" s="86" t="n">
        <x:v>50</x:v>
      </x:c>
      <x:c r="C381" s="95" t="n">
        <x:v>46007</x:v>
      </x:c>
      <x:c r="D381" s="95" t="n">
        <x:v>46007</x:v>
      </x:c>
      <x:c r="E381" s="86" t="str">
        <x:v>Falta não justificada</x:v>
      </x:c>
      <x:c r="F381" s="86" t="n">
        <x:v>2</x:v>
      </x:c>
      <x:c r="G381" s="86" t="n">
        <x:v>0</x:v>
      </x:c>
      <x:c r="H381" s="91" t="n">
        <x:v>44.05</x:v>
      </x:c>
      <x:c r="I381" s="87" t="n">
        <x:v>6</x:v>
      </x:c>
    </x:row>
    <x:row r="382">
      <x:c r="A382" s="85" t="n">
        <x:v>381</x:v>
      </x:c>
      <x:c r="B382" s="86" t="n">
        <x:v>29</x:v>
      </x:c>
      <x:c r="C382" s="95" t="n">
        <x:v>45917</x:v>
      </x:c>
      <x:c r="D382" s="95" t="n">
        <x:v>45917</x:v>
      </x:c>
      <x:c r="E382" s="86" t="str">
        <x:v>Atraso</x:v>
      </x:c>
      <x:c r="F382" s="86" t="n">
        <x:v>2</x:v>
      </x:c>
      <x:c r="G382" s="86" t="n">
        <x:v>1</x:v>
      </x:c>
      <x:c r="H382" s="91" t="n">
        <x:v>56.54</x:v>
      </x:c>
      <x:c r="I382" s="87" t="n">
        <x:v>7</x:v>
      </x:c>
    </x:row>
    <x:row r="383">
      <x:c r="A383" s="85" t="n">
        <x:v>382</x:v>
      </x:c>
      <x:c r="B383" s="86" t="n">
        <x:v>4</x:v>
      </x:c>
      <x:c r="C383" s="95" t="n">
        <x:v>46004</x:v>
      </x:c>
      <x:c r="D383" s="95" t="n">
        <x:v>46004</x:v>
      </x:c>
      <x:c r="E383" s="86" t="str">
        <x:v>Consulta médica</x:v>
      </x:c>
      <x:c r="F383" s="86" t="n">
        <x:v>2</x:v>
      </x:c>
      <x:c r="G383" s="86" t="n">
        <x:v>1</x:v>
      </x:c>
      <x:c r="H383" s="91" t="n">
        <x:v>42.06</x:v>
      </x:c>
      <x:c r="I383" s="87" t="n">
        <x:v>3</x:v>
      </x:c>
    </x:row>
    <x:row r="384">
      <x:c r="A384" s="85" t="n">
        <x:v>383</x:v>
      </x:c>
      <x:c r="B384" s="86" t="n">
        <x:v>216</x:v>
      </x:c>
      <x:c r="C384" s="95" t="n">
        <x:v>46019</x:v>
      </x:c>
      <x:c r="D384" s="95" t="n">
        <x:v>46019</x:v>
      </x:c>
      <x:c r="E384" s="86" t="str">
        <x:v>Atraso</x:v>
      </x:c>
      <x:c r="F384" s="86" t="n">
        <x:v>3</x:v>
      </x:c>
      <x:c r="G384" s="86" t="n">
        <x:v>1</x:v>
      </x:c>
      <x:c r="H384" s="91" t="n">
        <x:v>88.06</x:v>
      </x:c>
      <x:c r="I384" s="87" t="n">
        <x:v>8</x:v>
      </x:c>
    </x:row>
    <x:row r="385">
      <x:c r="A385" s="85" t="n">
        <x:v>384</x:v>
      </x:c>
      <x:c r="B385" s="86" t="n">
        <x:v>340</x:v>
      </x:c>
      <x:c r="C385" s="95" t="n">
        <x:v>45949</x:v>
      </x:c>
      <x:c r="D385" s="95" t="n">
        <x:v>45949</x:v>
      </x:c>
      <x:c r="E385" s="86" t="str">
        <x:v>Atestado médico</x:v>
      </x:c>
      <x:c r="F385" s="86" t="n">
        <x:v>2</x:v>
      </x:c>
      <x:c r="G385" s="86" t="n">
        <x:v>1</x:v>
      </x:c>
      <x:c r="H385" s="91" t="n">
        <x:v>24.14</x:v>
      </x:c>
      <x:c r="I385" s="87" t="n">
        <x:v>1</x:v>
      </x:c>
    </x:row>
    <x:row r="386">
      <x:c r="A386" s="85" t="n">
        <x:v>385</x:v>
      </x:c>
      <x:c r="B386" s="86" t="n">
        <x:v>5</x:v>
      </x:c>
      <x:c r="C386" s="95" t="n">
        <x:v>46019</x:v>
      </x:c>
      <x:c r="D386" s="95" t="n">
        <x:v>46019</x:v>
      </x:c>
      <x:c r="E386" s="86" t="str">
        <x:v>Atestado médico</x:v>
      </x:c>
      <x:c r="F386" s="86" t="n">
        <x:v>2</x:v>
      </x:c>
      <x:c r="G386" s="86" t="n">
        <x:v>1</x:v>
      </x:c>
      <x:c r="H386" s="91" t="n">
        <x:v>122.53</x:v>
      </x:c>
      <x:c r="I386" s="87" t="n">
        <x:v>7</x:v>
      </x:c>
    </x:row>
    <x:row r="387">
      <x:c r="A387" s="85" t="n">
        <x:v>386</x:v>
      </x:c>
      <x:c r="B387" s="86" t="n">
        <x:v>262</x:v>
      </x:c>
      <x:c r="C387" s="95" t="n">
        <x:v>45874</x:v>
      </x:c>
      <x:c r="D387" s="95" t="n">
        <x:v>45874</x:v>
      </x:c>
      <x:c r="E387" s="86" t="str">
        <x:v>Atestado médico</x:v>
      </x:c>
      <x:c r="F387" s="86" t="n">
        <x:v>2</x:v>
      </x:c>
      <x:c r="G387" s="86" t="n">
        <x:v>1</x:v>
      </x:c>
      <x:c r="H387" s="91" t="n">
        <x:v>28.58</x:v>
      </x:c>
      <x:c r="I387" s="87" t="n">
        <x:v>1</x:v>
      </x:c>
    </x:row>
    <x:row r="388">
      <x:c r="A388" s="85" t="n">
        <x:v>387</x:v>
      </x:c>
      <x:c r="B388" s="86" t="n">
        <x:v>398</x:v>
      </x:c>
      <x:c r="C388" s="95" t="n">
        <x:v>45946</x:v>
      </x:c>
      <x:c r="D388" s="95" t="n">
        <x:v>45946</x:v>
      </x:c>
      <x:c r="E388" s="86" t="str">
        <x:v>Licença</x:v>
      </x:c>
      <x:c r="F388" s="86" t="n">
        <x:v>4</x:v>
      </x:c>
      <x:c r="G388" s="86" t="n">
        <x:v>1</x:v>
      </x:c>
      <x:c r="H388" s="91" t="n">
        <x:v>46.54</x:v>
      </x:c>
      <x:c r="I388" s="87" t="n">
        <x:v>1</x:v>
      </x:c>
    </x:row>
    <x:row r="389">
      <x:c r="A389" s="85" t="n">
        <x:v>388</x:v>
      </x:c>
      <x:c r="B389" s="86" t="n">
        <x:v>370</x:v>
      </x:c>
      <x:c r="C389" s="95" t="n">
        <x:v>45965</x:v>
      </x:c>
      <x:c r="D389" s="95" t="n">
        <x:v>45969</x:v>
      </x:c>
      <x:c r="E389" s="86" t="str">
        <x:v>Falta não justificada</x:v>
      </x:c>
      <x:c r="F389" s="86" t="n">
        <x:v>40</x:v>
      </x:c>
      <x:c r="G389" s="86" t="n">
        <x:v>0</x:v>
      </x:c>
      <x:c r="H389" s="91" t="n">
        <x:v>1126.34</x:v>
      </x:c>
      <x:c r="I389" s="87" t="n">
        <x:v>4</x:v>
      </x:c>
    </x:row>
    <x:row r="390">
      <x:c r="A390" s="85" t="n">
        <x:v>389</x:v>
      </x:c>
      <x:c r="B390" s="86" t="n">
        <x:v>58</x:v>
      </x:c>
      <x:c r="C390" s="95" t="n">
        <x:v>45941</x:v>
      </x:c>
      <x:c r="D390" s="95" t="n">
        <x:v>45941</x:v>
      </x:c>
      <x:c r="E390" s="86" t="str">
        <x:v>Consulta médica</x:v>
      </x:c>
      <x:c r="F390" s="86" t="n">
        <x:v>8</x:v>
      </x:c>
      <x:c r="G390" s="86" t="n">
        <x:v>1</x:v>
      </x:c>
      <x:c r="H390" s="91" t="n">
        <x:v>176.06</x:v>
      </x:c>
      <x:c r="I390" s="87" t="n">
        <x:v>6</x:v>
      </x:c>
    </x:row>
    <x:row r="391">
      <x:c r="A391" s="85" t="n">
        <x:v>390</x:v>
      </x:c>
      <x:c r="B391" s="86" t="n">
        <x:v>397</x:v>
      </x:c>
      <x:c r="C391" s="95" t="n">
        <x:v>45413</x:v>
      </x:c>
      <x:c r="D391" s="95" t="n">
        <x:v>45413</x:v>
      </x:c>
      <x:c r="E391" s="86" t="str">
        <x:v>Licença</x:v>
      </x:c>
      <x:c r="F391" s="86" t="n">
        <x:v>1</x:v>
      </x:c>
      <x:c r="G391" s="86" t="n">
        <x:v>1</x:v>
      </x:c>
      <x:c r="H391" s="91" t="n">
        <x:v>33.17</x:v>
      </x:c>
      <x:c r="I391" s="87" t="n">
        <x:v>6</x:v>
      </x:c>
    </x:row>
    <x:row r="392">
      <x:c r="A392" s="85" t="n">
        <x:v>391</x:v>
      </x:c>
      <x:c r="B392" s="86" t="n">
        <x:v>241</x:v>
      </x:c>
      <x:c r="C392" s="95" t="n">
        <x:v>45948</x:v>
      </x:c>
      <x:c r="D392" s="95" t="n">
        <x:v>45948</x:v>
      </x:c>
      <x:c r="E392" s="86" t="str">
        <x:v>Consulta médica</x:v>
      </x:c>
      <x:c r="F392" s="86" t="n">
        <x:v>2</x:v>
      </x:c>
      <x:c r="G392" s="86" t="n">
        <x:v>1</x:v>
      </x:c>
      <x:c r="H392" s="91" t="n">
        <x:v>22.41</x:v>
      </x:c>
      <x:c r="I392" s="87" t="n">
        <x:v>1</x:v>
      </x:c>
    </x:row>
    <x:row r="393">
      <x:c r="A393" s="85" t="n">
        <x:v>392</x:v>
      </x:c>
      <x:c r="B393" s="86" t="n">
        <x:v>391</x:v>
      </x:c>
      <x:c r="C393" s="95" t="n">
        <x:v>45940</x:v>
      </x:c>
      <x:c r="D393" s="95" t="n">
        <x:v>45940</x:v>
      </x:c>
      <x:c r="E393" s="86" t="str">
        <x:v>Atraso</x:v>
      </x:c>
      <x:c r="F393" s="86" t="n">
        <x:v>1</x:v>
      </x:c>
      <x:c r="G393" s="86" t="n">
        <x:v>1</x:v>
      </x:c>
      <x:c r="H393" s="91" t="n">
        <x:v>20.91</x:v>
      </x:c>
      <x:c r="I393" s="87" t="n">
        <x:v>2</x:v>
      </x:c>
    </x:row>
    <x:row r="394">
      <x:c r="A394" s="85" t="n">
        <x:v>393</x:v>
      </x:c>
      <x:c r="B394" s="86" t="n">
        <x:v>286</x:v>
      </x:c>
      <x:c r="C394" s="95" t="n">
        <x:v>45921</x:v>
      </x:c>
      <x:c r="D394" s="95" t="n">
        <x:v>45921</x:v>
      </x:c>
      <x:c r="E394" s="86" t="str">
        <x:v>Licença</x:v>
      </x:c>
      <x:c r="F394" s="86" t="n">
        <x:v>2</x:v>
      </x:c>
      <x:c r="G394" s="86" t="n">
        <x:v>1</x:v>
      </x:c>
      <x:c r="H394" s="91" t="n">
        <x:v>26.75</x:v>
      </x:c>
      <x:c r="I394" s="87" t="n">
        <x:v>1</x:v>
      </x:c>
    </x:row>
    <x:row r="395">
      <x:c r="A395" s="85" t="n">
        <x:v>394</x:v>
      </x:c>
      <x:c r="B395" s="86" t="n">
        <x:v>31</x:v>
      </x:c>
      <x:c r="C395" s="95" t="n">
        <x:v>45738</x:v>
      </x:c>
      <x:c r="D395" s="95" t="n">
        <x:v>45738</x:v>
      </x:c>
      <x:c r="E395" s="86" t="str">
        <x:v>Atestado médico</x:v>
      </x:c>
      <x:c r="F395" s="86" t="n">
        <x:v>4</x:v>
      </x:c>
      <x:c r="G395" s="86" t="n">
        <x:v>1</x:v>
      </x:c>
      <x:c r="H395" s="91" t="n">
        <x:v>79.86</x:v>
      </x:c>
      <x:c r="I395" s="87" t="n">
        <x:v>2</x:v>
      </x:c>
    </x:row>
    <x:row r="396">
      <x:c r="A396" s="85" t="n">
        <x:v>395</x:v>
      </x:c>
      <x:c r="B396" s="86" t="n">
        <x:v>150</x:v>
      </x:c>
      <x:c r="C396" s="95" t="n">
        <x:v>45965</x:v>
      </x:c>
      <x:c r="D396" s="95" t="n">
        <x:v>45966</x:v>
      </x:c>
      <x:c r="E396" s="86" t="str">
        <x:v>Falta não justificada</x:v>
      </x:c>
      <x:c r="F396" s="86" t="n">
        <x:v>16</x:v>
      </x:c>
      <x:c r="G396" s="86" t="n">
        <x:v>0</x:v>
      </x:c>
      <x:c r="H396" s="91" t="n">
        <x:v>252.59</x:v>
      </x:c>
      <x:c r="I396" s="87" t="n">
        <x:v>1</x:v>
      </x:c>
    </x:row>
    <x:row r="397">
      <x:c r="A397" s="85" t="n">
        <x:v>396</x:v>
      </x:c>
      <x:c r="B397" s="86" t="n">
        <x:v>307</x:v>
      </x:c>
      <x:c r="C397" s="95" t="n">
        <x:v>45323</x:v>
      </x:c>
      <x:c r="D397" s="95" t="n">
        <x:v>45323</x:v>
      </x:c>
      <x:c r="E397" s="86" t="str">
        <x:v>Atestado médico</x:v>
      </x:c>
      <x:c r="F397" s="86" t="n">
        <x:v>8</x:v>
      </x:c>
      <x:c r="G397" s="86" t="n">
        <x:v>1</x:v>
      </x:c>
      <x:c r="H397" s="91" t="n">
        <x:v>157.52</x:v>
      </x:c>
      <x:c r="I397" s="87" t="n">
        <x:v>3</x:v>
      </x:c>
    </x:row>
    <x:row r="398">
      <x:c r="A398" s="85" t="n">
        <x:v>397</x:v>
      </x:c>
      <x:c r="B398" s="86" t="n">
        <x:v>96</x:v>
      </x:c>
      <x:c r="C398" s="95" t="n">
        <x:v>45356</x:v>
      </x:c>
      <x:c r="D398" s="95" t="n">
        <x:v>45356</x:v>
      </x:c>
      <x:c r="E398" s="86" t="str">
        <x:v>Consulta médica</x:v>
      </x:c>
      <x:c r="F398" s="86" t="n">
        <x:v>8</x:v>
      </x:c>
      <x:c r="G398" s="86" t="n">
        <x:v>1</x:v>
      </x:c>
      <x:c r="H398" s="91" t="n">
        <x:v>95.9</x:v>
      </x:c>
      <x:c r="I398" s="87" t="n">
        <x:v>1</x:v>
      </x:c>
    </x:row>
    <x:row r="399">
      <x:c r="A399" s="85" t="n">
        <x:v>398</x:v>
      </x:c>
      <x:c r="B399" s="86" t="n">
        <x:v>400</x:v>
      </x:c>
      <x:c r="C399" s="95" t="n">
        <x:v>45930</x:v>
      </x:c>
      <x:c r="D399" s="95" t="n">
        <x:v>45930</x:v>
      </x:c>
      <x:c r="E399" s="86" t="str">
        <x:v>Atraso</x:v>
      </x:c>
      <x:c r="F399" s="86" t="n">
        <x:v>2</x:v>
      </x:c>
      <x:c r="G399" s="86" t="n">
        <x:v>1</x:v>
      </x:c>
      <x:c r="H399" s="91" t="n">
        <x:v>21.1</x:v>
      </x:c>
      <x:c r="I399" s="87" t="n">
        <x:v>1</x:v>
      </x:c>
    </x:row>
    <x:row r="400">
      <x:c r="A400" s="85" t="n">
        <x:v>399</x:v>
      </x:c>
      <x:c r="B400" s="86" t="n">
        <x:v>323</x:v>
      </x:c>
      <x:c r="C400" s="95" t="n">
        <x:v>46004</x:v>
      </x:c>
      <x:c r="D400" s="95" t="n">
        <x:v>46004</x:v>
      </x:c>
      <x:c r="E400" s="86" t="str">
        <x:v>Licença</x:v>
      </x:c>
      <x:c r="F400" s="86" t="n">
        <x:v>1</x:v>
      </x:c>
      <x:c r="G400" s="86" t="n">
        <x:v>1</x:v>
      </x:c>
      <x:c r="H400" s="91" t="n">
        <x:v>34.1</x:v>
      </x:c>
      <x:c r="I400" s="87" t="n">
        <x:v>5</x:v>
      </x:c>
    </x:row>
    <x:row r="401">
      <x:c r="A401" s="85" t="n">
        <x:v>400</x:v>
      </x:c>
      <x:c r="B401" s="86" t="n">
        <x:v>36</x:v>
      </x:c>
      <x:c r="C401" s="95" t="n">
        <x:v>45905</x:v>
      </x:c>
      <x:c r="D401" s="95" t="n">
        <x:v>45905</x:v>
      </x:c>
      <x:c r="E401" s="86" t="str">
        <x:v>Atraso</x:v>
      </x:c>
      <x:c r="F401" s="86" t="n">
        <x:v>2</x:v>
      </x:c>
      <x:c r="G401" s="86" t="n">
        <x:v>1</x:v>
      </x:c>
      <x:c r="H401" s="91" t="n">
        <x:v>34.55</x:v>
      </x:c>
      <x:c r="I401" s="87" t="n">
        <x:v>4</x:v>
      </x:c>
    </x:row>
    <x:row r="402">
      <x:c r="A402" s="85" t="n">
        <x:v>401</x:v>
      </x:c>
      <x:c r="B402" s="86" t="n">
        <x:v>194</x:v>
      </x:c>
      <x:c r="C402" s="95" t="n">
        <x:v>45947</x:v>
      </x:c>
      <x:c r="D402" s="95" t="n">
        <x:v>45949</x:v>
      </x:c>
      <x:c r="E402" s="86" t="str">
        <x:v>Atestado médico</x:v>
      </x:c>
      <x:c r="F402" s="86" t="n">
        <x:v>24</x:v>
      </x:c>
      <x:c r="G402" s="86" t="n">
        <x:v>1</x:v>
      </x:c>
      <x:c r="H402" s="91" t="n">
        <x:v>347.53</x:v>
      </x:c>
      <x:c r="I402" s="87" t="n">
        <x:v>1</x:v>
      </x:c>
    </x:row>
    <x:row r="403">
      <x:c r="A403" s="85" t="n">
        <x:v>402</x:v>
      </x:c>
      <x:c r="B403" s="86" t="n">
        <x:v>367</x:v>
      </x:c>
      <x:c r="C403" s="95" t="n">
        <x:v>45990</x:v>
      </x:c>
      <x:c r="D403" s="95" t="n">
        <x:v>45990</x:v>
      </x:c>
      <x:c r="E403" s="86" t="str">
        <x:v>Atestado médico</x:v>
      </x:c>
      <x:c r="F403" s="86" t="n">
        <x:v>8</x:v>
      </x:c>
      <x:c r="G403" s="86" t="n">
        <x:v>1</x:v>
      </x:c>
      <x:c r="H403" s="91" t="n">
        <x:v>134.85</x:v>
      </x:c>
      <x:c r="I403" s="87" t="n">
        <x:v>3</x:v>
      </x:c>
    </x:row>
    <x:row r="404">
      <x:c r="A404" s="85" t="n">
        <x:v>403</x:v>
      </x:c>
      <x:c r="B404" s="86" t="n">
        <x:v>279</x:v>
      </x:c>
      <x:c r="C404" s="95" t="n">
        <x:v>45998</x:v>
      </x:c>
      <x:c r="D404" s="95" t="n">
        <x:v>45999</x:v>
      </x:c>
      <x:c r="E404" s="86" t="str">
        <x:v>Falta não justificada</x:v>
      </x:c>
      <x:c r="F404" s="86" t="n">
        <x:v>16</x:v>
      </x:c>
      <x:c r="G404" s="86" t="n">
        <x:v>0</x:v>
      </x:c>
      <x:c r="H404" s="91" t="n">
        <x:v>601.11</x:v>
      </x:c>
      <x:c r="I404" s="87" t="n">
        <x:v>6</x:v>
      </x:c>
    </x:row>
    <x:row r="405">
      <x:c r="A405" s="85" t="n">
        <x:v>404</x:v>
      </x:c>
      <x:c r="B405" s="86" t="n">
        <x:v>351</x:v>
      </x:c>
      <x:c r="C405" s="95" t="n">
        <x:v>45903</x:v>
      </x:c>
      <x:c r="D405" s="95" t="n">
        <x:v>45904</x:v>
      </x:c>
      <x:c r="E405" s="86" t="str">
        <x:v>Atestado médico</x:v>
      </x:c>
      <x:c r="F405" s="86" t="n">
        <x:v>16</x:v>
      </x:c>
      <x:c r="G405" s="86" t="n">
        <x:v>1</x:v>
      </x:c>
      <x:c r="H405" s="91" t="n">
        <x:v>261.52</x:v>
      </x:c>
      <x:c r="I405" s="87" t="n">
        <x:v>10</x:v>
      </x:c>
    </x:row>
    <x:row r="406">
      <x:c r="A406" s="85" t="n">
        <x:v>405</x:v>
      </x:c>
      <x:c r="B406" s="86" t="n">
        <x:v>9</x:v>
      </x:c>
      <x:c r="C406" s="95" t="n">
        <x:v>45718</x:v>
      </x:c>
      <x:c r="D406" s="95" t="n">
        <x:v>45718</x:v>
      </x:c>
      <x:c r="E406" s="86" t="str">
        <x:v>Atestado médico</x:v>
      </x:c>
      <x:c r="F406" s="86" t="n">
        <x:v>4</x:v>
      </x:c>
      <x:c r="G406" s="86" t="n">
        <x:v>1</x:v>
      </x:c>
      <x:c r="H406" s="91" t="n">
        <x:v>118.45</x:v>
      </x:c>
      <x:c r="I406" s="87" t="n">
        <x:v>5</x:v>
      </x:c>
    </x:row>
    <x:row r="407">
      <x:c r="A407" s="85" t="n">
        <x:v>406</x:v>
      </x:c>
      <x:c r="B407" s="86" t="n">
        <x:v>154</x:v>
      </x:c>
      <x:c r="C407" s="95" t="n">
        <x:v>45983</x:v>
      </x:c>
      <x:c r="D407" s="95" t="n">
        <x:v>45983</x:v>
      </x:c>
      <x:c r="E407" s="86" t="str">
        <x:v>Atestado médico</x:v>
      </x:c>
      <x:c r="F407" s="86" t="n">
        <x:v>8</x:v>
      </x:c>
      <x:c r="G407" s="86" t="n">
        <x:v>1</x:v>
      </x:c>
      <x:c r="H407" s="91" t="n">
        <x:v>198.33</x:v>
      </x:c>
      <x:c r="I407" s="87" t="n">
        <x:v>7</x:v>
      </x:c>
    </x:row>
    <x:row r="408">
      <x:c r="A408" s="85" t="n">
        <x:v>407</x:v>
      </x:c>
      <x:c r="B408" s="86" t="n">
        <x:v>223</x:v>
      </x:c>
      <x:c r="C408" s="95" t="n">
        <x:v>46000</x:v>
      </x:c>
      <x:c r="D408" s="95" t="n">
        <x:v>46001</x:v>
      </x:c>
      <x:c r="E408" s="86" t="str">
        <x:v>Consulta médica</x:v>
      </x:c>
      <x:c r="F408" s="86" t="n">
        <x:v>16</x:v>
      </x:c>
      <x:c r="G408" s="86" t="n">
        <x:v>1</x:v>
      </x:c>
      <x:c r="H408" s="91" t="n">
        <x:v>241.89</x:v>
      </x:c>
      <x:c r="I408" s="87" t="n">
        <x:v>2</x:v>
      </x:c>
    </x:row>
    <x:row r="409">
      <x:c r="A409" s="85" t="n">
        <x:v>408</x:v>
      </x:c>
      <x:c r="B409" s="86" t="n">
        <x:v>282</x:v>
      </x:c>
      <x:c r="C409" s="95" t="n">
        <x:v>45718</x:v>
      </x:c>
      <x:c r="D409" s="95" t="n">
        <x:v>45718</x:v>
      </x:c>
      <x:c r="E409" s="86" t="str">
        <x:v>Atraso</x:v>
      </x:c>
      <x:c r="F409" s="86" t="n">
        <x:v>3</x:v>
      </x:c>
      <x:c r="G409" s="86" t="n">
        <x:v>1</x:v>
      </x:c>
      <x:c r="H409" s="91" t="n">
        <x:v>41.3</x:v>
      </x:c>
      <x:c r="I409" s="87" t="n">
        <x:v>1</x:v>
      </x:c>
    </x:row>
    <x:row r="410">
      <x:c r="A410" s="85" t="n">
        <x:v>409</x:v>
      </x:c>
      <x:c r="B410" s="86" t="n">
        <x:v>150</x:v>
      </x:c>
      <x:c r="C410" s="95" t="n">
        <x:v>45916</x:v>
      </x:c>
      <x:c r="D410" s="95" t="n">
        <x:v>45916</x:v>
      </x:c>
      <x:c r="E410" s="86" t="str">
        <x:v>Consulta médica</x:v>
      </x:c>
      <x:c r="F410" s="86" t="n">
        <x:v>2</x:v>
      </x:c>
      <x:c r="G410" s="86" t="n">
        <x:v>1</x:v>
      </x:c>
      <x:c r="H410" s="91" t="n">
        <x:v>31.57</x:v>
      </x:c>
      <x:c r="I410" s="87" t="n">
        <x:v>1</x:v>
      </x:c>
    </x:row>
    <x:row r="411">
      <x:c r="A411" s="85" t="n">
        <x:v>410</x:v>
      </x:c>
      <x:c r="B411" s="86" t="n">
        <x:v>363</x:v>
      </x:c>
      <x:c r="C411" s="95" t="n">
        <x:v>45538</x:v>
      </x:c>
      <x:c r="D411" s="95" t="n">
        <x:v>45542</x:v>
      </x:c>
      <x:c r="E411" s="86" t="str">
        <x:v>Atestado médico</x:v>
      </x:c>
      <x:c r="F411" s="86" t="n">
        <x:v>40</x:v>
      </x:c>
      <x:c r="G411" s="86" t="n">
        <x:v>1</x:v>
      </x:c>
      <x:c r="H411" s="91" t="n">
        <x:v>514.68</x:v>
      </x:c>
      <x:c r="I411" s="87" t="n">
        <x:v>1</x:v>
      </x:c>
    </x:row>
    <x:row r="412">
      <x:c r="A412" s="85" t="n">
        <x:v>411</x:v>
      </x:c>
      <x:c r="B412" s="86" t="n">
        <x:v>120</x:v>
      </x:c>
      <x:c r="C412" s="95" t="n">
        <x:v>45742</x:v>
      </x:c>
      <x:c r="D412" s="95" t="n">
        <x:v>45742</x:v>
      </x:c>
      <x:c r="E412" s="86" t="str">
        <x:v>Atestado médico</x:v>
      </x:c>
      <x:c r="F412" s="86" t="n">
        <x:v>4</x:v>
      </x:c>
      <x:c r="G412" s="86" t="n">
        <x:v>1</x:v>
      </x:c>
      <x:c r="H412" s="91" t="n">
        <x:v>175.1</x:v>
      </x:c>
      <x:c r="I412" s="87" t="n">
        <x:v>5</x:v>
      </x:c>
    </x:row>
    <x:row r="413">
      <x:c r="A413" s="85" t="n">
        <x:v>412</x:v>
      </x:c>
      <x:c r="B413" s="86" t="n">
        <x:v>320</x:v>
      </x:c>
      <x:c r="C413" s="95" t="n">
        <x:v>45445</x:v>
      </x:c>
      <x:c r="D413" s="95" t="n">
        <x:v>45445</x:v>
      </x:c>
      <x:c r="E413" s="86" t="str">
        <x:v>Atestado médico</x:v>
      </x:c>
      <x:c r="F413" s="86" t="n">
        <x:v>1</x:v>
      </x:c>
      <x:c r="G413" s="86" t="n">
        <x:v>1</x:v>
      </x:c>
      <x:c r="H413" s="91" t="n">
        <x:v>14.74</x:v>
      </x:c>
      <x:c r="I413" s="87" t="n">
        <x:v>1</x:v>
      </x:c>
    </x:row>
    <x:row r="414">
      <x:c r="A414" s="85" t="n">
        <x:v>413</x:v>
      </x:c>
      <x:c r="B414" s="86" t="n">
        <x:v>212</x:v>
      </x:c>
      <x:c r="C414" s="95" t="n">
        <x:v>45850</x:v>
      </x:c>
      <x:c r="D414" s="95" t="n">
        <x:v>45850</x:v>
      </x:c>
      <x:c r="E414" s="86" t="str">
        <x:v>Licença</x:v>
      </x:c>
      <x:c r="F414" s="86" t="n">
        <x:v>4</x:v>
      </x:c>
      <x:c r="G414" s="86" t="n">
        <x:v>1</x:v>
      </x:c>
      <x:c r="H414" s="91" t="n">
        <x:v>72.94</x:v>
      </x:c>
      <x:c r="I414" s="87" t="n">
        <x:v>3</x:v>
      </x:c>
    </x:row>
    <x:row r="415">
      <x:c r="A415" s="85" t="n">
        <x:v>414</x:v>
      </x:c>
      <x:c r="B415" s="86" t="n">
        <x:v>347</x:v>
      </x:c>
      <x:c r="C415" s="95" t="n">
        <x:v>45965</x:v>
      </x:c>
      <x:c r="D415" s="95" t="n">
        <x:v>45965</x:v>
      </x:c>
      <x:c r="E415" s="86" t="str">
        <x:v>Atestado médico</x:v>
      </x:c>
      <x:c r="F415" s="86" t="n">
        <x:v>4</x:v>
      </x:c>
      <x:c r="G415" s="86" t="n">
        <x:v>1</x:v>
      </x:c>
      <x:c r="H415" s="91" t="n">
        <x:v>83.93</x:v>
      </x:c>
      <x:c r="I415" s="87" t="n">
        <x:v>7</x:v>
      </x:c>
    </x:row>
    <x:row r="416">
      <x:c r="A416" s="85" t="n">
        <x:v>415</x:v>
      </x:c>
      <x:c r="B416" s="86" t="n">
        <x:v>57</x:v>
      </x:c>
      <x:c r="C416" s="95" t="n">
        <x:v>45840</x:v>
      </x:c>
      <x:c r="D416" s="95" t="n">
        <x:v>45841</x:v>
      </x:c>
      <x:c r="E416" s="86" t="str">
        <x:v>Atestado médico</x:v>
      </x:c>
      <x:c r="F416" s="86" t="n">
        <x:v>16</x:v>
      </x:c>
      <x:c r="G416" s="86" t="n">
        <x:v>1</x:v>
      </x:c>
      <x:c r="H416" s="91" t="n">
        <x:v>476.62</x:v>
      </x:c>
      <x:c r="I416" s="87" t="n">
        <x:v>5</x:v>
      </x:c>
    </x:row>
    <x:row r="417">
      <x:c r="A417" s="85" t="n">
        <x:v>416</x:v>
      </x:c>
      <x:c r="B417" s="86" t="n">
        <x:v>386</x:v>
      </x:c>
      <x:c r="C417" s="95" t="n">
        <x:v>45632</x:v>
      </x:c>
      <x:c r="D417" s="95" t="n">
        <x:v>45632</x:v>
      </x:c>
      <x:c r="E417" s="86" t="str">
        <x:v>Falta não justificada</x:v>
      </x:c>
      <x:c r="F417" s="86" t="n">
        <x:v>4</x:v>
      </x:c>
      <x:c r="G417" s="86" t="n">
        <x:v>0</x:v>
      </x:c>
      <x:c r="H417" s="91" t="n">
        <x:v>43.39</x:v>
      </x:c>
      <x:c r="I417" s="87" t="n">
        <x:v>1</x:v>
      </x:c>
    </x:row>
    <x:row r="418">
      <x:c r="A418" s="85" t="n">
        <x:v>417</x:v>
      </x:c>
      <x:c r="B418" s="86" t="n">
        <x:v>209</x:v>
      </x:c>
      <x:c r="C418" s="95" t="n">
        <x:v>45553</x:v>
      </x:c>
      <x:c r="D418" s="95" t="n">
        <x:v>45553</x:v>
      </x:c>
      <x:c r="E418" s="86" t="str">
        <x:v>Atestado médico</x:v>
      </x:c>
      <x:c r="F418" s="86" t="n">
        <x:v>1</x:v>
      </x:c>
      <x:c r="G418" s="86" t="n">
        <x:v>1</x:v>
      </x:c>
      <x:c r="H418" s="91" t="n">
        <x:v>31.77</x:v>
      </x:c>
      <x:c r="I418" s="87" t="n">
        <x:v>7</x:v>
      </x:c>
    </x:row>
    <x:row r="419">
      <x:c r="A419" s="85" t="n">
        <x:v>418</x:v>
      </x:c>
      <x:c r="B419" s="86" t="n">
        <x:v>105</x:v>
      </x:c>
      <x:c r="C419" s="95" t="n">
        <x:v>45365</x:v>
      </x:c>
      <x:c r="D419" s="95" t="n">
        <x:v>45366</x:v>
      </x:c>
      <x:c r="E419" s="86" t="str">
        <x:v>Atestado médico</x:v>
      </x:c>
      <x:c r="F419" s="86" t="n">
        <x:v>16</x:v>
      </x:c>
      <x:c r="G419" s="86" t="n">
        <x:v>1</x:v>
      </x:c>
      <x:c r="H419" s="91" t="n">
        <x:v>296.24</x:v>
      </x:c>
      <x:c r="I419" s="87" t="n">
        <x:v>2</x:v>
      </x:c>
    </x:row>
    <x:row r="420">
      <x:c r="A420" s="85" t="n">
        <x:v>419</x:v>
      </x:c>
      <x:c r="B420" s="86" t="n">
        <x:v>215</x:v>
      </x:c>
      <x:c r="C420" s="95" t="n">
        <x:v>45848</x:v>
      </x:c>
      <x:c r="D420" s="95" t="n">
        <x:v>45849</x:v>
      </x:c>
      <x:c r="E420" s="86" t="str">
        <x:v>Atestado médico</x:v>
      </x:c>
      <x:c r="F420" s="86" t="n">
        <x:v>16</x:v>
      </x:c>
      <x:c r="G420" s="86" t="n">
        <x:v>1</x:v>
      </x:c>
      <x:c r="H420" s="91" t="n">
        <x:v>424.92</x:v>
      </x:c>
      <x:c r="I420" s="87" t="n">
        <x:v>6</x:v>
      </x:c>
    </x:row>
    <x:row r="421">
      <x:c r="A421" s="85" t="n">
        <x:v>420</x:v>
      </x:c>
      <x:c r="B421" s="86" t="n">
        <x:v>127</x:v>
      </x:c>
      <x:c r="C421" s="95" t="n">
        <x:v>46007</x:v>
      </x:c>
      <x:c r="D421" s="95" t="n">
        <x:v>46007</x:v>
      </x:c>
      <x:c r="E421" s="86" t="str">
        <x:v>Falta não justificada</x:v>
      </x:c>
      <x:c r="F421" s="86" t="n">
        <x:v>4</x:v>
      </x:c>
      <x:c r="G421" s="86" t="n">
        <x:v>0</x:v>
      </x:c>
      <x:c r="H421" s="91" t="n">
        <x:v>187.75</x:v>
      </x:c>
      <x:c r="I421" s="87" t="n">
        <x:v>5</x:v>
      </x:c>
    </x:row>
    <x:row r="422">
      <x:c r="A422" s="85" t="n">
        <x:v>421</x:v>
      </x:c>
      <x:c r="B422" s="86" t="n">
        <x:v>279</x:v>
      </x:c>
      <x:c r="C422" s="95" t="n">
        <x:v>45640</x:v>
      </x:c>
      <x:c r="D422" s="95" t="n">
        <x:v>45640</x:v>
      </x:c>
      <x:c r="E422" s="86" t="str">
        <x:v>Consulta médica</x:v>
      </x:c>
      <x:c r="F422" s="86" t="n">
        <x:v>2</x:v>
      </x:c>
      <x:c r="G422" s="86" t="n">
        <x:v>1</x:v>
      </x:c>
      <x:c r="H422" s="91" t="n">
        <x:v>75.14</x:v>
      </x:c>
      <x:c r="I422" s="87" t="n">
        <x:v>6</x:v>
      </x:c>
    </x:row>
    <x:row r="423">
      <x:c r="A423" s="85" t="n">
        <x:v>422</x:v>
      </x:c>
      <x:c r="B423" s="86" t="n">
        <x:v>203</x:v>
      </x:c>
      <x:c r="C423" s="95" t="n">
        <x:v>45488</x:v>
      </x:c>
      <x:c r="D423" s="95" t="n">
        <x:v>45492</x:v>
      </x:c>
      <x:c r="E423" s="86" t="str">
        <x:v>Atestado médico</x:v>
      </x:c>
      <x:c r="F423" s="86" t="n">
        <x:v>40</x:v>
      </x:c>
      <x:c r="G423" s="86" t="n">
        <x:v>1</x:v>
      </x:c>
      <x:c r="H423" s="91" t="n">
        <x:v>874.37</x:v>
      </x:c>
      <x:c r="I423" s="87" t="n">
        <x:v>8</x:v>
      </x:c>
    </x:row>
    <x:row r="424">
      <x:c r="A424" s="85" t="n">
        <x:v>423</x:v>
      </x:c>
      <x:c r="B424" s="86" t="n">
        <x:v>12</x:v>
      </x:c>
      <x:c r="C424" s="95" t="n">
        <x:v>45736</x:v>
      </x:c>
      <x:c r="D424" s="95" t="n">
        <x:v>45736</x:v>
      </x:c>
      <x:c r="E424" s="86" t="str">
        <x:v>Consulta médica</x:v>
      </x:c>
      <x:c r="F424" s="86" t="n">
        <x:v>2</x:v>
      </x:c>
      <x:c r="G424" s="86" t="n">
        <x:v>1</x:v>
      </x:c>
      <x:c r="H424" s="91" t="n">
        <x:v>22.38</x:v>
      </x:c>
      <x:c r="I424" s="87" t="n">
        <x:v>1</x:v>
      </x:c>
    </x:row>
    <x:row r="425">
      <x:c r="A425" s="85" t="n">
        <x:v>424</x:v>
      </x:c>
      <x:c r="B425" s="86" t="n">
        <x:v>386</x:v>
      </x:c>
      <x:c r="C425" s="95" t="n">
        <x:v>45320</x:v>
      </x:c>
      <x:c r="D425" s="95" t="n">
        <x:v>45320</x:v>
      </x:c>
      <x:c r="E425" s="86" t="str">
        <x:v>Consulta médica</x:v>
      </x:c>
      <x:c r="F425" s="86" t="n">
        <x:v>2</x:v>
      </x:c>
      <x:c r="G425" s="86" t="n">
        <x:v>1</x:v>
      </x:c>
      <x:c r="H425" s="91" t="n">
        <x:v>21.69</x:v>
      </x:c>
      <x:c r="I425" s="87" t="n">
        <x:v>1</x:v>
      </x:c>
    </x:row>
    <x:row r="426">
      <x:c r="A426" s="85" t="n">
        <x:v>425</x:v>
      </x:c>
      <x:c r="B426" s="86" t="n">
        <x:v>366</x:v>
      </x:c>
      <x:c r="C426" s="95" t="n">
        <x:v>45934</x:v>
      </x:c>
      <x:c r="D426" s="95" t="n">
        <x:v>45938</x:v>
      </x:c>
      <x:c r="E426" s="86" t="str">
        <x:v>Atestado médico</x:v>
      </x:c>
      <x:c r="F426" s="86" t="n">
        <x:v>40</x:v>
      </x:c>
      <x:c r="G426" s="86" t="n">
        <x:v>1</x:v>
      </x:c>
      <x:c r="H426" s="91" t="n">
        <x:v>429.48</x:v>
      </x:c>
      <x:c r="I426" s="87" t="n">
        <x:v>1</x:v>
      </x:c>
    </x:row>
    <x:row r="427">
      <x:c r="A427" s="85" t="n">
        <x:v>426</x:v>
      </x:c>
      <x:c r="B427" s="86" t="n">
        <x:v>143</x:v>
      </x:c>
      <x:c r="C427" s="95" t="n">
        <x:v>45812</x:v>
      </x:c>
      <x:c r="D427" s="95" t="n">
        <x:v>45812</x:v>
      </x:c>
      <x:c r="E427" s="86" t="str">
        <x:v>Atraso</x:v>
      </x:c>
      <x:c r="F427" s="86" t="n">
        <x:v>3</x:v>
      </x:c>
      <x:c r="G427" s="86" t="n">
        <x:v>1</x:v>
      </x:c>
      <x:c r="H427" s="91" t="n">
        <x:v>91.4</x:v>
      </x:c>
      <x:c r="I427" s="87" t="n">
        <x:v>4</x:v>
      </x:c>
    </x:row>
    <x:row r="428">
      <x:c r="A428" s="85" t="n">
        <x:v>427</x:v>
      </x:c>
      <x:c r="B428" s="86" t="n">
        <x:v>418</x:v>
      </x:c>
      <x:c r="C428" s="95" t="n">
        <x:v>45937</x:v>
      </x:c>
      <x:c r="D428" s="95" t="n">
        <x:v>45937</x:v>
      </x:c>
      <x:c r="E428" s="86" t="str">
        <x:v>Falta não justificada</x:v>
      </x:c>
      <x:c r="F428" s="86" t="n">
        <x:v>1</x:v>
      </x:c>
      <x:c r="G428" s="86" t="n">
        <x:v>0</x:v>
      </x:c>
      <x:c r="H428" s="91" t="n">
        <x:v>28.19</x:v>
      </x:c>
      <x:c r="I428" s="87" t="n">
        <x:v>10</x:v>
      </x:c>
    </x:row>
    <x:row r="429">
      <x:c r="A429" s="85" t="n">
        <x:v>428</x:v>
      </x:c>
      <x:c r="B429" s="86" t="n">
        <x:v>414</x:v>
      </x:c>
      <x:c r="C429" s="95" t="n">
        <x:v>45818</x:v>
      </x:c>
      <x:c r="D429" s="95" t="n">
        <x:v>45818</x:v>
      </x:c>
      <x:c r="E429" s="86" t="str">
        <x:v>Atraso</x:v>
      </x:c>
      <x:c r="F429" s="86" t="n">
        <x:v>3</x:v>
      </x:c>
      <x:c r="G429" s="86" t="n">
        <x:v>1</x:v>
      </x:c>
      <x:c r="H429" s="91" t="n">
        <x:v>71.32</x:v>
      </x:c>
      <x:c r="I429" s="87" t="n">
        <x:v>10</x:v>
      </x:c>
    </x:row>
    <x:row r="430">
      <x:c r="A430" s="85" t="n">
        <x:v>429</x:v>
      </x:c>
      <x:c r="B430" s="86" t="n">
        <x:v>31</x:v>
      </x:c>
      <x:c r="C430" s="95" t="n">
        <x:v>45695</x:v>
      </x:c>
      <x:c r="D430" s="95" t="n">
        <x:v>45696</x:v>
      </x:c>
      <x:c r="E430" s="86" t="str">
        <x:v>Atestado médico</x:v>
      </x:c>
      <x:c r="F430" s="86" t="n">
        <x:v>16</x:v>
      </x:c>
      <x:c r="G430" s="86" t="n">
        <x:v>1</x:v>
      </x:c>
      <x:c r="H430" s="91" t="n">
        <x:v>319.43</x:v>
      </x:c>
      <x:c r="I430" s="87" t="n">
        <x:v>2</x:v>
      </x:c>
    </x:row>
    <x:row r="431">
      <x:c r="A431" s="85" t="n">
        <x:v>430</x:v>
      </x:c>
      <x:c r="B431" s="86" t="n">
        <x:v>303</x:v>
      </x:c>
      <x:c r="C431" s="95" t="n">
        <x:v>45909</x:v>
      </x:c>
      <x:c r="D431" s="95" t="n">
        <x:v>45909</x:v>
      </x:c>
      <x:c r="E431" s="86" t="str">
        <x:v>Falta não justificada</x:v>
      </x:c>
      <x:c r="F431" s="86" t="n">
        <x:v>4</x:v>
      </x:c>
      <x:c r="G431" s="86" t="n">
        <x:v>0</x:v>
      </x:c>
      <x:c r="H431" s="91" t="n">
        <x:v>60.1</x:v>
      </x:c>
      <x:c r="I431" s="87" t="n">
        <x:v>1</x:v>
      </x:c>
    </x:row>
    <x:row r="432">
      <x:c r="A432" s="85" t="n">
        <x:v>431</x:v>
      </x:c>
      <x:c r="B432" s="86" t="n">
        <x:v>178</x:v>
      </x:c>
      <x:c r="C432" s="95" t="n">
        <x:v>45588</x:v>
      </x:c>
      <x:c r="D432" s="95" t="n">
        <x:v>45588</x:v>
      </x:c>
      <x:c r="E432" s="86" t="str">
        <x:v>Consulta médica</x:v>
      </x:c>
      <x:c r="F432" s="86" t="n">
        <x:v>1</x:v>
      </x:c>
      <x:c r="G432" s="86" t="n">
        <x:v>1</x:v>
      </x:c>
      <x:c r="H432" s="91" t="n">
        <x:v>21.58</x:v>
      </x:c>
      <x:c r="I432" s="87" t="n">
        <x:v>2</x:v>
      </x:c>
    </x:row>
    <x:row r="433">
      <x:c r="A433" s="85" t="n">
        <x:v>432</x:v>
      </x:c>
      <x:c r="B433" s="86" t="n">
        <x:v>205</x:v>
      </x:c>
      <x:c r="C433" s="95" t="n">
        <x:v>45966</x:v>
      </x:c>
      <x:c r="D433" s="95" t="n">
        <x:v>45966</x:v>
      </x:c>
      <x:c r="E433" s="86" t="str">
        <x:v>Consulta médica</x:v>
      </x:c>
      <x:c r="F433" s="86" t="n">
        <x:v>1</x:v>
      </x:c>
      <x:c r="G433" s="86" t="n">
        <x:v>1</x:v>
      </x:c>
      <x:c r="H433" s="91" t="n">
        <x:v>19.47</x:v>
      </x:c>
      <x:c r="I433" s="87" t="n">
        <x:v>4</x:v>
      </x:c>
    </x:row>
    <x:row r="434">
      <x:c r="A434" s="85" t="n">
        <x:v>433</x:v>
      </x:c>
      <x:c r="B434" s="86" t="n">
        <x:v>220</x:v>
      </x:c>
      <x:c r="C434" s="95" t="n">
        <x:v>45786</x:v>
      </x:c>
      <x:c r="D434" s="95" t="n">
        <x:v>45787</x:v>
      </x:c>
      <x:c r="E434" s="86" t="str">
        <x:v>Falta não justificada</x:v>
      </x:c>
      <x:c r="F434" s="86" t="n">
        <x:v>16</x:v>
      </x:c>
      <x:c r="G434" s="86" t="n">
        <x:v>0</x:v>
      </x:c>
      <x:c r="H434" s="91" t="n">
        <x:v>337.19</x:v>
      </x:c>
      <x:c r="I434" s="87" t="n">
        <x:v>7</x:v>
      </x:c>
    </x:row>
    <x:row r="435">
      <x:c r="A435" s="85" t="n">
        <x:v>434</x:v>
      </x:c>
      <x:c r="B435" s="86" t="n">
        <x:v>5</x:v>
      </x:c>
      <x:c r="C435" s="95" t="n">
        <x:v>45884</x:v>
      </x:c>
      <x:c r="D435" s="95" t="n">
        <x:v>45884</x:v>
      </x:c>
      <x:c r="E435" s="86" t="str">
        <x:v>Atestado médico</x:v>
      </x:c>
      <x:c r="F435" s="86" t="n">
        <x:v>8</x:v>
      </x:c>
      <x:c r="G435" s="86" t="n">
        <x:v>1</x:v>
      </x:c>
      <x:c r="H435" s="91" t="n">
        <x:v>490.14</x:v>
      </x:c>
      <x:c r="I435" s="87" t="n">
        <x:v>7</x:v>
      </x:c>
    </x:row>
    <x:row r="436">
      <x:c r="A436" s="85" t="n">
        <x:v>435</x:v>
      </x:c>
      <x:c r="B436" s="86" t="n">
        <x:v>74</x:v>
      </x:c>
      <x:c r="C436" s="95" t="n">
        <x:v>45878</x:v>
      </x:c>
      <x:c r="D436" s="95" t="n">
        <x:v>45878</x:v>
      </x:c>
      <x:c r="E436" s="86" t="str">
        <x:v>Licença</x:v>
      </x:c>
      <x:c r="F436" s="86" t="n">
        <x:v>2</x:v>
      </x:c>
      <x:c r="G436" s="86" t="n">
        <x:v>1</x:v>
      </x:c>
      <x:c r="H436" s="91" t="n">
        <x:v>21.72</x:v>
      </x:c>
      <x:c r="I436" s="87" t="n">
        <x:v>1</x:v>
      </x:c>
    </x:row>
    <x:row r="437">
      <x:c r="A437" s="85" t="n">
        <x:v>436</x:v>
      </x:c>
      <x:c r="B437" s="86" t="n">
        <x:v>161</x:v>
      </x:c>
      <x:c r="C437" s="95" t="n">
        <x:v>45632</x:v>
      </x:c>
      <x:c r="D437" s="95" t="n">
        <x:v>45634</x:v>
      </x:c>
      <x:c r="E437" s="86" t="str">
        <x:v>Licença</x:v>
      </x:c>
      <x:c r="F437" s="86" t="n">
        <x:v>24</x:v>
      </x:c>
      <x:c r="G437" s="86" t="n">
        <x:v>1</x:v>
      </x:c>
      <x:c r="H437" s="91" t="n">
        <x:v>349.57</x:v>
      </x:c>
      <x:c r="I437" s="87" t="n">
        <x:v>1</x:v>
      </x:c>
    </x:row>
    <x:row r="438">
      <x:c r="A438" s="85" t="n">
        <x:v>437</x:v>
      </x:c>
      <x:c r="B438" s="86" t="n">
        <x:v>384</x:v>
      </x:c>
      <x:c r="C438" s="95" t="n">
        <x:v>46003</x:v>
      </x:c>
      <x:c r="D438" s="95" t="n">
        <x:v>46007</x:v>
      </x:c>
      <x:c r="E438" s="86" t="str">
        <x:v>Consulta médica</x:v>
      </x:c>
      <x:c r="F438" s="86" t="n">
        <x:v>40</x:v>
      </x:c>
      <x:c r="G438" s="86" t="n">
        <x:v>1</x:v>
      </x:c>
      <x:c r="H438" s="91" t="n">
        <x:v>1620.73</x:v>
      </x:c>
      <x:c r="I438" s="87" t="n">
        <x:v>5</x:v>
      </x:c>
    </x:row>
    <x:row r="439">
      <x:c r="A439" s="85" t="n">
        <x:v>438</x:v>
      </x:c>
      <x:c r="B439" s="86" t="n">
        <x:v>331</x:v>
      </x:c>
      <x:c r="C439" s="95" t="n">
        <x:v>45840</x:v>
      </x:c>
      <x:c r="D439" s="95" t="n">
        <x:v>45841</x:v>
      </x:c>
      <x:c r="E439" s="86" t="str">
        <x:v>Atestado médico</x:v>
      </x:c>
      <x:c r="F439" s="86" t="n">
        <x:v>16</x:v>
      </x:c>
      <x:c r="G439" s="86" t="n">
        <x:v>1</x:v>
      </x:c>
      <x:c r="H439" s="91" t="n">
        <x:v>285.6</x:v>
      </x:c>
      <x:c r="I439" s="87" t="n">
        <x:v>3</x:v>
      </x:c>
    </x:row>
    <x:row r="440">
      <x:c r="A440" s="85" t="n">
        <x:v>439</x:v>
      </x:c>
      <x:c r="B440" s="86" t="n">
        <x:v>313</x:v>
      </x:c>
      <x:c r="C440" s="95" t="n">
        <x:v>45668</x:v>
      </x:c>
      <x:c r="D440" s="95" t="n">
        <x:v>45668</x:v>
      </x:c>
      <x:c r="E440" s="86" t="str">
        <x:v>Atraso</x:v>
      </x:c>
      <x:c r="F440" s="86" t="n">
        <x:v>1</x:v>
      </x:c>
      <x:c r="G440" s="86" t="n">
        <x:v>1</x:v>
      </x:c>
      <x:c r="H440" s="91" t="n">
        <x:v>11.61</x:v>
      </x:c>
      <x:c r="I440" s="87" t="n">
        <x:v>1</x:v>
      </x:c>
    </x:row>
    <x:row r="441">
      <x:c r="A441" s="85" t="n">
        <x:v>440</x:v>
      </x:c>
      <x:c r="B441" s="86" t="n">
        <x:v>353</x:v>
      </x:c>
      <x:c r="C441" s="95" t="n">
        <x:v>45747</x:v>
      </x:c>
      <x:c r="D441" s="95" t="n">
        <x:v>45751</x:v>
      </x:c>
      <x:c r="E441" s="86" t="str">
        <x:v>Atestado médico</x:v>
      </x:c>
      <x:c r="F441" s="86" t="n">
        <x:v>40</x:v>
      </x:c>
      <x:c r="G441" s="86" t="n">
        <x:v>1</x:v>
      </x:c>
      <x:c r="H441" s="91" t="n">
        <x:v>435.57</x:v>
      </x:c>
      <x:c r="I441" s="87" t="n">
        <x:v>1</x:v>
      </x:c>
    </x:row>
    <x:row r="442">
      <x:c r="A442" s="85" t="n">
        <x:v>441</x:v>
      </x:c>
      <x:c r="B442" s="86" t="n">
        <x:v>334</x:v>
      </x:c>
      <x:c r="C442" s="95" t="n">
        <x:v>45595</x:v>
      </x:c>
      <x:c r="D442" s="95" t="n">
        <x:v>45595</x:v>
      </x:c>
      <x:c r="E442" s="86" t="str">
        <x:v>Atestado médico</x:v>
      </x:c>
      <x:c r="F442" s="86" t="n">
        <x:v>1</x:v>
      </x:c>
      <x:c r="G442" s="86" t="n">
        <x:v>1</x:v>
      </x:c>
      <x:c r="H442" s="91" t="n">
        <x:v>33.4</x:v>
      </x:c>
      <x:c r="I442" s="87" t="n">
        <x:v>5</x:v>
      </x:c>
    </x:row>
    <x:row r="443">
      <x:c r="A443" s="85" t="n">
        <x:v>442</x:v>
      </x:c>
      <x:c r="B443" s="86" t="n">
        <x:v>89</x:v>
      </x:c>
      <x:c r="C443" s="95" t="n">
        <x:v>45601</x:v>
      </x:c>
      <x:c r="D443" s="95" t="n">
        <x:v>45601</x:v>
      </x:c>
      <x:c r="E443" s="86" t="str">
        <x:v>Atestado médico</x:v>
      </x:c>
      <x:c r="F443" s="86" t="n">
        <x:v>1</x:v>
      </x:c>
      <x:c r="G443" s="86" t="n">
        <x:v>1</x:v>
      </x:c>
      <x:c r="H443" s="91" t="n">
        <x:v>14.31</x:v>
      </x:c>
      <x:c r="I443" s="87" t="n">
        <x:v>3</x:v>
      </x:c>
    </x:row>
    <x:row r="444">
      <x:c r="A444" s="85" t="n">
        <x:v>443</x:v>
      </x:c>
      <x:c r="B444" s="86" t="n">
        <x:v>381</x:v>
      </x:c>
      <x:c r="C444" s="95" t="n">
        <x:v>45962</x:v>
      </x:c>
      <x:c r="D444" s="95" t="n">
        <x:v>45962</x:v>
      </x:c>
      <x:c r="E444" s="86" t="str">
        <x:v>Licença</x:v>
      </x:c>
      <x:c r="F444" s="86" t="n">
        <x:v>4</x:v>
      </x:c>
      <x:c r="G444" s="86" t="n">
        <x:v>1</x:v>
      </x:c>
      <x:c r="H444" s="91" t="n">
        <x:v>171.12</x:v>
      </x:c>
      <x:c r="I444" s="87" t="n">
        <x:v>5</x:v>
      </x:c>
    </x:row>
    <x:row r="445">
      <x:c r="A445" s="85" t="n">
        <x:v>444</x:v>
      </x:c>
      <x:c r="B445" s="86" t="n">
        <x:v>273</x:v>
      </x:c>
      <x:c r="C445" s="95" t="n">
        <x:v>46020</x:v>
      </x:c>
      <x:c r="D445" s="95" t="n">
        <x:v>46021</x:v>
      </x:c>
      <x:c r="E445" s="86" t="str">
        <x:v>Atestado médico</x:v>
      </x:c>
      <x:c r="F445" s="86" t="n">
        <x:v>16</x:v>
      </x:c>
      <x:c r="G445" s="86" t="n">
        <x:v>1</x:v>
      </x:c>
      <x:c r="H445" s="91" t="n">
        <x:v>472.38</x:v>
      </x:c>
      <x:c r="I445" s="87" t="n">
        <x:v>4</x:v>
      </x:c>
    </x:row>
    <x:row r="446">
      <x:c r="A446" s="85" t="n">
        <x:v>445</x:v>
      </x:c>
      <x:c r="B446" s="86" t="n">
        <x:v>108</x:v>
      </x:c>
      <x:c r="C446" s="95" t="n">
        <x:v>45654</x:v>
      </x:c>
      <x:c r="D446" s="95" t="n">
        <x:v>45654</x:v>
      </x:c>
      <x:c r="E446" s="86" t="str">
        <x:v>Atestado médico</x:v>
      </x:c>
      <x:c r="F446" s="86" t="n">
        <x:v>4</x:v>
      </x:c>
      <x:c r="G446" s="86" t="n">
        <x:v>1</x:v>
      </x:c>
      <x:c r="H446" s="91" t="n">
        <x:v>47.49</x:v>
      </x:c>
      <x:c r="I446" s="87" t="n">
        <x:v>1</x:v>
      </x:c>
    </x:row>
    <x:row r="447">
      <x:c r="A447" s="85" t="n">
        <x:v>446</x:v>
      </x:c>
      <x:c r="B447" s="86" t="n">
        <x:v>128</x:v>
      </x:c>
      <x:c r="C447" s="95" t="n">
        <x:v>45792</x:v>
      </x:c>
      <x:c r="D447" s="95" t="n">
        <x:v>45792</x:v>
      </x:c>
      <x:c r="E447" s="86" t="str">
        <x:v>Atraso</x:v>
      </x:c>
      <x:c r="F447" s="86" t="n">
        <x:v>3</x:v>
      </x:c>
      <x:c r="G447" s="86" t="n">
        <x:v>1</x:v>
      </x:c>
      <x:c r="H447" s="91" t="n">
        <x:v>37.56</x:v>
      </x:c>
      <x:c r="I447" s="87" t="n">
        <x:v>1</x:v>
      </x:c>
    </x:row>
    <x:row r="448">
      <x:c r="A448" s="85" t="n">
        <x:v>447</x:v>
      </x:c>
      <x:c r="B448" s="86" t="n">
        <x:v>135</x:v>
      </x:c>
      <x:c r="C448" s="95" t="n">
        <x:v>46021</x:v>
      </x:c>
      <x:c r="D448" s="95" t="n">
        <x:v>46021</x:v>
      </x:c>
      <x:c r="E448" s="86" t="str">
        <x:v>Consulta médica</x:v>
      </x:c>
      <x:c r="F448" s="86" t="n">
        <x:v>1</x:v>
      </x:c>
      <x:c r="G448" s="86" t="n">
        <x:v>1</x:v>
      </x:c>
      <x:c r="H448" s="91" t="n">
        <x:v>14.87</x:v>
      </x:c>
      <x:c r="I448" s="87" t="n">
        <x:v>10</x:v>
      </x:c>
    </x:row>
    <x:row r="449">
      <x:c r="A449" s="85" t="n">
        <x:v>448</x:v>
      </x:c>
      <x:c r="B449" s="86" t="n">
        <x:v>230</x:v>
      </x:c>
      <x:c r="C449" s="95" t="n">
        <x:v>45908</x:v>
      </x:c>
      <x:c r="D449" s="95" t="n">
        <x:v>45908</x:v>
      </x:c>
      <x:c r="E449" s="86" t="str">
        <x:v>Atestado médico</x:v>
      </x:c>
      <x:c r="F449" s="86" t="n">
        <x:v>8</x:v>
      </x:c>
      <x:c r="G449" s="86" t="n">
        <x:v>1</x:v>
      </x:c>
      <x:c r="H449" s="91" t="n">
        <x:v>126.09</x:v>
      </x:c>
      <x:c r="I449" s="87" t="n">
        <x:v>1</x:v>
      </x:c>
    </x:row>
    <x:row r="450">
      <x:c r="A450" s="85" t="n">
        <x:v>449</x:v>
      </x:c>
      <x:c r="B450" s="86" t="n">
        <x:v>386</x:v>
      </x:c>
      <x:c r="C450" s="95" t="n">
        <x:v>45772</x:v>
      </x:c>
      <x:c r="D450" s="95" t="n">
        <x:v>45772</x:v>
      </x:c>
      <x:c r="E450" s="86" t="str">
        <x:v>Atestado médico</x:v>
      </x:c>
      <x:c r="F450" s="86" t="n">
        <x:v>8</x:v>
      </x:c>
      <x:c r="G450" s="86" t="n">
        <x:v>1</x:v>
      </x:c>
      <x:c r="H450" s="91" t="n">
        <x:v>86.78</x:v>
      </x:c>
      <x:c r="I450" s="87" t="n">
        <x:v>1</x:v>
      </x:c>
    </x:row>
    <x:row r="451">
      <x:c r="A451" s="85" t="n">
        <x:v>450</x:v>
      </x:c>
      <x:c r="B451" s="86" t="n">
        <x:v>411</x:v>
      </x:c>
      <x:c r="C451" s="95" t="n">
        <x:v>45368</x:v>
      </x:c>
      <x:c r="D451" s="95" t="n">
        <x:v>45368</x:v>
      </x:c>
      <x:c r="E451" s="86" t="str">
        <x:v>Atestado médico</x:v>
      </x:c>
      <x:c r="F451" s="86" t="n">
        <x:v>8</x:v>
      </x:c>
      <x:c r="G451" s="86" t="n">
        <x:v>1</x:v>
      </x:c>
      <x:c r="H451" s="91" t="n">
        <x:v>246.64</x:v>
      </x:c>
      <x:c r="I451" s="87" t="n">
        <x:v>4</x:v>
      </x:c>
    </x:row>
    <x:row r="452">
      <x:c r="A452" s="85" t="n">
        <x:v>451</x:v>
      </x:c>
      <x:c r="B452" s="86" t="n">
        <x:v>36</x:v>
      </x:c>
      <x:c r="C452" s="95" t="n">
        <x:v>45883</x:v>
      </x:c>
      <x:c r="D452" s="95" t="n">
        <x:v>45885</x:v>
      </x:c>
      <x:c r="E452" s="86" t="str">
        <x:v>Atestado médico</x:v>
      </x:c>
      <x:c r="F452" s="86" t="n">
        <x:v>24</x:v>
      </x:c>
      <x:c r="G452" s="86" t="n">
        <x:v>1</x:v>
      </x:c>
      <x:c r="H452" s="91" t="n">
        <x:v>414.59</x:v>
      </x:c>
      <x:c r="I452" s="87" t="n">
        <x:v>4</x:v>
      </x:c>
    </x:row>
    <x:row r="453">
      <x:c r="A453" s="85" t="n">
        <x:v>452</x:v>
      </x:c>
      <x:c r="B453" s="86" t="n">
        <x:v>120</x:v>
      </x:c>
      <x:c r="C453" s="95" t="n">
        <x:v>45759</x:v>
      </x:c>
      <x:c r="D453" s="95" t="n">
        <x:v>45759</x:v>
      </x:c>
      <x:c r="E453" s="86" t="str">
        <x:v>Atestado médico</x:v>
      </x:c>
      <x:c r="F453" s="86" t="n">
        <x:v>2</x:v>
      </x:c>
      <x:c r="G453" s="86" t="n">
        <x:v>1</x:v>
      </x:c>
      <x:c r="H453" s="91" t="n">
        <x:v>87.55</x:v>
      </x:c>
      <x:c r="I453" s="87" t="n">
        <x:v>5</x:v>
      </x:c>
    </x:row>
    <x:row r="454">
      <x:c r="A454" s="85" t="n">
        <x:v>453</x:v>
      </x:c>
      <x:c r="B454" s="86" t="n">
        <x:v>96</x:v>
      </x:c>
      <x:c r="C454" s="95" t="n">
        <x:v>45447</x:v>
      </x:c>
      <x:c r="D454" s="95" t="n">
        <x:v>45447</x:v>
      </x:c>
      <x:c r="E454" s="86" t="str">
        <x:v>Licença</x:v>
      </x:c>
      <x:c r="F454" s="86" t="n">
        <x:v>2</x:v>
      </x:c>
      <x:c r="G454" s="86" t="n">
        <x:v>1</x:v>
      </x:c>
      <x:c r="H454" s="91" t="n">
        <x:v>23.98</x:v>
      </x:c>
      <x:c r="I454" s="87" t="n">
        <x:v>1</x:v>
      </x:c>
    </x:row>
    <x:row r="455">
      <x:c r="A455" s="85" t="n">
        <x:v>454</x:v>
      </x:c>
      <x:c r="B455" s="86" t="n">
        <x:v>90</x:v>
      </x:c>
      <x:c r="C455" s="95" t="n">
        <x:v>45587</x:v>
      </x:c>
      <x:c r="D455" s="95" t="n">
        <x:v>45587</x:v>
      </x:c>
      <x:c r="E455" s="86" t="str">
        <x:v>Atestado médico</x:v>
      </x:c>
      <x:c r="F455" s="86" t="n">
        <x:v>8</x:v>
      </x:c>
      <x:c r="G455" s="86" t="n">
        <x:v>1</x:v>
      </x:c>
      <x:c r="H455" s="91" t="n">
        <x:v>193.65</x:v>
      </x:c>
      <x:c r="I455" s="87" t="n">
        <x:v>6</x:v>
      </x:c>
    </x:row>
    <x:row r="456">
      <x:c r="A456" s="85" t="n">
        <x:v>455</x:v>
      </x:c>
      <x:c r="B456" s="86" t="n">
        <x:v>415</x:v>
      </x:c>
      <x:c r="C456" s="95" t="n">
        <x:v>45935</x:v>
      </x:c>
      <x:c r="D456" s="95" t="n">
        <x:v>45937</x:v>
      </x:c>
      <x:c r="E456" s="86" t="str">
        <x:v>Falta não justificada</x:v>
      </x:c>
      <x:c r="F456" s="86" t="n">
        <x:v>24</x:v>
      </x:c>
      <x:c r="G456" s="86" t="n">
        <x:v>0</x:v>
      </x:c>
      <x:c r="H456" s="91" t="n">
        <x:v>314.97</x:v>
      </x:c>
      <x:c r="I456" s="87" t="n">
        <x:v>1</x:v>
      </x:c>
    </x:row>
    <x:row r="457">
      <x:c r="A457" s="85" t="n">
        <x:v>456</x:v>
      </x:c>
      <x:c r="B457" s="86" t="n">
        <x:v>214</x:v>
      </x:c>
      <x:c r="C457" s="95" t="n">
        <x:v>45881</x:v>
      </x:c>
      <x:c r="D457" s="95" t="n">
        <x:v>45885</x:v>
      </x:c>
      <x:c r="E457" s="86" t="str">
        <x:v>Consulta médica</x:v>
      </x:c>
      <x:c r="F457" s="86" t="n">
        <x:v>40</x:v>
      </x:c>
      <x:c r="G457" s="86" t="n">
        <x:v>1</x:v>
      </x:c>
      <x:c r="H457" s="91" t="n">
        <x:v>1086.94</x:v>
      </x:c>
      <x:c r="I457" s="87" t="n">
        <x:v>8</x:v>
      </x:c>
    </x:row>
    <x:row r="458">
      <x:c r="A458" s="85" t="n">
        <x:v>457</x:v>
      </x:c>
      <x:c r="B458" s="86" t="n">
        <x:v>304</x:v>
      </x:c>
      <x:c r="C458" s="95" t="n">
        <x:v>45758</x:v>
      </x:c>
      <x:c r="D458" s="95" t="n">
        <x:v>45758</x:v>
      </x:c>
      <x:c r="E458" s="86" t="str">
        <x:v>Atraso</x:v>
      </x:c>
      <x:c r="F458" s="86" t="n">
        <x:v>2</x:v>
      </x:c>
      <x:c r="G458" s="86" t="n">
        <x:v>1</x:v>
      </x:c>
      <x:c r="H458" s="91" t="n">
        <x:v>21.22</x:v>
      </x:c>
      <x:c r="I458" s="87" t="n">
        <x:v>1</x:v>
      </x:c>
    </x:row>
    <x:row r="459">
      <x:c r="A459" s="85" t="n">
        <x:v>458</x:v>
      </x:c>
      <x:c r="B459" s="86" t="n">
        <x:v>98</x:v>
      </x:c>
      <x:c r="C459" s="95" t="n">
        <x:v>45806</x:v>
      </x:c>
      <x:c r="D459" s="95" t="n">
        <x:v>45807</x:v>
      </x:c>
      <x:c r="E459" s="86" t="str">
        <x:v>Atestado médico</x:v>
      </x:c>
      <x:c r="F459" s="86" t="n">
        <x:v>16</x:v>
      </x:c>
      <x:c r="G459" s="86" t="n">
        <x:v>1</x:v>
      </x:c>
      <x:c r="H459" s="91" t="n">
        <x:v>615.91</x:v>
      </x:c>
      <x:c r="I459" s="87" t="n">
        <x:v>1</x:v>
      </x:c>
    </x:row>
    <x:row r="460">
      <x:c r="A460" s="85" t="n">
        <x:v>459</x:v>
      </x:c>
      <x:c r="B460" s="86" t="n">
        <x:v>76</x:v>
      </x:c>
      <x:c r="C460" s="95" t="n">
        <x:v>45330</x:v>
      </x:c>
      <x:c r="D460" s="95" t="n">
        <x:v>45330</x:v>
      </x:c>
      <x:c r="E460" s="86" t="str">
        <x:v>Atraso</x:v>
      </x:c>
      <x:c r="F460" s="86" t="n">
        <x:v>1</x:v>
      </x:c>
      <x:c r="G460" s="86" t="n">
        <x:v>1</x:v>
      </x:c>
      <x:c r="H460" s="91" t="n">
        <x:v>29.55</x:v>
      </x:c>
      <x:c r="I460" s="87" t="n">
        <x:v>7</x:v>
      </x:c>
    </x:row>
    <x:row r="461">
      <x:c r="A461" s="85" t="n">
        <x:v>460</x:v>
      </x:c>
      <x:c r="B461" s="86" t="n">
        <x:v>65</x:v>
      </x:c>
      <x:c r="C461" s="95" t="n">
        <x:v>45936</x:v>
      </x:c>
      <x:c r="D461" s="95" t="n">
        <x:v>45936</x:v>
      </x:c>
      <x:c r="E461" s="86" t="str">
        <x:v>Atraso</x:v>
      </x:c>
      <x:c r="F461" s="86" t="n">
        <x:v>2</x:v>
      </x:c>
      <x:c r="G461" s="86" t="n">
        <x:v>1</x:v>
      </x:c>
      <x:c r="H461" s="91" t="n">
        <x:v>145.4</x:v>
      </x:c>
      <x:c r="I461" s="87" t="n">
        <x:v>6</x:v>
      </x:c>
    </x:row>
    <x:row r="462">
      <x:c r="A462" s="85" t="n">
        <x:v>461</x:v>
      </x:c>
      <x:c r="B462" s="86" t="n">
        <x:v>121</x:v>
      </x:c>
      <x:c r="C462" s="95" t="n">
        <x:v>45987</x:v>
      </x:c>
      <x:c r="D462" s="95" t="n">
        <x:v>45988</x:v>
      </x:c>
      <x:c r="E462" s="86" t="str">
        <x:v>Atestado médico</x:v>
      </x:c>
      <x:c r="F462" s="86" t="n">
        <x:v>16</x:v>
      </x:c>
      <x:c r="G462" s="86" t="n">
        <x:v>1</x:v>
      </x:c>
      <x:c r="H462" s="91" t="n">
        <x:v>345.67</x:v>
      </x:c>
      <x:c r="I462" s="87" t="n">
        <x:v>4</x:v>
      </x:c>
    </x:row>
    <x:row r="463">
      <x:c r="A463" s="85" t="n">
        <x:v>462</x:v>
      </x:c>
      <x:c r="B463" s="86" t="n">
        <x:v>65</x:v>
      </x:c>
      <x:c r="C463" s="95" t="n">
        <x:v>45869</x:v>
      </x:c>
      <x:c r="D463" s="95" t="n">
        <x:v>45873</x:v>
      </x:c>
      <x:c r="E463" s="86" t="str">
        <x:v>Atestado médico</x:v>
      </x:c>
      <x:c r="F463" s="86" t="n">
        <x:v>40</x:v>
      </x:c>
      <x:c r="G463" s="86" t="n">
        <x:v>1</x:v>
      </x:c>
      <x:c r="H463" s="91" t="n">
        <x:v>2908.09</x:v>
      </x:c>
      <x:c r="I463" s="87" t="n">
        <x:v>6</x:v>
      </x:c>
    </x:row>
    <x:row r="464">
      <x:c r="A464" s="85" t="n">
        <x:v>463</x:v>
      </x:c>
      <x:c r="B464" s="86" t="n">
        <x:v>5</x:v>
      </x:c>
      <x:c r="C464" s="95" t="n">
        <x:v>46017</x:v>
      </x:c>
      <x:c r="D464" s="95" t="n">
        <x:v>46017</x:v>
      </x:c>
      <x:c r="E464" s="86" t="str">
        <x:v>Licença</x:v>
      </x:c>
      <x:c r="F464" s="86" t="n">
        <x:v>1</x:v>
      </x:c>
      <x:c r="G464" s="86" t="n">
        <x:v>1</x:v>
      </x:c>
      <x:c r="H464" s="91" t="n">
        <x:v>61.27</x:v>
      </x:c>
      <x:c r="I464" s="87" t="n">
        <x:v>7</x:v>
      </x:c>
    </x:row>
    <x:row r="465">
      <x:c r="A465" s="85" t="n">
        <x:v>464</x:v>
      </x:c>
      <x:c r="B465" s="86" t="n">
        <x:v>324</x:v>
      </x:c>
      <x:c r="C465" s="95" t="n">
        <x:v>45938</x:v>
      </x:c>
      <x:c r="D465" s="95" t="n">
        <x:v>45939</x:v>
      </x:c>
      <x:c r="E465" s="86" t="str">
        <x:v>Atestado médico</x:v>
      </x:c>
      <x:c r="F465" s="86" t="n">
        <x:v>16</x:v>
      </x:c>
      <x:c r="G465" s="86" t="n">
        <x:v>1</x:v>
      </x:c>
      <x:c r="H465" s="91" t="n">
        <x:v>343.85</x:v>
      </x:c>
      <x:c r="I465" s="87" t="n">
        <x:v>7</x:v>
      </x:c>
    </x:row>
    <x:row r="466">
      <x:c r="A466" s="85" t="n">
        <x:v>465</x:v>
      </x:c>
      <x:c r="B466" s="86" t="n">
        <x:v>97</x:v>
      </x:c>
      <x:c r="C466" s="95" t="n">
        <x:v>45721</x:v>
      </x:c>
      <x:c r="D466" s="95" t="n">
        <x:v>45721</x:v>
      </x:c>
      <x:c r="E466" s="86" t="str">
        <x:v>Atestado médico</x:v>
      </x:c>
      <x:c r="F466" s="86" t="n">
        <x:v>4</x:v>
      </x:c>
      <x:c r="G466" s="86" t="n">
        <x:v>1</x:v>
      </x:c>
      <x:c r="H466" s="91" t="n">
        <x:v>102.91</x:v>
      </x:c>
      <x:c r="I466" s="87" t="n">
        <x:v>7</x:v>
      </x:c>
    </x:row>
    <x:row r="467">
      <x:c r="A467" s="85" t="n">
        <x:v>466</x:v>
      </x:c>
      <x:c r="B467" s="86" t="n">
        <x:v>293</x:v>
      </x:c>
      <x:c r="C467" s="95" t="n">
        <x:v>45410</x:v>
      </x:c>
      <x:c r="D467" s="95" t="n">
        <x:v>45410</x:v>
      </x:c>
      <x:c r="E467" s="86" t="str">
        <x:v>Consulta médica</x:v>
      </x:c>
      <x:c r="F467" s="86" t="n">
        <x:v>2</x:v>
      </x:c>
      <x:c r="G467" s="86" t="n">
        <x:v>1</x:v>
      </x:c>
      <x:c r="H467" s="91" t="n">
        <x:v>26.46</x:v>
      </x:c>
      <x:c r="I467" s="87" t="n">
        <x:v>1</x:v>
      </x:c>
    </x:row>
    <x:row r="468">
      <x:c r="A468" s="85" t="n">
        <x:v>467</x:v>
      </x:c>
      <x:c r="B468" s="86" t="n">
        <x:v>74</x:v>
      </x:c>
      <x:c r="C468" s="95" t="n">
        <x:v>45861</x:v>
      </x:c>
      <x:c r="D468" s="95" t="n">
        <x:v>45861</x:v>
      </x:c>
      <x:c r="E468" s="86" t="str">
        <x:v>Atraso</x:v>
      </x:c>
      <x:c r="F468" s="86" t="n">
        <x:v>3</x:v>
      </x:c>
      <x:c r="G468" s="86" t="n">
        <x:v>1</x:v>
      </x:c>
      <x:c r="H468" s="91" t="n">
        <x:v>32.59</x:v>
      </x:c>
      <x:c r="I468" s="87" t="n">
        <x:v>1</x:v>
      </x:c>
    </x:row>
    <x:row r="469">
      <x:c r="A469" s="85" t="n">
        <x:v>468</x:v>
      </x:c>
      <x:c r="B469" s="86" t="n">
        <x:v>80</x:v>
      </x:c>
      <x:c r="C469" s="95" t="n">
        <x:v>45775</x:v>
      </x:c>
      <x:c r="D469" s="95" t="n">
        <x:v>45775</x:v>
      </x:c>
      <x:c r="E469" s="86" t="str">
        <x:v>Atestado médico</x:v>
      </x:c>
      <x:c r="F469" s="86" t="n">
        <x:v>1</x:v>
      </x:c>
      <x:c r="G469" s="86" t="n">
        <x:v>1</x:v>
      </x:c>
      <x:c r="H469" s="91" t="n">
        <x:v>29.19</x:v>
      </x:c>
      <x:c r="I469" s="87" t="n">
        <x:v>9</x:v>
      </x:c>
    </x:row>
    <x:row r="470">
      <x:c r="A470" s="85" t="n">
        <x:v>469</x:v>
      </x:c>
      <x:c r="B470" s="86" t="n">
        <x:v>26</x:v>
      </x:c>
      <x:c r="C470" s="95" t="n">
        <x:v>45533</x:v>
      </x:c>
      <x:c r="D470" s="95" t="n">
        <x:v>45533</x:v>
      </x:c>
      <x:c r="E470" s="86" t="str">
        <x:v>Atestado médico</x:v>
      </x:c>
      <x:c r="F470" s="86" t="n">
        <x:v>1</x:v>
      </x:c>
      <x:c r="G470" s="86" t="n">
        <x:v>1</x:v>
      </x:c>
      <x:c r="H470" s="91" t="n">
        <x:v>38.58</x:v>
      </x:c>
      <x:c r="I470" s="87" t="n">
        <x:v>3</x:v>
      </x:c>
    </x:row>
    <x:row r="471">
      <x:c r="A471" s="85" t="n">
        <x:v>470</x:v>
      </x:c>
      <x:c r="B471" s="86" t="n">
        <x:v>103</x:v>
      </x:c>
      <x:c r="C471" s="95" t="n">
        <x:v>45942</x:v>
      </x:c>
      <x:c r="D471" s="95" t="n">
        <x:v>45942</x:v>
      </x:c>
      <x:c r="E471" s="86" t="str">
        <x:v>Falta não justificada</x:v>
      </x:c>
      <x:c r="F471" s="86" t="n">
        <x:v>2</x:v>
      </x:c>
      <x:c r="G471" s="86" t="n">
        <x:v>0</x:v>
      </x:c>
      <x:c r="H471" s="91" t="n">
        <x:v>69.34</x:v>
      </x:c>
      <x:c r="I471" s="87" t="n">
        <x:v>5</x:v>
      </x:c>
    </x:row>
    <x:row r="472">
      <x:c r="A472" s="85" t="n">
        <x:v>471</x:v>
      </x:c>
      <x:c r="B472" s="86" t="n">
        <x:v>272</x:v>
      </x:c>
      <x:c r="C472" s="95" t="n">
        <x:v>45901</x:v>
      </x:c>
      <x:c r="D472" s="95" t="n">
        <x:v>45901</x:v>
      </x:c>
      <x:c r="E472" s="86" t="str">
        <x:v>Atestado médico</x:v>
      </x:c>
      <x:c r="F472" s="86" t="n">
        <x:v>2</x:v>
      </x:c>
      <x:c r="G472" s="86" t="n">
        <x:v>1</x:v>
      </x:c>
      <x:c r="H472" s="91" t="n">
        <x:v>58.4</x:v>
      </x:c>
      <x:c r="I472" s="87" t="n">
        <x:v>10</x:v>
      </x:c>
    </x:row>
    <x:row r="473">
      <x:c r="A473" s="85" t="n">
        <x:v>472</x:v>
      </x:c>
      <x:c r="B473" s="86" t="n">
        <x:v>361</x:v>
      </x:c>
      <x:c r="C473" s="95" t="n">
        <x:v>45959</x:v>
      </x:c>
      <x:c r="D473" s="95" t="n">
        <x:v>45960</x:v>
      </x:c>
      <x:c r="E473" s="86" t="str">
        <x:v>Licença</x:v>
      </x:c>
      <x:c r="F473" s="86" t="n">
        <x:v>16</x:v>
      </x:c>
      <x:c r="G473" s="86" t="n">
        <x:v>1</x:v>
      </x:c>
      <x:c r="H473" s="91" t="n">
        <x:v>403.42</x:v>
      </x:c>
      <x:c r="I473" s="87" t="n">
        <x:v>8</x:v>
      </x:c>
    </x:row>
    <x:row r="474">
      <x:c r="A474" s="85" t="n">
        <x:v>473</x:v>
      </x:c>
      <x:c r="B474" s="86" t="n">
        <x:v>226</x:v>
      </x:c>
      <x:c r="C474" s="95" t="n">
        <x:v>45956</x:v>
      </x:c>
      <x:c r="D474" s="95" t="n">
        <x:v>45956</x:v>
      </x:c>
      <x:c r="E474" s="86" t="str">
        <x:v>Atestado médico</x:v>
      </x:c>
      <x:c r="F474" s="86" t="n">
        <x:v>1</x:v>
      </x:c>
      <x:c r="G474" s="86" t="n">
        <x:v>1</x:v>
      </x:c>
      <x:c r="H474" s="91" t="n">
        <x:v>25.99</x:v>
      </x:c>
      <x:c r="I474" s="87" t="n">
        <x:v>7</x:v>
      </x:c>
    </x:row>
    <x:row r="475">
      <x:c r="A475" s="85" t="n">
        <x:v>474</x:v>
      </x:c>
      <x:c r="B475" s="86" t="n">
        <x:v>123</x:v>
      </x:c>
      <x:c r="C475" s="95" t="n">
        <x:v>45407</x:v>
      </x:c>
      <x:c r="D475" s="95" t="n">
        <x:v>45407</x:v>
      </x:c>
      <x:c r="E475" s="86" t="str">
        <x:v>Atestado médico</x:v>
      </x:c>
      <x:c r="F475" s="86" t="n">
        <x:v>2</x:v>
      </x:c>
      <x:c r="G475" s="86" t="n">
        <x:v>1</x:v>
      </x:c>
      <x:c r="H475" s="91" t="n">
        <x:v>26.93</x:v>
      </x:c>
      <x:c r="I475" s="87" t="n">
        <x:v>1</x:v>
      </x:c>
    </x:row>
    <x:row r="476">
      <x:c r="A476" s="85" t="n">
        <x:v>475</x:v>
      </x:c>
      <x:c r="B476" s="86" t="n">
        <x:v>277</x:v>
      </x:c>
      <x:c r="C476" s="95" t="n">
        <x:v>45975</x:v>
      </x:c>
      <x:c r="D476" s="95" t="n">
        <x:v>45975</x:v>
      </x:c>
      <x:c r="E476" s="86" t="str">
        <x:v>Licença</x:v>
      </x:c>
      <x:c r="F476" s="86" t="n">
        <x:v>1</x:v>
      </x:c>
      <x:c r="G476" s="86" t="n">
        <x:v>1</x:v>
      </x:c>
      <x:c r="H476" s="91" t="n">
        <x:v>24.52</x:v>
      </x:c>
      <x:c r="I476" s="87" t="n">
        <x:v>8</x:v>
      </x:c>
    </x:row>
    <x:row r="477">
      <x:c r="A477" s="85" t="n">
        <x:v>476</x:v>
      </x:c>
      <x:c r="B477" s="86" t="n">
        <x:v>270</x:v>
      </x:c>
      <x:c r="C477" s="95" t="n">
        <x:v>45851</x:v>
      </x:c>
      <x:c r="D477" s="95" t="n">
        <x:v>45851</x:v>
      </x:c>
      <x:c r="E477" s="86" t="str">
        <x:v>Falta não justificada</x:v>
      </x:c>
      <x:c r="F477" s="86" t="n">
        <x:v>4</x:v>
      </x:c>
      <x:c r="G477" s="86" t="n">
        <x:v>0</x:v>
      </x:c>
      <x:c r="H477" s="91" t="n">
        <x:v>55.9</x:v>
      </x:c>
      <x:c r="I477" s="87" t="n">
        <x:v>1</x:v>
      </x:c>
    </x:row>
    <x:row r="478">
      <x:c r="A478" s="85" t="n">
        <x:v>477</x:v>
      </x:c>
      <x:c r="B478" s="86" t="n">
        <x:v>32</x:v>
      </x:c>
      <x:c r="C478" s="95" t="n">
        <x:v>45474</x:v>
      </x:c>
      <x:c r="D478" s="95" t="n">
        <x:v>45474</x:v>
      </x:c>
      <x:c r="E478" s="86" t="str">
        <x:v>Falta não justificada</x:v>
      </x:c>
      <x:c r="F478" s="86" t="n">
        <x:v>1</x:v>
      </x:c>
      <x:c r="G478" s="86" t="n">
        <x:v>0</x:v>
      </x:c>
      <x:c r="H478" s="91" t="n">
        <x:v>30.06</x:v>
      </x:c>
      <x:c r="I478" s="87" t="n">
        <x:v>6</x:v>
      </x:c>
    </x:row>
    <x:row r="479">
      <x:c r="A479" s="85" t="n">
        <x:v>478</x:v>
      </x:c>
      <x:c r="B479" s="86" t="n">
        <x:v>214</x:v>
      </x:c>
      <x:c r="C479" s="95" t="n">
        <x:v>45902</x:v>
      </x:c>
      <x:c r="D479" s="95" t="n">
        <x:v>45902</x:v>
      </x:c>
      <x:c r="E479" s="86" t="str">
        <x:v>Falta não justificada</x:v>
      </x:c>
      <x:c r="F479" s="86" t="n">
        <x:v>2</x:v>
      </x:c>
      <x:c r="G479" s="86" t="n">
        <x:v>0</x:v>
      </x:c>
      <x:c r="H479" s="91" t="n">
        <x:v>54.35</x:v>
      </x:c>
      <x:c r="I479" s="87" t="n">
        <x:v>8</x:v>
      </x:c>
    </x:row>
    <x:row r="480">
      <x:c r="A480" s="85" t="n">
        <x:v>479</x:v>
      </x:c>
      <x:c r="B480" s="86" t="n">
        <x:v>224</x:v>
      </x:c>
      <x:c r="C480" s="95" t="n">
        <x:v>45917</x:v>
      </x:c>
      <x:c r="D480" s="95" t="n">
        <x:v>45917</x:v>
      </x:c>
      <x:c r="E480" s="86" t="str">
        <x:v>Atestado médico</x:v>
      </x:c>
      <x:c r="F480" s="86" t="n">
        <x:v>8</x:v>
      </x:c>
      <x:c r="G480" s="86" t="n">
        <x:v>1</x:v>
      </x:c>
      <x:c r="H480" s="91" t="n">
        <x:v>84.85</x:v>
      </x:c>
      <x:c r="I480" s="87" t="n">
        <x:v>1</x:v>
      </x:c>
    </x:row>
    <x:row r="481">
      <x:c r="A481" s="85" t="n">
        <x:v>480</x:v>
      </x:c>
      <x:c r="B481" s="86" t="n">
        <x:v>256</x:v>
      </x:c>
      <x:c r="C481" s="95" t="n">
        <x:v>45971</x:v>
      </x:c>
      <x:c r="D481" s="95" t="n">
        <x:v>45971</x:v>
      </x:c>
      <x:c r="E481" s="86" t="str">
        <x:v>Consulta médica</x:v>
      </x:c>
      <x:c r="F481" s="86" t="n">
        <x:v>1</x:v>
      </x:c>
      <x:c r="G481" s="86" t="n">
        <x:v>1</x:v>
      </x:c>
      <x:c r="H481" s="91" t="n">
        <x:v>12.19</x:v>
      </x:c>
      <x:c r="I481" s="87" t="n">
        <x:v>1</x:v>
      </x:c>
    </x:row>
    <x:row r="482">
      <x:c r="A482" s="85" t="n">
        <x:v>481</x:v>
      </x:c>
      <x:c r="B482" s="86" t="n">
        <x:v>92</x:v>
      </x:c>
      <x:c r="C482" s="95" t="n">
        <x:v>45770</x:v>
      </x:c>
      <x:c r="D482" s="95" t="n">
        <x:v>45774</x:v>
      </x:c>
      <x:c r="E482" s="86" t="str">
        <x:v>Consulta médica</x:v>
      </x:c>
      <x:c r="F482" s="86" t="n">
        <x:v>40</x:v>
      </x:c>
      <x:c r="G482" s="86" t="n">
        <x:v>1</x:v>
      </x:c>
      <x:c r="H482" s="91" t="n">
        <x:v>1705.27</x:v>
      </x:c>
      <x:c r="I482" s="87" t="n">
        <x:v>9</x:v>
      </x:c>
    </x:row>
    <x:row r="483">
      <x:c r="A483" s="85" t="n">
        <x:v>482</x:v>
      </x:c>
      <x:c r="B483" s="86" t="n">
        <x:v>176</x:v>
      </x:c>
      <x:c r="C483" s="95" t="n">
        <x:v>46018</x:v>
      </x:c>
      <x:c r="D483" s="95" t="n">
        <x:v>46020</x:v>
      </x:c>
      <x:c r="E483" s="86" t="str">
        <x:v>Consulta médica</x:v>
      </x:c>
      <x:c r="F483" s="86" t="n">
        <x:v>24</x:v>
      </x:c>
      <x:c r="G483" s="86" t="n">
        <x:v>1</x:v>
      </x:c>
      <x:c r="H483" s="91" t="n">
        <x:v>759.48</x:v>
      </x:c>
      <x:c r="I483" s="87" t="n">
        <x:v>10</x:v>
      </x:c>
    </x:row>
    <x:row r="484">
      <x:c r="A484" s="85" t="n">
        <x:v>483</x:v>
      </x:c>
      <x:c r="B484" s="86" t="n">
        <x:v>203</x:v>
      </x:c>
      <x:c r="C484" s="95" t="n">
        <x:v>45495</x:v>
      </x:c>
      <x:c r="D484" s="95" t="n">
        <x:v>45496</x:v>
      </x:c>
      <x:c r="E484" s="86" t="str">
        <x:v>Consulta médica</x:v>
      </x:c>
      <x:c r="F484" s="86" t="n">
        <x:v>16</x:v>
      </x:c>
      <x:c r="G484" s="86" t="n">
        <x:v>1</x:v>
      </x:c>
      <x:c r="H484" s="91" t="n">
        <x:v>349.75</x:v>
      </x:c>
      <x:c r="I484" s="87" t="n">
        <x:v>8</x:v>
      </x:c>
    </x:row>
    <x:row r="485">
      <x:c r="A485" s="85" t="n">
        <x:v>484</x:v>
      </x:c>
      <x:c r="B485" s="86" t="n">
        <x:v>373</x:v>
      </x:c>
      <x:c r="C485" s="95" t="n">
        <x:v>45825</x:v>
      </x:c>
      <x:c r="D485" s="95" t="n">
        <x:v>45826</x:v>
      </x:c>
      <x:c r="E485" s="86" t="str">
        <x:v>Atestado médico</x:v>
      </x:c>
      <x:c r="F485" s="86" t="n">
        <x:v>16</x:v>
      </x:c>
      <x:c r="G485" s="86" t="n">
        <x:v>1</x:v>
      </x:c>
      <x:c r="H485" s="91" t="n">
        <x:v>236.95</x:v>
      </x:c>
      <x:c r="I485" s="87" t="n">
        <x:v>1</x:v>
      </x:c>
    </x:row>
    <x:row r="486">
      <x:c r="A486" s="85" t="n">
        <x:v>485</x:v>
      </x:c>
      <x:c r="B486" s="86" t="n">
        <x:v>204</x:v>
      </x:c>
      <x:c r="C486" s="95" t="n">
        <x:v>45776</x:v>
      </x:c>
      <x:c r="D486" s="95" t="n">
        <x:v>45778</x:v>
      </x:c>
      <x:c r="E486" s="86" t="str">
        <x:v>Falta não justificada</x:v>
      </x:c>
      <x:c r="F486" s="86" t="n">
        <x:v>24</x:v>
      </x:c>
      <x:c r="G486" s="86" t="n">
        <x:v>0</x:v>
      </x:c>
      <x:c r="H486" s="91" t="n">
        <x:v>552.22</x:v>
      </x:c>
      <x:c r="I486" s="87" t="n">
        <x:v>6</x:v>
      </x:c>
    </x:row>
    <x:row r="487">
      <x:c r="A487" s="85" t="n">
        <x:v>486</x:v>
      </x:c>
      <x:c r="B487" s="86" t="n">
        <x:v>106</x:v>
      </x:c>
      <x:c r="C487" s="95" t="n">
        <x:v>45440</x:v>
      </x:c>
      <x:c r="D487" s="95" t="n">
        <x:v>45440</x:v>
      </x:c>
      <x:c r="E487" s="86" t="str">
        <x:v>Atestado médico</x:v>
      </x:c>
      <x:c r="F487" s="86" t="n">
        <x:v>4</x:v>
      </x:c>
      <x:c r="G487" s="86" t="n">
        <x:v>1</x:v>
      </x:c>
      <x:c r="H487" s="91" t="n">
        <x:v>99.29</x:v>
      </x:c>
      <x:c r="I487" s="87" t="n">
        <x:v>4</x:v>
      </x:c>
    </x:row>
    <x:row r="488">
      <x:c r="A488" s="85" t="n">
        <x:v>487</x:v>
      </x:c>
      <x:c r="B488" s="86" t="n">
        <x:v>42</x:v>
      </x:c>
      <x:c r="C488" s="95" t="n">
        <x:v>45996</x:v>
      </x:c>
      <x:c r="D488" s="95" t="n">
        <x:v>45996</x:v>
      </x:c>
      <x:c r="E488" s="86" t="str">
        <x:v>Atraso</x:v>
      </x:c>
      <x:c r="F488" s="86" t="n">
        <x:v>1</x:v>
      </x:c>
      <x:c r="G488" s="86" t="n">
        <x:v>1</x:v>
      </x:c>
      <x:c r="H488" s="91" t="n">
        <x:v>21.9</x:v>
      </x:c>
      <x:c r="I488" s="87" t="n">
        <x:v>2</x:v>
      </x:c>
    </x:row>
    <x:row r="489">
      <x:c r="A489" s="85" t="n">
        <x:v>488</x:v>
      </x:c>
      <x:c r="B489" s="86" t="n">
        <x:v>125</x:v>
      </x:c>
      <x:c r="C489" s="95" t="n">
        <x:v>45609</x:v>
      </x:c>
      <x:c r="D489" s="95" t="n">
        <x:v>45609</x:v>
      </x:c>
      <x:c r="E489" s="86" t="str">
        <x:v>Consulta médica</x:v>
      </x:c>
      <x:c r="F489" s="86" t="n">
        <x:v>1</x:v>
      </x:c>
      <x:c r="G489" s="86" t="n">
        <x:v>1</x:v>
      </x:c>
      <x:c r="H489" s="91" t="n">
        <x:v>14.32</x:v>
      </x:c>
      <x:c r="I489" s="87" t="n">
        <x:v>1</x:v>
      </x:c>
    </x:row>
    <x:row r="490">
      <x:c r="A490" s="85" t="n">
        <x:v>489</x:v>
      </x:c>
      <x:c r="B490" s="86" t="n">
        <x:v>374</x:v>
      </x:c>
      <x:c r="C490" s="95" t="n">
        <x:v>45358</x:v>
      </x:c>
      <x:c r="D490" s="95" t="n">
        <x:v>45358</x:v>
      </x:c>
      <x:c r="E490" s="86" t="str">
        <x:v>Atestado médico</x:v>
      </x:c>
      <x:c r="F490" s="86" t="n">
        <x:v>8</x:v>
      </x:c>
      <x:c r="G490" s="86" t="n">
        <x:v>1</x:v>
      </x:c>
      <x:c r="H490" s="91" t="n">
        <x:v>94.11</x:v>
      </x:c>
      <x:c r="I490" s="87" t="n">
        <x:v>1</x:v>
      </x:c>
    </x:row>
    <x:row r="491">
      <x:c r="A491" s="85" t="n">
        <x:v>490</x:v>
      </x:c>
      <x:c r="B491" s="86" t="n">
        <x:v>109</x:v>
      </x:c>
      <x:c r="C491" s="95" t="n">
        <x:v>45738</x:v>
      </x:c>
      <x:c r="D491" s="95" t="n">
        <x:v>45740</x:v>
      </x:c>
      <x:c r="E491" s="86" t="str">
        <x:v>Consulta médica</x:v>
      </x:c>
      <x:c r="F491" s="86" t="n">
        <x:v>24</x:v>
      </x:c>
      <x:c r="G491" s="86" t="n">
        <x:v>1</x:v>
      </x:c>
      <x:c r="H491" s="91" t="n">
        <x:v>1727.55</x:v>
      </x:c>
      <x:c r="I491" s="87" t="n">
        <x:v>8</x:v>
      </x:c>
    </x:row>
    <x:row r="492">
      <x:c r="A492" s="85" t="n">
        <x:v>491</x:v>
      </x:c>
      <x:c r="B492" s="86" t="n">
        <x:v>242</x:v>
      </x:c>
      <x:c r="C492" s="95" t="n">
        <x:v>45673</x:v>
      </x:c>
      <x:c r="D492" s="95" t="n">
        <x:v>45675</x:v>
      </x:c>
      <x:c r="E492" s="86" t="str">
        <x:v>Licença</x:v>
      </x:c>
      <x:c r="F492" s="86" t="n">
        <x:v>24</x:v>
      </x:c>
      <x:c r="G492" s="86" t="n">
        <x:v>1</x:v>
      </x:c>
      <x:c r="H492" s="91" t="n">
        <x:v>477.02</x:v>
      </x:c>
      <x:c r="I492" s="87" t="n">
        <x:v>3</x:v>
      </x:c>
    </x:row>
    <x:row r="493">
      <x:c r="A493" s="85" t="n">
        <x:v>492</x:v>
      </x:c>
      <x:c r="B493" s="86" t="n">
        <x:v>293</x:v>
      </x:c>
      <x:c r="C493" s="95" t="n">
        <x:v>45590</x:v>
      </x:c>
      <x:c r="D493" s="95" t="n">
        <x:v>45590</x:v>
      </x:c>
      <x:c r="E493" s="86" t="str">
        <x:v>Atestado médico</x:v>
      </x:c>
      <x:c r="F493" s="86" t="n">
        <x:v>4</x:v>
      </x:c>
      <x:c r="G493" s="86" t="n">
        <x:v>1</x:v>
      </x:c>
      <x:c r="H493" s="91" t="n">
        <x:v>52.91</x:v>
      </x:c>
      <x:c r="I493" s="87" t="n">
        <x:v>1</x:v>
      </x:c>
    </x:row>
    <x:row r="494">
      <x:c r="A494" s="85" t="n">
        <x:v>493</x:v>
      </x:c>
      <x:c r="B494" s="86" t="n">
        <x:v>218</x:v>
      </x:c>
      <x:c r="C494" s="95" t="n">
        <x:v>45989</x:v>
      </x:c>
      <x:c r="D494" s="95" t="n">
        <x:v>45989</x:v>
      </x:c>
      <x:c r="E494" s="86" t="str">
        <x:v>Atraso</x:v>
      </x:c>
      <x:c r="F494" s="86" t="n">
        <x:v>3</x:v>
      </x:c>
      <x:c r="G494" s="86" t="n">
        <x:v>1</x:v>
      </x:c>
      <x:c r="H494" s="91" t="n">
        <x:v>135.47</x:v>
      </x:c>
      <x:c r="I494" s="87" t="n">
        <x:v>5</x:v>
      </x:c>
    </x:row>
    <x:row r="495">
      <x:c r="A495" s="85" t="n">
        <x:v>494</x:v>
      </x:c>
      <x:c r="B495" s="86" t="n">
        <x:v>254</x:v>
      </x:c>
      <x:c r="C495" s="95" t="n">
        <x:v>45921</x:v>
      </x:c>
      <x:c r="D495" s="95" t="n">
        <x:v>45921</x:v>
      </x:c>
      <x:c r="E495" s="86" t="str">
        <x:v>Atestado médico</x:v>
      </x:c>
      <x:c r="F495" s="86" t="n">
        <x:v>8</x:v>
      </x:c>
      <x:c r="G495" s="86" t="n">
        <x:v>1</x:v>
      </x:c>
      <x:c r="H495" s="91" t="n">
        <x:v>101.9</x:v>
      </x:c>
      <x:c r="I495" s="87" t="n">
        <x:v>1</x:v>
      </x:c>
    </x:row>
    <x:row r="496">
      <x:c r="A496" s="85" t="n">
        <x:v>495</x:v>
      </x:c>
      <x:c r="B496" s="86" t="n">
        <x:v>339</x:v>
      </x:c>
      <x:c r="C496" s="95" t="n">
        <x:v>45817</x:v>
      </x:c>
      <x:c r="D496" s="95" t="n">
        <x:v>45819</x:v>
      </x:c>
      <x:c r="E496" s="86" t="str">
        <x:v>Atestado médico</x:v>
      </x:c>
      <x:c r="F496" s="86" t="n">
        <x:v>24</x:v>
      </x:c>
      <x:c r="G496" s="86" t="n">
        <x:v>1</x:v>
      </x:c>
      <x:c r="H496" s="91" t="n">
        <x:v>692.65</x:v>
      </x:c>
      <x:c r="I496" s="87" t="n">
        <x:v>7</x:v>
      </x:c>
    </x:row>
    <x:row r="497">
      <x:c r="A497" s="85" t="n">
        <x:v>496</x:v>
      </x:c>
      <x:c r="B497" s="86" t="n">
        <x:v>199</x:v>
      </x:c>
      <x:c r="C497" s="95" t="n">
        <x:v>45769</x:v>
      </x:c>
      <x:c r="D497" s="95" t="n">
        <x:v>45769</x:v>
      </x:c>
      <x:c r="E497" s="86" t="str">
        <x:v>Atestado médico</x:v>
      </x:c>
      <x:c r="F497" s="86" t="n">
        <x:v>8</x:v>
      </x:c>
      <x:c r="G497" s="86" t="n">
        <x:v>1</x:v>
      </x:c>
      <x:c r="H497" s="91" t="n">
        <x:v>213.2</x:v>
      </x:c>
      <x:c r="I497" s="87" t="n">
        <x:v>9</x:v>
      </x:c>
    </x:row>
    <x:row r="498">
      <x:c r="A498" s="85" t="n">
        <x:v>497</x:v>
      </x:c>
      <x:c r="B498" s="86" t="n">
        <x:v>273</x:v>
      </x:c>
      <x:c r="C498" s="95" t="n">
        <x:v>45970</x:v>
      </x:c>
      <x:c r="D498" s="95" t="n">
        <x:v>45972</x:v>
      </x:c>
      <x:c r="E498" s="86" t="str">
        <x:v>Consulta médica</x:v>
      </x:c>
      <x:c r="F498" s="86" t="n">
        <x:v>24</x:v>
      </x:c>
      <x:c r="G498" s="86" t="n">
        <x:v>1</x:v>
      </x:c>
      <x:c r="H498" s="91" t="n">
        <x:v>708.57</x:v>
      </x:c>
      <x:c r="I498" s="87" t="n">
        <x:v>4</x:v>
      </x:c>
    </x:row>
    <x:row r="499">
      <x:c r="A499" s="85" t="n">
        <x:v>498</x:v>
      </x:c>
      <x:c r="B499" s="86" t="n">
        <x:v>411</x:v>
      </x:c>
      <x:c r="C499" s="95" t="n">
        <x:v>45417</x:v>
      </x:c>
      <x:c r="D499" s="95" t="n">
        <x:v>45417</x:v>
      </x:c>
      <x:c r="E499" s="86" t="str">
        <x:v>Atraso</x:v>
      </x:c>
      <x:c r="F499" s="86" t="n">
        <x:v>3</x:v>
      </x:c>
      <x:c r="G499" s="86" t="n">
        <x:v>1</x:v>
      </x:c>
      <x:c r="H499" s="91" t="n">
        <x:v>92.49</x:v>
      </x:c>
      <x:c r="I499" s="87" t="n">
        <x:v>4</x:v>
      </x:c>
    </x:row>
    <x:row r="500">
      <x:c r="A500" s="85" t="n">
        <x:v>499</x:v>
      </x:c>
      <x:c r="B500" s="86" t="n">
        <x:v>4</x:v>
      </x:c>
      <x:c r="C500" s="95" t="n">
        <x:v>46008</x:v>
      </x:c>
      <x:c r="D500" s="95" t="n">
        <x:v>46008</x:v>
      </x:c>
      <x:c r="E500" s="86" t="str">
        <x:v>Atestado médico</x:v>
      </x:c>
      <x:c r="F500" s="86" t="n">
        <x:v>2</x:v>
      </x:c>
      <x:c r="G500" s="86" t="n">
        <x:v>1</x:v>
      </x:c>
      <x:c r="H500" s="91" t="n">
        <x:v>42.06</x:v>
      </x:c>
      <x:c r="I500" s="87" t="n">
        <x:v>3</x:v>
      </x:c>
    </x:row>
    <x:row r="501">
      <x:c r="A501" s="85" t="n">
        <x:v>500</x:v>
      </x:c>
      <x:c r="B501" s="86" t="n">
        <x:v>147</x:v>
      </x:c>
      <x:c r="C501" s="95" t="n">
        <x:v>45926</x:v>
      </x:c>
      <x:c r="D501" s="95" t="n">
        <x:v>45927</x:v>
      </x:c>
      <x:c r="E501" s="86" t="str">
        <x:v>Consulta médica</x:v>
      </x:c>
      <x:c r="F501" s="86" t="n">
        <x:v>16</x:v>
      </x:c>
      <x:c r="G501" s="86" t="n">
        <x:v>1</x:v>
      </x:c>
      <x:c r="H501" s="91" t="n">
        <x:v>883.33</x:v>
      </x:c>
      <x:c r="I501" s="87" t="n">
        <x:v>7</x:v>
      </x:c>
    </x:row>
    <x:row r="502">
      <x:c r="A502" s="85" t="n">
        <x:v>501</x:v>
      </x:c>
      <x:c r="B502" s="86" t="n">
        <x:v>332</x:v>
      </x:c>
      <x:c r="C502" s="95" t="n">
        <x:v>45823</x:v>
      </x:c>
      <x:c r="D502" s="95" t="n">
        <x:v>45825</x:v>
      </x:c>
      <x:c r="E502" s="86" t="str">
        <x:v>Atestado médico</x:v>
      </x:c>
      <x:c r="F502" s="86" t="n">
        <x:v>24</x:v>
      </x:c>
      <x:c r="G502" s="86" t="n">
        <x:v>1</x:v>
      </x:c>
      <x:c r="H502" s="91" t="n">
        <x:v>895.3</x:v>
      </x:c>
      <x:c r="I502" s="87" t="n">
        <x:v>5</x:v>
      </x:c>
    </x:row>
    <x:row r="503">
      <x:c r="A503" s="85" t="n">
        <x:v>502</x:v>
      </x:c>
      <x:c r="B503" s="86" t="n">
        <x:v>25</x:v>
      </x:c>
      <x:c r="C503" s="95" t="n">
        <x:v>45730</x:v>
      </x:c>
      <x:c r="D503" s="95" t="n">
        <x:v>45730</x:v>
      </x:c>
      <x:c r="E503" s="86" t="str">
        <x:v>Atraso</x:v>
      </x:c>
      <x:c r="F503" s="86" t="n">
        <x:v>3</x:v>
      </x:c>
      <x:c r="G503" s="86" t="n">
        <x:v>1</x:v>
      </x:c>
      <x:c r="H503" s="91" t="n">
        <x:v>76.13</x:v>
      </x:c>
      <x:c r="I503" s="87" t="n">
        <x:v>7</x:v>
      </x:c>
    </x:row>
    <x:row r="504">
      <x:c r="A504" s="85" t="n">
        <x:v>503</x:v>
      </x:c>
      <x:c r="B504" s="86" t="n">
        <x:v>195</x:v>
      </x:c>
      <x:c r="C504" s="95" t="n">
        <x:v>45814</x:v>
      </x:c>
      <x:c r="D504" s="95" t="n">
        <x:v>45816</x:v>
      </x:c>
      <x:c r="E504" s="86" t="str">
        <x:v>Atestado médico</x:v>
      </x:c>
      <x:c r="F504" s="86" t="n">
        <x:v>24</x:v>
      </x:c>
      <x:c r="G504" s="86" t="n">
        <x:v>1</x:v>
      </x:c>
      <x:c r="H504" s="91" t="n">
        <x:v>585.89</x:v>
      </x:c>
      <x:c r="I504" s="87" t="n">
        <x:v>4</x:v>
      </x:c>
    </x:row>
    <x:row r="505">
      <x:c r="A505" s="85" t="n">
        <x:v>504</x:v>
      </x:c>
      <x:c r="B505" s="86" t="n">
        <x:v>362</x:v>
      </x:c>
      <x:c r="C505" s="95" t="n">
        <x:v>45617</x:v>
      </x:c>
      <x:c r="D505" s="95" t="n">
        <x:v>45619</x:v>
      </x:c>
      <x:c r="E505" s="86" t="str">
        <x:v>Licença</x:v>
      </x:c>
      <x:c r="F505" s="86" t="n">
        <x:v>24</x:v>
      </x:c>
      <x:c r="G505" s="86" t="n">
        <x:v>1</x:v>
      </x:c>
      <x:c r="H505" s="91" t="n">
        <x:v>541.28</x:v>
      </x:c>
      <x:c r="I505" s="87" t="n">
        <x:v>10</x:v>
      </x:c>
    </x:row>
    <x:row r="506">
      <x:c r="A506" s="85" t="n">
        <x:v>505</x:v>
      </x:c>
      <x:c r="B506" s="86" t="n">
        <x:v>313</x:v>
      </x:c>
      <x:c r="C506" s="95" t="n">
        <x:v>45723</x:v>
      </x:c>
      <x:c r="D506" s="95" t="n">
        <x:v>45723</x:v>
      </x:c>
      <x:c r="E506" s="86" t="str">
        <x:v>Atraso</x:v>
      </x:c>
      <x:c r="F506" s="86" t="n">
        <x:v>2</x:v>
      </x:c>
      <x:c r="G506" s="86" t="n">
        <x:v>1</x:v>
      </x:c>
      <x:c r="H506" s="91" t="n">
        <x:v>23.22</x:v>
      </x:c>
      <x:c r="I506" s="87" t="n">
        <x:v>1</x:v>
      </x:c>
    </x:row>
    <x:row r="507">
      <x:c r="A507" s="85" t="n">
        <x:v>506</x:v>
      </x:c>
      <x:c r="B507" s="86" t="n">
        <x:v>351</x:v>
      </x:c>
      <x:c r="C507" s="95" t="n">
        <x:v>45854</x:v>
      </x:c>
      <x:c r="D507" s="95" t="n">
        <x:v>45855</x:v>
      </x:c>
      <x:c r="E507" s="86" t="str">
        <x:v>Atestado médico</x:v>
      </x:c>
      <x:c r="F507" s="86" t="n">
        <x:v>16</x:v>
      </x:c>
      <x:c r="G507" s="86" t="n">
        <x:v>1</x:v>
      </x:c>
      <x:c r="H507" s="91" t="n">
        <x:v>261.52</x:v>
      </x:c>
      <x:c r="I507" s="87" t="n">
        <x:v>10</x:v>
      </x:c>
    </x:row>
    <x:row r="508">
      <x:c r="A508" s="85" t="n">
        <x:v>507</x:v>
      </x:c>
      <x:c r="B508" s="86" t="n">
        <x:v>45</x:v>
      </x:c>
      <x:c r="C508" s="95" t="n">
        <x:v>45832</x:v>
      </x:c>
      <x:c r="D508" s="95" t="n">
        <x:v>45832</x:v>
      </x:c>
      <x:c r="E508" s="86" t="str">
        <x:v>Atraso</x:v>
      </x:c>
      <x:c r="F508" s="86" t="n">
        <x:v>2</x:v>
      </x:c>
      <x:c r="G508" s="86" t="n">
        <x:v>1</x:v>
      </x:c>
      <x:c r="H508" s="91" t="n">
        <x:v>20.62</x:v>
      </x:c>
      <x:c r="I508" s="87" t="n">
        <x:v>1</x:v>
      </x:c>
    </x:row>
    <x:row r="509">
      <x:c r="A509" s="85" t="n">
        <x:v>508</x:v>
      </x:c>
      <x:c r="B509" s="86" t="n">
        <x:v>144</x:v>
      </x:c>
      <x:c r="C509" s="95" t="n">
        <x:v>45999</x:v>
      </x:c>
      <x:c r="D509" s="95" t="n">
        <x:v>46001</x:v>
      </x:c>
      <x:c r="E509" s="86" t="str">
        <x:v>Falta não justificada</x:v>
      </x:c>
      <x:c r="F509" s="86" t="n">
        <x:v>24</x:v>
      </x:c>
      <x:c r="G509" s="86" t="n">
        <x:v>0</x:v>
      </x:c>
      <x:c r="H509" s="91" t="n">
        <x:v>669.22</x:v>
      </x:c>
      <x:c r="I509" s="87" t="n">
        <x:v>4</x:v>
      </x:c>
    </x:row>
    <x:row r="510">
      <x:c r="A510" s="85" t="n">
        <x:v>509</x:v>
      </x:c>
      <x:c r="B510" s="86" t="n">
        <x:v>213</x:v>
      </x:c>
      <x:c r="C510" s="95" t="n">
        <x:v>45869</x:v>
      </x:c>
      <x:c r="D510" s="95" t="n">
        <x:v>45869</x:v>
      </x:c>
      <x:c r="E510" s="86" t="str">
        <x:v>Atraso</x:v>
      </x:c>
      <x:c r="F510" s="86" t="n">
        <x:v>1</x:v>
      </x:c>
      <x:c r="G510" s="86" t="n">
        <x:v>1</x:v>
      </x:c>
      <x:c r="H510" s="91" t="n">
        <x:v>16.19</x:v>
      </x:c>
      <x:c r="I510" s="87" t="n">
        <x:v>2</x:v>
      </x:c>
    </x:row>
    <x:row r="511">
      <x:c r="A511" s="85" t="n">
        <x:v>510</x:v>
      </x:c>
      <x:c r="B511" s="86" t="n">
        <x:v>208</x:v>
      </x:c>
      <x:c r="C511" s="95" t="n">
        <x:v>45571</x:v>
      </x:c>
      <x:c r="D511" s="95" t="n">
        <x:v>45571</x:v>
      </x:c>
      <x:c r="E511" s="86" t="str">
        <x:v>Atestado médico</x:v>
      </x:c>
      <x:c r="F511" s="86" t="n">
        <x:v>2</x:v>
      </x:c>
      <x:c r="G511" s="86" t="n">
        <x:v>1</x:v>
      </x:c>
      <x:c r="H511" s="91" t="n">
        <x:v>81.81</x:v>
      </x:c>
      <x:c r="I511" s="87" t="n">
        <x:v>9</x:v>
      </x:c>
    </x:row>
    <x:row r="512">
      <x:c r="A512" s="85" t="n">
        <x:v>511</x:v>
      </x:c>
      <x:c r="B512" s="86" t="n">
        <x:v>285</x:v>
      </x:c>
      <x:c r="C512" s="95" t="n">
        <x:v>45706</x:v>
      </x:c>
      <x:c r="D512" s="95" t="n">
        <x:v>45710</x:v>
      </x:c>
      <x:c r="E512" s="86" t="str">
        <x:v>Atestado médico</x:v>
      </x:c>
      <x:c r="F512" s="86" t="n">
        <x:v>40</x:v>
      </x:c>
      <x:c r="G512" s="86" t="n">
        <x:v>1</x:v>
      </x:c>
      <x:c r="H512" s="91" t="n">
        <x:v>568.34</x:v>
      </x:c>
      <x:c r="I512" s="87" t="n">
        <x:v>1</x:v>
      </x:c>
    </x:row>
    <x:row r="513">
      <x:c r="A513" s="85" t="n">
        <x:v>512</x:v>
      </x:c>
      <x:c r="B513" s="86" t="n">
        <x:v>36</x:v>
      </x:c>
      <x:c r="C513" s="95" t="n">
        <x:v>45366</x:v>
      </x:c>
      <x:c r="D513" s="95" t="n">
        <x:v>45370</x:v>
      </x:c>
      <x:c r="E513" s="86" t="str">
        <x:v>Atestado médico</x:v>
      </x:c>
      <x:c r="F513" s="86" t="n">
        <x:v>40</x:v>
      </x:c>
      <x:c r="G513" s="86" t="n">
        <x:v>1</x:v>
      </x:c>
      <x:c r="H513" s="91" t="n">
        <x:v>690.98</x:v>
      </x:c>
      <x:c r="I513" s="87" t="n">
        <x:v>4</x:v>
      </x:c>
    </x:row>
    <x:row r="514">
      <x:c r="A514" s="85" t="n">
        <x:v>513</x:v>
      </x:c>
      <x:c r="B514" s="86" t="n">
        <x:v>56</x:v>
      </x:c>
      <x:c r="C514" s="95" t="n">
        <x:v>45927</x:v>
      </x:c>
      <x:c r="D514" s="95" t="n">
        <x:v>45927</x:v>
      </x:c>
      <x:c r="E514" s="86" t="str">
        <x:v>Atestado médico</x:v>
      </x:c>
      <x:c r="F514" s="86" t="n">
        <x:v>4</x:v>
      </x:c>
      <x:c r="G514" s="86" t="n">
        <x:v>1</x:v>
      </x:c>
      <x:c r="H514" s="91" t="n">
        <x:v>62.96</x:v>
      </x:c>
      <x:c r="I514" s="87" t="n">
        <x:v>1</x:v>
      </x:c>
    </x:row>
    <x:row r="515">
      <x:c r="A515" s="85" t="n">
        <x:v>514</x:v>
      </x:c>
      <x:c r="B515" s="86" t="n">
        <x:v>114</x:v>
      </x:c>
      <x:c r="C515" s="95" t="n">
        <x:v>45414</x:v>
      </x:c>
      <x:c r="D515" s="95" t="n">
        <x:v>45414</x:v>
      </x:c>
      <x:c r="E515" s="86" t="str">
        <x:v>Atestado médico</x:v>
      </x:c>
      <x:c r="F515" s="86" t="n">
        <x:v>1</x:v>
      </x:c>
      <x:c r="G515" s="86" t="n">
        <x:v>1</x:v>
      </x:c>
      <x:c r="H515" s="91" t="n">
        <x:v>22.27</x:v>
      </x:c>
      <x:c r="I515" s="87" t="n">
        <x:v>7</x:v>
      </x:c>
    </x:row>
    <x:row r="516">
      <x:c r="A516" s="85" t="n">
        <x:v>515</x:v>
      </x:c>
      <x:c r="B516" s="86" t="n">
        <x:v>37</x:v>
      </x:c>
      <x:c r="C516" s="95" t="n">
        <x:v>45598</x:v>
      </x:c>
      <x:c r="D516" s="95" t="n">
        <x:v>45598</x:v>
      </x:c>
      <x:c r="E516" s="86" t="str">
        <x:v>Consulta médica</x:v>
      </x:c>
      <x:c r="F516" s="86" t="n">
        <x:v>1</x:v>
      </x:c>
      <x:c r="G516" s="86" t="n">
        <x:v>1</x:v>
      </x:c>
      <x:c r="H516" s="91" t="n">
        <x:v>14.54</x:v>
      </x:c>
      <x:c r="I516" s="87" t="n">
        <x:v>3</x:v>
      </x:c>
    </x:row>
    <x:row r="517">
      <x:c r="A517" s="85" t="n">
        <x:v>516</x:v>
      </x:c>
      <x:c r="B517" s="86" t="n">
        <x:v>201</x:v>
      </x:c>
      <x:c r="C517" s="95" t="n">
        <x:v>45610</x:v>
      </x:c>
      <x:c r="D517" s="95" t="n">
        <x:v>45611</x:v>
      </x:c>
      <x:c r="E517" s="86" t="str">
        <x:v>Atestado médico</x:v>
      </x:c>
      <x:c r="F517" s="86" t="n">
        <x:v>16</x:v>
      </x:c>
      <x:c r="G517" s="86" t="n">
        <x:v>1</x:v>
      </x:c>
      <x:c r="H517" s="91" t="n">
        <x:v>165.08</x:v>
      </x:c>
      <x:c r="I517" s="87" t="n">
        <x:v>1</x:v>
      </x:c>
    </x:row>
    <x:row r="518">
      <x:c r="A518" s="85" t="n">
        <x:v>517</x:v>
      </x:c>
      <x:c r="B518" s="86" t="n">
        <x:v>121</x:v>
      </x:c>
      <x:c r="C518" s="95" t="n">
        <x:v>45958</x:v>
      </x:c>
      <x:c r="D518" s="95" t="n">
        <x:v>45958</x:v>
      </x:c>
      <x:c r="E518" s="86" t="str">
        <x:v>Atraso</x:v>
      </x:c>
      <x:c r="F518" s="86" t="n">
        <x:v>3</x:v>
      </x:c>
      <x:c r="G518" s="86" t="n">
        <x:v>1</x:v>
      </x:c>
      <x:c r="H518" s="91" t="n">
        <x:v>64.81</x:v>
      </x:c>
      <x:c r="I518" s="87" t="n">
        <x:v>4</x:v>
      </x:c>
    </x:row>
    <x:row r="519">
      <x:c r="A519" s="85" t="n">
        <x:v>518</x:v>
      </x:c>
      <x:c r="B519" s="86" t="n">
        <x:v>4</x:v>
      </x:c>
      <x:c r="C519" s="95" t="n">
        <x:v>45878</x:v>
      </x:c>
      <x:c r="D519" s="95" t="n">
        <x:v>45878</x:v>
      </x:c>
      <x:c r="E519" s="86" t="str">
        <x:v>Atestado médico</x:v>
      </x:c>
      <x:c r="F519" s="86" t="n">
        <x:v>8</x:v>
      </x:c>
      <x:c r="G519" s="86" t="n">
        <x:v>1</x:v>
      </x:c>
      <x:c r="H519" s="91" t="n">
        <x:v>168.25</x:v>
      </x:c>
      <x:c r="I519" s="87" t="n">
        <x:v>3</x:v>
      </x:c>
    </x:row>
    <x:row r="520">
      <x:c r="A520" s="85" t="n">
        <x:v>519</x:v>
      </x:c>
      <x:c r="B520" s="86" t="n">
        <x:v>27</x:v>
      </x:c>
      <x:c r="C520" s="95" t="n">
        <x:v>45901</x:v>
      </x:c>
      <x:c r="D520" s="95" t="n">
        <x:v>45902</x:v>
      </x:c>
      <x:c r="E520" s="86" t="str">
        <x:v>Licença</x:v>
      </x:c>
      <x:c r="F520" s="86" t="n">
        <x:v>16</x:v>
      </x:c>
      <x:c r="G520" s="86" t="n">
        <x:v>1</x:v>
      </x:c>
      <x:c r="H520" s="91" t="n">
        <x:v>347.04</x:v>
      </x:c>
      <x:c r="I520" s="87" t="n">
        <x:v>4</x:v>
      </x:c>
    </x:row>
    <x:row r="521">
      <x:c r="A521" s="85" t="n">
        <x:v>520</x:v>
      </x:c>
      <x:c r="B521" s="86" t="n">
        <x:v>78</x:v>
      </x:c>
      <x:c r="C521" s="95" t="n">
        <x:v>46015</x:v>
      </x:c>
      <x:c r="D521" s="95" t="n">
        <x:v>46017</x:v>
      </x:c>
      <x:c r="E521" s="86" t="str">
        <x:v>Atestado médico</x:v>
      </x:c>
      <x:c r="F521" s="86" t="n">
        <x:v>24</x:v>
      </x:c>
      <x:c r="G521" s="86" t="n">
        <x:v>1</x:v>
      </x:c>
      <x:c r="H521" s="91" t="n">
        <x:v>754.83</x:v>
      </x:c>
      <x:c r="I521" s="87" t="n">
        <x:v>1</x:v>
      </x:c>
    </x:row>
    <x:row r="522">
      <x:c r="A522" s="85" t="n">
        <x:v>521</x:v>
      </x:c>
      <x:c r="B522" s="86" t="n">
        <x:v>265</x:v>
      </x:c>
      <x:c r="C522" s="95" t="n">
        <x:v>45735</x:v>
      </x:c>
      <x:c r="D522" s="95" t="n">
        <x:v>45736</x:v>
      </x:c>
      <x:c r="E522" s="86" t="str">
        <x:v>Consulta médica</x:v>
      </x:c>
      <x:c r="F522" s="86" t="n">
        <x:v>16</x:v>
      </x:c>
      <x:c r="G522" s="86" t="n">
        <x:v>1</x:v>
      </x:c>
      <x:c r="H522" s="91" t="n">
        <x:v>218.77</x:v>
      </x:c>
      <x:c r="I522" s="87" t="n">
        <x:v>1</x:v>
      </x:c>
    </x:row>
    <x:row r="523">
      <x:c r="A523" s="85" t="n">
        <x:v>522</x:v>
      </x:c>
      <x:c r="B523" s="86" t="n">
        <x:v>167</x:v>
      </x:c>
      <x:c r="C523" s="95" t="n">
        <x:v>45943</x:v>
      </x:c>
      <x:c r="D523" s="95" t="n">
        <x:v>45943</x:v>
      </x:c>
      <x:c r="E523" s="86" t="str">
        <x:v>Atestado médico</x:v>
      </x:c>
      <x:c r="F523" s="86" t="n">
        <x:v>2</x:v>
      </x:c>
      <x:c r="G523" s="86" t="n">
        <x:v>1</x:v>
      </x:c>
      <x:c r="H523" s="91" t="n">
        <x:v>34.24</x:v>
      </x:c>
      <x:c r="I523" s="87" t="n">
        <x:v>10</x:v>
      </x:c>
    </x:row>
    <x:row r="524">
      <x:c r="A524" s="85" t="n">
        <x:v>523</x:v>
      </x:c>
      <x:c r="B524" s="86" t="n">
        <x:v>404</x:v>
      </x:c>
      <x:c r="C524" s="95" t="n">
        <x:v>45562</x:v>
      </x:c>
      <x:c r="D524" s="95" t="n">
        <x:v>45562</x:v>
      </x:c>
      <x:c r="E524" s="86" t="str">
        <x:v>Atestado médico</x:v>
      </x:c>
      <x:c r="F524" s="86" t="n">
        <x:v>1</x:v>
      </x:c>
      <x:c r="G524" s="86" t="n">
        <x:v>1</x:v>
      </x:c>
      <x:c r="H524" s="91" t="n">
        <x:v>38.1</x:v>
      </x:c>
      <x:c r="I524" s="87" t="n">
        <x:v>1</x:v>
      </x:c>
    </x:row>
    <x:row r="525">
      <x:c r="A525" s="85" t="n">
        <x:v>524</x:v>
      </x:c>
      <x:c r="B525" s="86" t="n">
        <x:v>154</x:v>
      </x:c>
      <x:c r="C525" s="95" t="n">
        <x:v>45597</x:v>
      </x:c>
      <x:c r="D525" s="95" t="n">
        <x:v>45597</x:v>
      </x:c>
      <x:c r="E525" s="86" t="str">
        <x:v>Atestado médico</x:v>
      </x:c>
      <x:c r="F525" s="86" t="n">
        <x:v>4</x:v>
      </x:c>
      <x:c r="G525" s="86" t="n">
        <x:v>1</x:v>
      </x:c>
      <x:c r="H525" s="91" t="n">
        <x:v>99.17</x:v>
      </x:c>
      <x:c r="I525" s="87" t="n">
        <x:v>7</x:v>
      </x:c>
    </x:row>
    <x:row r="526">
      <x:c r="A526" s="85" t="n">
        <x:v>525</x:v>
      </x:c>
      <x:c r="B526" s="86" t="n">
        <x:v>371</x:v>
      </x:c>
      <x:c r="C526" s="95" t="n">
        <x:v>45911</x:v>
      </x:c>
      <x:c r="D526" s="95" t="n">
        <x:v>45911</x:v>
      </x:c>
      <x:c r="E526" s="86" t="str">
        <x:v>Atestado médico</x:v>
      </x:c>
      <x:c r="F526" s="86" t="n">
        <x:v>4</x:v>
      </x:c>
      <x:c r="G526" s="86" t="n">
        <x:v>1</x:v>
      </x:c>
      <x:c r="H526" s="91" t="n">
        <x:v>175.73</x:v>
      </x:c>
      <x:c r="I526" s="87" t="n">
        <x:v>1</x:v>
      </x:c>
    </x:row>
    <x:row r="527">
      <x:c r="A527" s="85" t="n">
        <x:v>526</x:v>
      </x:c>
      <x:c r="B527" s="86" t="n">
        <x:v>106</x:v>
      </x:c>
      <x:c r="C527" s="95" t="n">
        <x:v>45662</x:v>
      </x:c>
      <x:c r="D527" s="95" t="n">
        <x:v>45662</x:v>
      </x:c>
      <x:c r="E527" s="86" t="str">
        <x:v>Atestado médico</x:v>
      </x:c>
      <x:c r="F527" s="86" t="n">
        <x:v>2</x:v>
      </x:c>
      <x:c r="G527" s="86" t="n">
        <x:v>1</x:v>
      </x:c>
      <x:c r="H527" s="91" t="n">
        <x:v>49.65</x:v>
      </x:c>
      <x:c r="I527" s="87" t="n">
        <x:v>4</x:v>
      </x:c>
    </x:row>
    <x:row r="528">
      <x:c r="A528" s="85" t="n">
        <x:v>527</x:v>
      </x:c>
      <x:c r="B528" s="86" t="n">
        <x:v>97</x:v>
      </x:c>
      <x:c r="C528" s="95" t="n">
        <x:v>45303</x:v>
      </x:c>
      <x:c r="D528" s="95" t="n">
        <x:v>45303</x:v>
      </x:c>
      <x:c r="E528" s="86" t="str">
        <x:v>Licença</x:v>
      </x:c>
      <x:c r="F528" s="86" t="n">
        <x:v>1</x:v>
      </x:c>
      <x:c r="G528" s="86" t="n">
        <x:v>1</x:v>
      </x:c>
      <x:c r="H528" s="91" t="n">
        <x:v>25.73</x:v>
      </x:c>
      <x:c r="I528" s="87" t="n">
        <x:v>7</x:v>
      </x:c>
    </x:row>
    <x:row r="529">
      <x:c r="A529" s="85" t="n">
        <x:v>528</x:v>
      </x:c>
      <x:c r="B529" s="86" t="n">
        <x:v>57</x:v>
      </x:c>
      <x:c r="C529" s="95" t="n">
        <x:v>45641</x:v>
      </x:c>
      <x:c r="D529" s="95" t="n">
        <x:v>45641</x:v>
      </x:c>
      <x:c r="E529" s="86" t="str">
        <x:v>Falta não justificada</x:v>
      </x:c>
      <x:c r="F529" s="86" t="n">
        <x:v>4</x:v>
      </x:c>
      <x:c r="G529" s="86" t="n">
        <x:v>0</x:v>
      </x:c>
      <x:c r="H529" s="91" t="n">
        <x:v>119.15</x:v>
      </x:c>
      <x:c r="I529" s="87" t="n">
        <x:v>5</x:v>
      </x:c>
    </x:row>
    <x:row r="530">
      <x:c r="A530" s="85" t="n">
        <x:v>529</x:v>
      </x:c>
      <x:c r="B530" s="86" t="n">
        <x:v>125</x:v>
      </x:c>
      <x:c r="C530" s="95" t="n">
        <x:v>45667</x:v>
      </x:c>
      <x:c r="D530" s="95" t="n">
        <x:v>45667</x:v>
      </x:c>
      <x:c r="E530" s="86" t="str">
        <x:v>Atraso</x:v>
      </x:c>
      <x:c r="F530" s="86" t="n">
        <x:v>3</x:v>
      </x:c>
      <x:c r="G530" s="86" t="n">
        <x:v>1</x:v>
      </x:c>
      <x:c r="H530" s="91" t="n">
        <x:v>42.96</x:v>
      </x:c>
      <x:c r="I530" s="87" t="n">
        <x:v>1</x:v>
      </x:c>
    </x:row>
    <x:row r="531">
      <x:c r="A531" s="85" t="n">
        <x:v>530</x:v>
      </x:c>
      <x:c r="B531" s="86" t="n">
        <x:v>176</x:v>
      </x:c>
      <x:c r="C531" s="95" t="n">
        <x:v>45950</x:v>
      </x:c>
      <x:c r="D531" s="95" t="n">
        <x:v>45951</x:v>
      </x:c>
      <x:c r="E531" s="86" t="str">
        <x:v>Licença</x:v>
      </x:c>
      <x:c r="F531" s="86" t="n">
        <x:v>16</x:v>
      </x:c>
      <x:c r="G531" s="86" t="n">
        <x:v>1</x:v>
      </x:c>
      <x:c r="H531" s="91" t="n">
        <x:v>506.32</x:v>
      </x:c>
      <x:c r="I531" s="87" t="n">
        <x:v>10</x:v>
      </x:c>
    </x:row>
    <x:row r="532">
      <x:c r="A532" s="85" t="n">
        <x:v>531</x:v>
      </x:c>
      <x:c r="B532" s="86" t="n">
        <x:v>10</x:v>
      </x:c>
      <x:c r="C532" s="95" t="n">
        <x:v>46010</x:v>
      </x:c>
      <x:c r="D532" s="95" t="n">
        <x:v>46010</x:v>
      </x:c>
      <x:c r="E532" s="86" t="str">
        <x:v>Falta não justificada</x:v>
      </x:c>
      <x:c r="F532" s="86" t="n">
        <x:v>8</x:v>
      </x:c>
      <x:c r="G532" s="86" t="n">
        <x:v>0</x:v>
      </x:c>
      <x:c r="H532" s="91" t="n">
        <x:v>254.56</x:v>
      </x:c>
      <x:c r="I532" s="87" t="n">
        <x:v>1</x:v>
      </x:c>
    </x:row>
    <x:row r="533">
      <x:c r="A533" s="85" t="n">
        <x:v>532</x:v>
      </x:c>
      <x:c r="B533" s="86" t="n">
        <x:v>312</x:v>
      </x:c>
      <x:c r="C533" s="95" t="n">
        <x:v>45474</x:v>
      </x:c>
      <x:c r="D533" s="95" t="n">
        <x:v>45475</x:v>
      </x:c>
      <x:c r="E533" s="86" t="str">
        <x:v>Atestado médico</x:v>
      </x:c>
      <x:c r="F533" s="86" t="n">
        <x:v>16</x:v>
      </x:c>
      <x:c r="G533" s="86" t="n">
        <x:v>1</x:v>
      </x:c>
      <x:c r="H533" s="91" t="n">
        <x:v>247.37</x:v>
      </x:c>
      <x:c r="I533" s="87" t="n">
        <x:v>10</x:v>
      </x:c>
    </x:row>
    <x:row r="534">
      <x:c r="A534" s="85" t="n">
        <x:v>533</x:v>
      </x:c>
      <x:c r="B534" s="86" t="n">
        <x:v>45</x:v>
      </x:c>
      <x:c r="C534" s="95" t="n">
        <x:v>45330</x:v>
      </x:c>
      <x:c r="D534" s="95" t="n">
        <x:v>45334</x:v>
      </x:c>
      <x:c r="E534" s="86" t="str">
        <x:v>Consulta médica</x:v>
      </x:c>
      <x:c r="F534" s="86" t="n">
        <x:v>40</x:v>
      </x:c>
      <x:c r="G534" s="86" t="n">
        <x:v>1</x:v>
      </x:c>
      <x:c r="H534" s="91" t="n">
        <x:v>412.31</x:v>
      </x:c>
      <x:c r="I534" s="87" t="n">
        <x:v>1</x:v>
      </x:c>
    </x:row>
    <x:row r="535">
      <x:c r="A535" s="85" t="n">
        <x:v>534</x:v>
      </x:c>
      <x:c r="B535" s="86" t="n">
        <x:v>241</x:v>
      </x:c>
      <x:c r="C535" s="95" t="n">
        <x:v>45957</x:v>
      </x:c>
      <x:c r="D535" s="95" t="n">
        <x:v>45958</x:v>
      </x:c>
      <x:c r="E535" s="86" t="str">
        <x:v>Falta não justificada</x:v>
      </x:c>
      <x:c r="F535" s="86" t="n">
        <x:v>16</x:v>
      </x:c>
      <x:c r="G535" s="86" t="n">
        <x:v>0</x:v>
      </x:c>
      <x:c r="H535" s="91" t="n">
        <x:v>179.25</x:v>
      </x:c>
      <x:c r="I535" s="87" t="n">
        <x:v>1</x:v>
      </x:c>
    </x:row>
    <x:row r="536">
      <x:c r="A536" s="85" t="n">
        <x:v>535</x:v>
      </x:c>
      <x:c r="B536" s="86" t="n">
        <x:v>229</x:v>
      </x:c>
      <x:c r="C536" s="95" t="n">
        <x:v>45293</x:v>
      </x:c>
      <x:c r="D536" s="95" t="n">
        <x:v>45293</x:v>
      </x:c>
      <x:c r="E536" s="86" t="str">
        <x:v>Atraso</x:v>
      </x:c>
      <x:c r="F536" s="86" t="n">
        <x:v>2</x:v>
      </x:c>
      <x:c r="G536" s="86" t="n">
        <x:v>1</x:v>
      </x:c>
      <x:c r="H536" s="91" t="n">
        <x:v>44.89</x:v>
      </x:c>
      <x:c r="I536" s="87" t="n">
        <x:v>10</x:v>
      </x:c>
    </x:row>
    <x:row r="537">
      <x:c r="A537" s="85" t="n">
        <x:v>536</x:v>
      </x:c>
      <x:c r="B537" s="86" t="n">
        <x:v>239</x:v>
      </x:c>
      <x:c r="C537" s="95" t="n">
        <x:v>45343</x:v>
      </x:c>
      <x:c r="D537" s="95" t="n">
        <x:v>45343</x:v>
      </x:c>
      <x:c r="E537" s="86" t="str">
        <x:v>Atestado médico</x:v>
      </x:c>
      <x:c r="F537" s="86" t="n">
        <x:v>8</x:v>
      </x:c>
      <x:c r="G537" s="86" t="n">
        <x:v>1</x:v>
      </x:c>
      <x:c r="H537" s="91" t="n">
        <x:v>399.4</x:v>
      </x:c>
      <x:c r="I537" s="87" t="n">
        <x:v>4</x:v>
      </x:c>
    </x:row>
    <x:row r="538">
      <x:c r="A538" s="85" t="n">
        <x:v>537</x:v>
      </x:c>
      <x:c r="B538" s="86" t="n">
        <x:v>257</x:v>
      </x:c>
      <x:c r="C538" s="95" t="n">
        <x:v>46010</x:v>
      </x:c>
      <x:c r="D538" s="95" t="n">
        <x:v>46010</x:v>
      </x:c>
      <x:c r="E538" s="86" t="str">
        <x:v>Atestado médico</x:v>
      </x:c>
      <x:c r="F538" s="86" t="n">
        <x:v>1</x:v>
      </x:c>
      <x:c r="G538" s="86" t="n">
        <x:v>1</x:v>
      </x:c>
      <x:c r="H538" s="91" t="n">
        <x:v>34.69</x:v>
      </x:c>
      <x:c r="I538" s="87" t="n">
        <x:v>6</x:v>
      </x:c>
    </x:row>
    <x:row r="539">
      <x:c r="A539" s="85" t="n">
        <x:v>538</x:v>
      </x:c>
      <x:c r="B539" s="86" t="n">
        <x:v>49</x:v>
      </x:c>
      <x:c r="C539" s="95" t="n">
        <x:v>45966</x:v>
      </x:c>
      <x:c r="D539" s="95" t="n">
        <x:v>45970</x:v>
      </x:c>
      <x:c r="E539" s="86" t="str">
        <x:v>Falta não justificada</x:v>
      </x:c>
      <x:c r="F539" s="86" t="n">
        <x:v>40</x:v>
      </x:c>
      <x:c r="G539" s="86" t="n">
        <x:v>0</x:v>
      </x:c>
      <x:c r="H539" s="91" t="n">
        <x:v>1187.74</x:v>
      </x:c>
      <x:c r="I539" s="87" t="n">
        <x:v>10</x:v>
      </x:c>
    </x:row>
    <x:row r="540">
      <x:c r="A540" s="85" t="n">
        <x:v>539</x:v>
      </x:c>
      <x:c r="B540" s="86" t="n">
        <x:v>162</x:v>
      </x:c>
      <x:c r="C540" s="95" t="n">
        <x:v>45686</x:v>
      </x:c>
      <x:c r="D540" s="95" t="n">
        <x:v>45686</x:v>
      </x:c>
      <x:c r="E540" s="86" t="str">
        <x:v>Atraso</x:v>
      </x:c>
      <x:c r="F540" s="86" t="n">
        <x:v>3</x:v>
      </x:c>
      <x:c r="G540" s="86" t="n">
        <x:v>1</x:v>
      </x:c>
      <x:c r="H540" s="91" t="n">
        <x:v>105.23</x:v>
      </x:c>
      <x:c r="I540" s="87" t="n">
        <x:v>10</x:v>
      </x:c>
    </x:row>
    <x:row r="541">
      <x:c r="A541" s="85" t="n">
        <x:v>540</x:v>
      </x:c>
      <x:c r="B541" s="86" t="n">
        <x:v>309</x:v>
      </x:c>
      <x:c r="C541" s="95" t="n">
        <x:v>46009</x:v>
      </x:c>
      <x:c r="D541" s="95" t="n">
        <x:v>46009</x:v>
      </x:c>
      <x:c r="E541" s="86" t="str">
        <x:v>Atraso</x:v>
      </x:c>
      <x:c r="F541" s="86" t="n">
        <x:v>3</x:v>
      </x:c>
      <x:c r="G541" s="86" t="n">
        <x:v>1</x:v>
      </x:c>
      <x:c r="H541" s="91" t="n">
        <x:v>46.84</x:v>
      </x:c>
      <x:c r="I541" s="87" t="n">
        <x:v>10</x:v>
      </x:c>
    </x:row>
    <x:row r="542">
      <x:c r="A542" s="85" t="n">
        <x:v>541</x:v>
      </x:c>
      <x:c r="B542" s="86" t="n">
        <x:v>3</x:v>
      </x:c>
      <x:c r="C542" s="95" t="n">
        <x:v>45766</x:v>
      </x:c>
      <x:c r="D542" s="95" t="n">
        <x:v>45766</x:v>
      </x:c>
      <x:c r="E542" s="86" t="str">
        <x:v>Atestado médico</x:v>
      </x:c>
      <x:c r="F542" s="86" t="n">
        <x:v>4</x:v>
      </x:c>
      <x:c r="G542" s="86" t="n">
        <x:v>1</x:v>
      </x:c>
      <x:c r="H542" s="91" t="n">
        <x:v>59.58</x:v>
      </x:c>
      <x:c r="I542" s="87" t="n">
        <x:v>1</x:v>
      </x:c>
    </x:row>
    <x:row r="543">
      <x:c r="A543" s="85" t="n">
        <x:v>542</x:v>
      </x:c>
      <x:c r="B543" s="86" t="n">
        <x:v>291</x:v>
      </x:c>
      <x:c r="C543" s="95" t="n">
        <x:v>45751</x:v>
      </x:c>
      <x:c r="D543" s="95" t="n">
        <x:v>45755</x:v>
      </x:c>
      <x:c r="E543" s="86" t="str">
        <x:v>Atestado médico</x:v>
      </x:c>
      <x:c r="F543" s="86" t="n">
        <x:v>40</x:v>
      </x:c>
      <x:c r="G543" s="86" t="n">
        <x:v>1</x:v>
      </x:c>
      <x:c r="H543" s="91" t="n">
        <x:v>905.3</x:v>
      </x:c>
      <x:c r="I543" s="87" t="n">
        <x:v>8</x:v>
      </x:c>
    </x:row>
    <x:row r="544">
      <x:c r="A544" s="85" t="n">
        <x:v>543</x:v>
      </x:c>
      <x:c r="B544" s="86" t="n">
        <x:v>130</x:v>
      </x:c>
      <x:c r="C544" s="95" t="n">
        <x:v>45882</x:v>
      </x:c>
      <x:c r="D544" s="95" t="n">
        <x:v>45882</x:v>
      </x:c>
      <x:c r="E544" s="86" t="str">
        <x:v>Atraso</x:v>
      </x:c>
      <x:c r="F544" s="86" t="n">
        <x:v>3</x:v>
      </x:c>
      <x:c r="G544" s="86" t="n">
        <x:v>1</x:v>
      </x:c>
      <x:c r="H544" s="91" t="n">
        <x:v>96.9</x:v>
      </x:c>
      <x:c r="I544" s="87" t="n">
        <x:v>10</x:v>
      </x:c>
    </x:row>
    <x:row r="545">
      <x:c r="A545" s="85" t="n">
        <x:v>544</x:v>
      </x:c>
      <x:c r="B545" s="86" t="n">
        <x:v>392</x:v>
      </x:c>
      <x:c r="C545" s="95" t="n">
        <x:v>45643</x:v>
      </x:c>
      <x:c r="D545" s="95" t="n">
        <x:v>45644</x:v>
      </x:c>
      <x:c r="E545" s="86" t="str">
        <x:v>Atestado médico</x:v>
      </x:c>
      <x:c r="F545" s="86" t="n">
        <x:v>16</x:v>
      </x:c>
      <x:c r="G545" s="86" t="n">
        <x:v>1</x:v>
      </x:c>
      <x:c r="H545" s="91" t="n">
        <x:v>475.65</x:v>
      </x:c>
      <x:c r="I545" s="87" t="n">
        <x:v>7</x:v>
      </x:c>
    </x:row>
    <x:row r="546">
      <x:c r="A546" s="85" t="n">
        <x:v>545</x:v>
      </x:c>
      <x:c r="B546" s="86" t="n">
        <x:v>13</x:v>
      </x:c>
      <x:c r="C546" s="95" t="n">
        <x:v>45904</x:v>
      </x:c>
      <x:c r="D546" s="95" t="n">
        <x:v>45908</x:v>
      </x:c>
      <x:c r="E546" s="86" t="str">
        <x:v>Licença</x:v>
      </x:c>
      <x:c r="F546" s="86" t="n">
        <x:v>40</x:v>
      </x:c>
      <x:c r="G546" s="86" t="n">
        <x:v>1</x:v>
      </x:c>
      <x:c r="H546" s="91" t="n">
        <x:v>3505.82</x:v>
      </x:c>
      <x:c r="I546" s="87" t="n">
        <x:v>9</x:v>
      </x:c>
    </x:row>
    <x:row r="547">
      <x:c r="A547" s="85" t="n">
        <x:v>546</x:v>
      </x:c>
      <x:c r="B547" s="86" t="n">
        <x:v>9</x:v>
      </x:c>
      <x:c r="C547" s="95" t="n">
        <x:v>45764</x:v>
      </x:c>
      <x:c r="D547" s="95" t="n">
        <x:v>45768</x:v>
      </x:c>
      <x:c r="E547" s="86" t="str">
        <x:v>Licença</x:v>
      </x:c>
      <x:c r="F547" s="86" t="n">
        <x:v>40</x:v>
      </x:c>
      <x:c r="G547" s="86" t="n">
        <x:v>1</x:v>
      </x:c>
      <x:c r="H547" s="91" t="n">
        <x:v>1184.52</x:v>
      </x:c>
      <x:c r="I547" s="87" t="n">
        <x:v>5</x:v>
      </x:c>
    </x:row>
    <x:row r="548">
      <x:c r="A548" s="85" t="n">
        <x:v>547</x:v>
      </x:c>
      <x:c r="B548" s="86" t="n">
        <x:v>25</x:v>
      </x:c>
      <x:c r="C548" s="95" t="n">
        <x:v>45933</x:v>
      </x:c>
      <x:c r="D548" s="95" t="n">
        <x:v>45937</x:v>
      </x:c>
      <x:c r="E548" s="86" t="str">
        <x:v>Atestado médico</x:v>
      </x:c>
      <x:c r="F548" s="86" t="n">
        <x:v>40</x:v>
      </x:c>
      <x:c r="G548" s="86" t="n">
        <x:v>1</x:v>
      </x:c>
      <x:c r="H548" s="91" t="n">
        <x:v>1015.09</x:v>
      </x:c>
      <x:c r="I548" s="87" t="n">
        <x:v>7</x:v>
      </x:c>
    </x:row>
    <x:row r="549">
      <x:c r="A549" s="85" t="n">
        <x:v>548</x:v>
      </x:c>
      <x:c r="B549" s="86" t="n">
        <x:v>285</x:v>
      </x:c>
      <x:c r="C549" s="95" t="n">
        <x:v>45733</x:v>
      </x:c>
      <x:c r="D549" s="95" t="n">
        <x:v>45733</x:v>
      </x:c>
      <x:c r="E549" s="86" t="str">
        <x:v>Atraso</x:v>
      </x:c>
      <x:c r="F549" s="86" t="n">
        <x:v>1</x:v>
      </x:c>
      <x:c r="G549" s="86" t="n">
        <x:v>1</x:v>
      </x:c>
      <x:c r="H549" s="91" t="n">
        <x:v>14.21</x:v>
      </x:c>
      <x:c r="I549" s="87" t="n">
        <x:v>1</x:v>
      </x:c>
    </x:row>
    <x:row r="550">
      <x:c r="A550" s="85" t="n">
        <x:v>549</x:v>
      </x:c>
      <x:c r="B550" s="86" t="n">
        <x:v>272</x:v>
      </x:c>
      <x:c r="C550" s="95" t="n">
        <x:v>45867</x:v>
      </x:c>
      <x:c r="D550" s="95" t="n">
        <x:v>45867</x:v>
      </x:c>
      <x:c r="E550" s="86" t="str">
        <x:v>Atestado médico</x:v>
      </x:c>
      <x:c r="F550" s="86" t="n">
        <x:v>1</x:v>
      </x:c>
      <x:c r="G550" s="86" t="n">
        <x:v>1</x:v>
      </x:c>
      <x:c r="H550" s="91" t="n">
        <x:v>29.2</x:v>
      </x:c>
      <x:c r="I550" s="87" t="n">
        <x:v>10</x:v>
      </x:c>
    </x:row>
    <x:row r="551">
      <x:c r="A551" s="85" t="n">
        <x:v>550</x:v>
      </x:c>
      <x:c r="B551" s="86" t="n">
        <x:v>171</x:v>
      </x:c>
      <x:c r="C551" s="95" t="n">
        <x:v>45768</x:v>
      </x:c>
      <x:c r="D551" s="95" t="n">
        <x:v>45768</x:v>
      </x:c>
      <x:c r="E551" s="86" t="str">
        <x:v>Atestado médico</x:v>
      </x:c>
      <x:c r="F551" s="86" t="n">
        <x:v>8</x:v>
      </x:c>
      <x:c r="G551" s="86" t="n">
        <x:v>1</x:v>
      </x:c>
      <x:c r="H551" s="91" t="n">
        <x:v>247.18</x:v>
      </x:c>
      <x:c r="I551" s="87" t="n">
        <x:v>10</x:v>
      </x:c>
    </x:row>
    <x:row r="552">
      <x:c r="A552" s="85" t="n">
        <x:v>551</x:v>
      </x:c>
      <x:c r="B552" s="86" t="n">
        <x:v>278</x:v>
      </x:c>
      <x:c r="C552" s="95" t="n">
        <x:v>45667</x:v>
      </x:c>
      <x:c r="D552" s="95" t="n">
        <x:v>45667</x:v>
      </x:c>
      <x:c r="E552" s="86" t="str">
        <x:v>Atestado médico</x:v>
      </x:c>
      <x:c r="F552" s="86" t="n">
        <x:v>8</x:v>
      </x:c>
      <x:c r="G552" s="86" t="n">
        <x:v>1</x:v>
      </x:c>
      <x:c r="H552" s="91" t="n">
        <x:v>234.8</x:v>
      </x:c>
      <x:c r="I552" s="87" t="n">
        <x:v>4</x:v>
      </x:c>
    </x:row>
    <x:row r="553">
      <x:c r="A553" s="85" t="n">
        <x:v>552</x:v>
      </x:c>
      <x:c r="B553" s="86" t="n">
        <x:v>419</x:v>
      </x:c>
      <x:c r="C553" s="95" t="n">
        <x:v>45518</x:v>
      </x:c>
      <x:c r="D553" s="95" t="n">
        <x:v>45518</x:v>
      </x:c>
      <x:c r="E553" s="86" t="str">
        <x:v>Consulta médica</x:v>
      </x:c>
      <x:c r="F553" s="86" t="n">
        <x:v>4</x:v>
      </x:c>
      <x:c r="G553" s="86" t="n">
        <x:v>1</x:v>
      </x:c>
      <x:c r="H553" s="91" t="n">
        <x:v>60.92</x:v>
      </x:c>
      <x:c r="I553" s="87" t="n">
        <x:v>1</x:v>
      </x:c>
    </x:row>
    <x:row r="554">
      <x:c r="A554" s="85" t="n">
        <x:v>553</x:v>
      </x:c>
      <x:c r="B554" s="86" t="n">
        <x:v>247</x:v>
      </x:c>
      <x:c r="C554" s="95" t="n">
        <x:v>45916</x:v>
      </x:c>
      <x:c r="D554" s="95" t="n">
        <x:v>45916</x:v>
      </x:c>
      <x:c r="E554" s="86" t="str">
        <x:v>Atraso</x:v>
      </x:c>
      <x:c r="F554" s="86" t="n">
        <x:v>3</x:v>
      </x:c>
      <x:c r="G554" s="86" t="n">
        <x:v>1</x:v>
      </x:c>
      <x:c r="H554" s="91" t="n">
        <x:v>45.96</x:v>
      </x:c>
      <x:c r="I554" s="87" t="n">
        <x:v>3</x:v>
      </x:c>
    </x:row>
    <x:row r="555">
      <x:c r="A555" s="85" t="n">
        <x:v>554</x:v>
      </x:c>
      <x:c r="B555" s="86" t="n">
        <x:v>20</x:v>
      </x:c>
      <x:c r="C555" s="95" t="n">
        <x:v>45641</x:v>
      </x:c>
      <x:c r="D555" s="95" t="n">
        <x:v>45641</x:v>
      </x:c>
      <x:c r="E555" s="86" t="str">
        <x:v>Atestado médico</x:v>
      </x:c>
      <x:c r="F555" s="86" t="n">
        <x:v>1</x:v>
      </x:c>
      <x:c r="G555" s="86" t="n">
        <x:v>1</x:v>
      </x:c>
      <x:c r="H555" s="91" t="n">
        <x:v>38.29</x:v>
      </x:c>
      <x:c r="I555" s="87" t="n">
        <x:v>4</x:v>
      </x:c>
    </x:row>
    <x:row r="556">
      <x:c r="A556" s="85" t="n">
        <x:v>555</x:v>
      </x:c>
      <x:c r="B556" s="86" t="n">
        <x:v>380</x:v>
      </x:c>
      <x:c r="C556" s="95" t="n">
        <x:v>45807</x:v>
      </x:c>
      <x:c r="D556" s="95" t="n">
        <x:v>45807</x:v>
      </x:c>
      <x:c r="E556" s="86" t="str">
        <x:v>Licença</x:v>
      </x:c>
      <x:c r="F556" s="86" t="n">
        <x:v>8</x:v>
      </x:c>
      <x:c r="G556" s="86" t="n">
        <x:v>1</x:v>
      </x:c>
      <x:c r="H556" s="91" t="n">
        <x:v>115.8</x:v>
      </x:c>
      <x:c r="I556" s="87" t="n">
        <x:v>1</x:v>
      </x:c>
    </x:row>
    <x:row r="557">
      <x:c r="A557" s="85" t="n">
        <x:v>556</x:v>
      </x:c>
      <x:c r="B557" s="86" t="n">
        <x:v>60</x:v>
      </x:c>
      <x:c r="C557" s="95" t="n">
        <x:v>45292</x:v>
      </x:c>
      <x:c r="D557" s="95" t="n">
        <x:v>45292</x:v>
      </x:c>
      <x:c r="E557" s="86" t="str">
        <x:v>Consulta médica</x:v>
      </x:c>
      <x:c r="F557" s="86" t="n">
        <x:v>1</x:v>
      </x:c>
      <x:c r="G557" s="86" t="n">
        <x:v>1</x:v>
      </x:c>
      <x:c r="H557" s="91" t="n">
        <x:v>46.61</x:v>
      </x:c>
      <x:c r="I557" s="87" t="n">
        <x:v>5</x:v>
      </x:c>
    </x:row>
    <x:row r="558">
      <x:c r="A558" s="85" t="n">
        <x:v>557</x:v>
      </x:c>
      <x:c r="B558" s="86" t="n">
        <x:v>13</x:v>
      </x:c>
      <x:c r="C558" s="95" t="n">
        <x:v>45822</x:v>
      </x:c>
      <x:c r="D558" s="95" t="n">
        <x:v>45822</x:v>
      </x:c>
      <x:c r="E558" s="86" t="str">
        <x:v>Atraso</x:v>
      </x:c>
      <x:c r="F558" s="86" t="n">
        <x:v>2</x:v>
      </x:c>
      <x:c r="G558" s="86" t="n">
        <x:v>1</x:v>
      </x:c>
      <x:c r="H558" s="91" t="n">
        <x:v>175.29</x:v>
      </x:c>
      <x:c r="I558" s="87" t="n">
        <x:v>9</x:v>
      </x:c>
    </x:row>
    <x:row r="559">
      <x:c r="A559" s="85" t="n">
        <x:v>558</x:v>
      </x:c>
      <x:c r="B559" s="86" t="n">
        <x:v>190</x:v>
      </x:c>
      <x:c r="C559" s="95" t="n">
        <x:v>46020</x:v>
      </x:c>
      <x:c r="D559" s="95" t="n">
        <x:v>46020</x:v>
      </x:c>
      <x:c r="E559" s="86" t="str">
        <x:v>Atestado médico</x:v>
      </x:c>
      <x:c r="F559" s="86" t="n">
        <x:v>4</x:v>
      </x:c>
      <x:c r="G559" s="86" t="n">
        <x:v>1</x:v>
      </x:c>
      <x:c r="H559" s="91" t="n">
        <x:v>122.29</x:v>
      </x:c>
      <x:c r="I559" s="87" t="n">
        <x:v>9</x:v>
      </x:c>
    </x:row>
    <x:row r="560">
      <x:c r="A560" s="85" t="n">
        <x:v>559</x:v>
      </x:c>
      <x:c r="B560" s="86" t="n">
        <x:v>347</x:v>
      </x:c>
      <x:c r="C560" s="95" t="n">
        <x:v>45924</x:v>
      </x:c>
      <x:c r="D560" s="95" t="n">
        <x:v>45924</x:v>
      </x:c>
      <x:c r="E560" s="86" t="str">
        <x:v>Consulta médica</x:v>
      </x:c>
      <x:c r="F560" s="86" t="n">
        <x:v>8</x:v>
      </x:c>
      <x:c r="G560" s="86" t="n">
        <x:v>1</x:v>
      </x:c>
      <x:c r="H560" s="91" t="n">
        <x:v>167.87</x:v>
      </x:c>
      <x:c r="I560" s="87" t="n">
        <x:v>7</x:v>
      </x:c>
    </x:row>
    <x:row r="561">
      <x:c r="A561" s="85" t="n">
        <x:v>560</x:v>
      </x:c>
      <x:c r="B561" s="86" t="n">
        <x:v>351</x:v>
      </x:c>
      <x:c r="C561" s="95" t="n">
        <x:v>45917</x:v>
      </x:c>
      <x:c r="D561" s="95" t="n">
        <x:v>45917</x:v>
      </x:c>
      <x:c r="E561" s="86" t="str">
        <x:v>Atraso</x:v>
      </x:c>
      <x:c r="F561" s="86" t="n">
        <x:v>3</x:v>
      </x:c>
      <x:c r="G561" s="86" t="n">
        <x:v>1</x:v>
      </x:c>
      <x:c r="H561" s="91" t="n">
        <x:v>49.03</x:v>
      </x:c>
      <x:c r="I561" s="87" t="n">
        <x:v>10</x:v>
      </x:c>
    </x:row>
    <x:row r="562">
      <x:c r="A562" s="85" t="n">
        <x:v>561</x:v>
      </x:c>
      <x:c r="B562" s="86" t="n">
        <x:v>111</x:v>
      </x:c>
      <x:c r="C562" s="95" t="n">
        <x:v>45635</x:v>
      </x:c>
      <x:c r="D562" s="95" t="n">
        <x:v>45635</x:v>
      </x:c>
      <x:c r="E562" s="86" t="str">
        <x:v>Atestado médico</x:v>
      </x:c>
      <x:c r="F562" s="86" t="n">
        <x:v>2</x:v>
      </x:c>
      <x:c r="G562" s="86" t="n">
        <x:v>1</x:v>
      </x:c>
      <x:c r="H562" s="91" t="n">
        <x:v>95.13</x:v>
      </x:c>
      <x:c r="I562" s="87" t="n">
        <x:v>2</x:v>
      </x:c>
    </x:row>
    <x:row r="563">
      <x:c r="A563" s="85" t="n">
        <x:v>562</x:v>
      </x:c>
      <x:c r="B563" s="86" t="n">
        <x:v>397</x:v>
      </x:c>
      <x:c r="C563" s="95" t="n">
        <x:v>45883</x:v>
      </x:c>
      <x:c r="D563" s="95" t="n">
        <x:v>45883</x:v>
      </x:c>
      <x:c r="E563" s="86" t="str">
        <x:v>Consulta médica</x:v>
      </x:c>
      <x:c r="F563" s="86" t="n">
        <x:v>1</x:v>
      </x:c>
      <x:c r="G563" s="86" t="n">
        <x:v>1</x:v>
      </x:c>
      <x:c r="H563" s="91" t="n">
        <x:v>33.17</x:v>
      </x:c>
      <x:c r="I563" s="87" t="n">
        <x:v>6</x:v>
      </x:c>
    </x:row>
    <x:row r="564">
      <x:c r="A564" s="85" t="n">
        <x:v>563</x:v>
      </x:c>
      <x:c r="B564" s="86" t="n">
        <x:v>280</x:v>
      </x:c>
      <x:c r="C564" s="95" t="n">
        <x:v>45334</x:v>
      </x:c>
      <x:c r="D564" s="95" t="n">
        <x:v>45334</x:v>
      </x:c>
      <x:c r="E564" s="86" t="str">
        <x:v>Atestado médico</x:v>
      </x:c>
      <x:c r="F564" s="86" t="n">
        <x:v>1</x:v>
      </x:c>
      <x:c r="G564" s="86" t="n">
        <x:v>1</x:v>
      </x:c>
      <x:c r="H564" s="91" t="n">
        <x:v>13.82</x:v>
      </x:c>
      <x:c r="I564" s="87" t="n">
        <x:v>1</x:v>
      </x:c>
    </x:row>
    <x:row r="565">
      <x:c r="A565" s="85" t="n">
        <x:v>564</x:v>
      </x:c>
      <x:c r="B565" s="86" t="n">
        <x:v>207</x:v>
      </x:c>
      <x:c r="C565" s="95" t="n">
        <x:v>45944</x:v>
      </x:c>
      <x:c r="D565" s="95" t="n">
        <x:v>45944</x:v>
      </x:c>
      <x:c r="E565" s="86" t="str">
        <x:v>Atestado médico</x:v>
      </x:c>
      <x:c r="F565" s="86" t="n">
        <x:v>4</x:v>
      </x:c>
      <x:c r="G565" s="86" t="n">
        <x:v>1</x:v>
      </x:c>
      <x:c r="H565" s="91" t="n">
        <x:v>54.98</x:v>
      </x:c>
      <x:c r="I565" s="87" t="n">
        <x:v>1</x:v>
      </x:c>
    </x:row>
    <x:row r="566">
      <x:c r="A566" s="85" t="n">
        <x:v>565</x:v>
      </x:c>
      <x:c r="B566" s="86" t="n">
        <x:v>102</x:v>
      </x:c>
      <x:c r="C566" s="95" t="n">
        <x:v>46011</x:v>
      </x:c>
      <x:c r="D566" s="95" t="n">
        <x:v>46011</x:v>
      </x:c>
      <x:c r="E566" s="86" t="str">
        <x:v>Atestado médico</x:v>
      </x:c>
      <x:c r="F566" s="86" t="n">
        <x:v>2</x:v>
      </x:c>
      <x:c r="G566" s="86" t="n">
        <x:v>1</x:v>
      </x:c>
      <x:c r="H566" s="91" t="n">
        <x:v>58.27</x:v>
      </x:c>
      <x:c r="I566" s="87" t="n">
        <x:v>4</x:v>
      </x:c>
    </x:row>
    <x:row r="567">
      <x:c r="A567" s="85" t="n">
        <x:v>566</x:v>
      </x:c>
      <x:c r="B567" s="86" t="n">
        <x:v>129</x:v>
      </x:c>
      <x:c r="C567" s="95" t="n">
        <x:v>45978</x:v>
      </x:c>
      <x:c r="D567" s="95" t="n">
        <x:v>45978</x:v>
      </x:c>
      <x:c r="E567" s="86" t="str">
        <x:v>Atestado médico</x:v>
      </x:c>
      <x:c r="F567" s="86" t="n">
        <x:v>4</x:v>
      </x:c>
      <x:c r="G567" s="86" t="n">
        <x:v>1</x:v>
      </x:c>
      <x:c r="H567" s="91" t="n">
        <x:v>63.03</x:v>
      </x:c>
      <x:c r="I567" s="87" t="n">
        <x:v>1</x:v>
      </x:c>
    </x:row>
    <x:row r="568">
      <x:c r="A568" s="85" t="n">
        <x:v>567</x:v>
      </x:c>
      <x:c r="B568" s="86" t="n">
        <x:v>204</x:v>
      </x:c>
      <x:c r="C568" s="95" t="n">
        <x:v>46010</x:v>
      </x:c>
      <x:c r="D568" s="95" t="n">
        <x:v>46010</x:v>
      </x:c>
      <x:c r="E568" s="86" t="str">
        <x:v>Atraso</x:v>
      </x:c>
      <x:c r="F568" s="86" t="n">
        <x:v>1</x:v>
      </x:c>
      <x:c r="G568" s="86" t="n">
        <x:v>1</x:v>
      </x:c>
      <x:c r="H568" s="91" t="n">
        <x:v>23.01</x:v>
      </x:c>
      <x:c r="I568" s="87" t="n">
        <x:v>6</x:v>
      </x:c>
    </x:row>
    <x:row r="569">
      <x:c r="A569" s="85" t="n">
        <x:v>568</x:v>
      </x:c>
      <x:c r="B569" s="86" t="n">
        <x:v>94</x:v>
      </x:c>
      <x:c r="C569" s="95" t="n">
        <x:v>45924</x:v>
      </x:c>
      <x:c r="D569" s="95" t="n">
        <x:v>45924</x:v>
      </x:c>
      <x:c r="E569" s="86" t="str">
        <x:v>Atestado médico</x:v>
      </x:c>
      <x:c r="F569" s="86" t="n">
        <x:v>8</x:v>
      </x:c>
      <x:c r="G569" s="86" t="n">
        <x:v>1</x:v>
      </x:c>
      <x:c r="H569" s="91" t="n">
        <x:v>556.15</x:v>
      </x:c>
      <x:c r="I569" s="87" t="n">
        <x:v>5</x:v>
      </x:c>
    </x:row>
    <x:row r="570">
      <x:c r="A570" s="85" t="n">
        <x:v>569</x:v>
      </x:c>
      <x:c r="B570" s="86" t="n">
        <x:v>209</x:v>
      </x:c>
      <x:c r="C570" s="95" t="n">
        <x:v>45799</x:v>
      </x:c>
      <x:c r="D570" s="95" t="n">
        <x:v>45799</x:v>
      </x:c>
      <x:c r="E570" s="86" t="str">
        <x:v>Falta não justificada</x:v>
      </x:c>
      <x:c r="F570" s="86" t="n">
        <x:v>2</x:v>
      </x:c>
      <x:c r="G570" s="86" t="n">
        <x:v>0</x:v>
      </x:c>
      <x:c r="H570" s="91" t="n">
        <x:v>63.54</x:v>
      </x:c>
      <x:c r="I570" s="87" t="n">
        <x:v>7</x:v>
      </x:c>
    </x:row>
    <x:row r="571">
      <x:c r="A571" s="85" t="n">
        <x:v>570</x:v>
      </x:c>
      <x:c r="B571" s="86" t="n">
        <x:v>184</x:v>
      </x:c>
      <x:c r="C571" s="95" t="n">
        <x:v>45796</x:v>
      </x:c>
      <x:c r="D571" s="95" t="n">
        <x:v>45796</x:v>
      </x:c>
      <x:c r="E571" s="86" t="str">
        <x:v>Atraso</x:v>
      </x:c>
      <x:c r="F571" s="86" t="n">
        <x:v>2</x:v>
      </x:c>
      <x:c r="G571" s="86" t="n">
        <x:v>1</x:v>
      </x:c>
      <x:c r="H571" s="91" t="n">
        <x:v>20.54</x:v>
      </x:c>
      <x:c r="I571" s="87" t="n">
        <x:v>1</x:v>
      </x:c>
    </x:row>
    <x:row r="572">
      <x:c r="A572" s="85" t="n">
        <x:v>571</x:v>
      </x:c>
      <x:c r="B572" s="86" t="n">
        <x:v>73</x:v>
      </x:c>
      <x:c r="C572" s="95" t="n">
        <x:v>45979</x:v>
      </x:c>
      <x:c r="D572" s="95" t="n">
        <x:v>45980</x:v>
      </x:c>
      <x:c r="E572" s="86" t="str">
        <x:v>Atestado médico</x:v>
      </x:c>
      <x:c r="F572" s="86" t="n">
        <x:v>16</x:v>
      </x:c>
      <x:c r="G572" s="86" t="n">
        <x:v>1</x:v>
      </x:c>
      <x:c r="H572" s="91" t="n">
        <x:v>402.6</x:v>
      </x:c>
      <x:c r="I572" s="87" t="n">
        <x:v>6</x:v>
      </x:c>
    </x:row>
    <x:row r="573">
      <x:c r="A573" s="85" t="n">
        <x:v>572</x:v>
      </x:c>
      <x:c r="B573" s="86" t="n">
        <x:v>328</x:v>
      </x:c>
      <x:c r="C573" s="95" t="n">
        <x:v>45604</x:v>
      </x:c>
      <x:c r="D573" s="95" t="n">
        <x:v>45604</x:v>
      </x:c>
      <x:c r="E573" s="86" t="str">
        <x:v>Atraso</x:v>
      </x:c>
      <x:c r="F573" s="86" t="n">
        <x:v>2</x:v>
      </x:c>
      <x:c r="G573" s="86" t="n">
        <x:v>1</x:v>
      </x:c>
      <x:c r="H573" s="91" t="n">
        <x:v>56.77</x:v>
      </x:c>
      <x:c r="I573" s="87" t="n">
        <x:v>6</x:v>
      </x:c>
    </x:row>
    <x:row r="574">
      <x:c r="A574" s="85" t="n">
        <x:v>573</x:v>
      </x:c>
      <x:c r="B574" s="86" t="n">
        <x:v>217</x:v>
      </x:c>
      <x:c r="C574" s="95" t="n">
        <x:v>45687</x:v>
      </x:c>
      <x:c r="D574" s="95" t="n">
        <x:v>45687</x:v>
      </x:c>
      <x:c r="E574" s="86" t="str">
        <x:v>Atraso</x:v>
      </x:c>
      <x:c r="F574" s="86" t="n">
        <x:v>2</x:v>
      </x:c>
      <x:c r="G574" s="86" t="n">
        <x:v>1</x:v>
      </x:c>
      <x:c r="H574" s="91" t="n">
        <x:v>57.17</x:v>
      </x:c>
      <x:c r="I574" s="87" t="n">
        <x:v>9</x:v>
      </x:c>
    </x:row>
    <x:row r="575">
      <x:c r="A575" s="85" t="n">
        <x:v>574</x:v>
      </x:c>
      <x:c r="B575" s="86" t="n">
        <x:v>331</x:v>
      </x:c>
      <x:c r="C575" s="95" t="n">
        <x:v>45942</x:v>
      </x:c>
      <x:c r="D575" s="95" t="n">
        <x:v>45942</x:v>
      </x:c>
      <x:c r="E575" s="86" t="str">
        <x:v>Atestado médico</x:v>
      </x:c>
      <x:c r="F575" s="86" t="n">
        <x:v>4</x:v>
      </x:c>
      <x:c r="G575" s="86" t="n">
        <x:v>1</x:v>
      </x:c>
      <x:c r="H575" s="91" t="n">
        <x:v>71.4</x:v>
      </x:c>
      <x:c r="I575" s="87" t="n">
        <x:v>3</x:v>
      </x:c>
    </x:row>
    <x:row r="576">
      <x:c r="A576" s="85" t="n">
        <x:v>575</x:v>
      </x:c>
      <x:c r="B576" s="86" t="n">
        <x:v>311</x:v>
      </x:c>
      <x:c r="C576" s="95" t="n">
        <x:v>45650</x:v>
      </x:c>
      <x:c r="D576" s="95" t="n">
        <x:v>45650</x:v>
      </x:c>
      <x:c r="E576" s="86" t="str">
        <x:v>Atraso</x:v>
      </x:c>
      <x:c r="F576" s="86" t="n">
        <x:v>2</x:v>
      </x:c>
      <x:c r="G576" s="86" t="n">
        <x:v>1</x:v>
      </x:c>
      <x:c r="H576" s="91" t="n">
        <x:v>147.85</x:v>
      </x:c>
      <x:c r="I576" s="87" t="n">
        <x:v>5</x:v>
      </x:c>
    </x:row>
    <x:row r="577">
      <x:c r="A577" s="85" t="n">
        <x:v>576</x:v>
      </x:c>
      <x:c r="B577" s="86" t="n">
        <x:v>357</x:v>
      </x:c>
      <x:c r="C577" s="95" t="n">
        <x:v>45961</x:v>
      </x:c>
      <x:c r="D577" s="95" t="n">
        <x:v>45961</x:v>
      </x:c>
      <x:c r="E577" s="86" t="str">
        <x:v>Atestado médico</x:v>
      </x:c>
      <x:c r="F577" s="86" t="n">
        <x:v>4</x:v>
      </x:c>
      <x:c r="G577" s="86" t="n">
        <x:v>1</x:v>
      </x:c>
      <x:c r="H577" s="91" t="n">
        <x:v>132.51</x:v>
      </x:c>
      <x:c r="I577" s="87" t="n">
        <x:v>10</x:v>
      </x:c>
    </x:row>
    <x:row r="578">
      <x:c r="A578" s="85" t="n">
        <x:v>577</x:v>
      </x:c>
      <x:c r="B578" s="86" t="n">
        <x:v>277</x:v>
      </x:c>
      <x:c r="C578" s="95" t="n">
        <x:v>45926</x:v>
      </x:c>
      <x:c r="D578" s="95" t="n">
        <x:v>45928</x:v>
      </x:c>
      <x:c r="E578" s="86" t="str">
        <x:v>Consulta médica</x:v>
      </x:c>
      <x:c r="F578" s="86" t="n">
        <x:v>24</x:v>
      </x:c>
      <x:c r="G578" s="86" t="n">
        <x:v>1</x:v>
      </x:c>
      <x:c r="H578" s="91" t="n">
        <x:v>588.49</x:v>
      </x:c>
      <x:c r="I578" s="87" t="n">
        <x:v>8</x:v>
      </x:c>
    </x:row>
    <x:row r="579">
      <x:c r="A579" s="85" t="n">
        <x:v>578</x:v>
      </x:c>
      <x:c r="B579" s="86" t="n">
        <x:v>89</x:v>
      </x:c>
      <x:c r="C579" s="95" t="n">
        <x:v>45782</x:v>
      </x:c>
      <x:c r="D579" s="95" t="n">
        <x:v>45784</x:v>
      </x:c>
      <x:c r="E579" s="86" t="str">
        <x:v>Atestado médico</x:v>
      </x:c>
      <x:c r="F579" s="86" t="n">
        <x:v>24</x:v>
      </x:c>
      <x:c r="G579" s="86" t="n">
        <x:v>1</x:v>
      </x:c>
      <x:c r="H579" s="91" t="n">
        <x:v>343.55</x:v>
      </x:c>
      <x:c r="I579" s="87" t="n">
        <x:v>3</x:v>
      </x:c>
    </x:row>
    <x:row r="580">
      <x:c r="A580" s="85" t="n">
        <x:v>579</x:v>
      </x:c>
      <x:c r="B580" s="86" t="n">
        <x:v>255</x:v>
      </x:c>
      <x:c r="C580" s="95" t="n">
        <x:v>45341</x:v>
      </x:c>
      <x:c r="D580" s="95" t="n">
        <x:v>45342</x:v>
      </x:c>
      <x:c r="E580" s="86" t="str">
        <x:v>Consulta médica</x:v>
      </x:c>
      <x:c r="F580" s="86" t="n">
        <x:v>16</x:v>
      </x:c>
      <x:c r="G580" s="86" t="n">
        <x:v>1</x:v>
      </x:c>
      <x:c r="H580" s="91" t="n">
        <x:v>237.07</x:v>
      </x:c>
      <x:c r="I580" s="87" t="n">
        <x:v>1</x:v>
      </x:c>
    </x:row>
    <x:row r="581">
      <x:c r="A581" s="85" t="n">
        <x:v>580</x:v>
      </x:c>
      <x:c r="B581" s="86" t="n">
        <x:v>384</x:v>
      </x:c>
      <x:c r="C581" s="95" t="n">
        <x:v>45942</x:v>
      </x:c>
      <x:c r="D581" s="95" t="n">
        <x:v>45944</x:v>
      </x:c>
      <x:c r="E581" s="86" t="str">
        <x:v>Licença</x:v>
      </x:c>
      <x:c r="F581" s="86" t="n">
        <x:v>24</x:v>
      </x:c>
      <x:c r="G581" s="86" t="n">
        <x:v>1</x:v>
      </x:c>
      <x:c r="H581" s="91" t="n">
        <x:v>972.44</x:v>
      </x:c>
      <x:c r="I581" s="87" t="n">
        <x:v>5</x:v>
      </x:c>
    </x:row>
    <x:row r="582">
      <x:c r="A582" s="85" t="n">
        <x:v>581</x:v>
      </x:c>
      <x:c r="B582" s="86" t="n">
        <x:v>8</x:v>
      </x:c>
      <x:c r="C582" s="95" t="n">
        <x:v>45921</x:v>
      </x:c>
      <x:c r="D582" s="95" t="n">
        <x:v>45921</x:v>
      </x:c>
      <x:c r="E582" s="86" t="str">
        <x:v>Atraso</x:v>
      </x:c>
      <x:c r="F582" s="86" t="n">
        <x:v>1</x:v>
      </x:c>
      <x:c r="G582" s="86" t="n">
        <x:v>1</x:v>
      </x:c>
      <x:c r="H582" s="91" t="n">
        <x:v>51.43</x:v>
      </x:c>
      <x:c r="I582" s="87" t="n">
        <x:v>2</x:v>
      </x:c>
    </x:row>
    <x:row r="583">
      <x:c r="A583" s="85" t="n">
        <x:v>582</x:v>
      </x:c>
      <x:c r="B583" s="86" t="n">
        <x:v>377</x:v>
      </x:c>
      <x:c r="C583" s="95" t="n">
        <x:v>45975</x:v>
      </x:c>
      <x:c r="D583" s="95" t="n">
        <x:v>45975</x:v>
      </x:c>
      <x:c r="E583" s="86" t="str">
        <x:v>Atraso</x:v>
      </x:c>
      <x:c r="F583" s="86" t="n">
        <x:v>3</x:v>
      </x:c>
      <x:c r="G583" s="86" t="n">
        <x:v>1</x:v>
      </x:c>
      <x:c r="H583" s="91" t="n">
        <x:v>88.96</x:v>
      </x:c>
      <x:c r="I583" s="87" t="n">
        <x:v>7</x:v>
      </x:c>
    </x:row>
    <x:row r="584">
      <x:c r="A584" s="85" t="n">
        <x:v>583</x:v>
      </x:c>
      <x:c r="B584" s="86" t="n">
        <x:v>2</x:v>
      </x:c>
      <x:c r="C584" s="95" t="n">
        <x:v>45765</x:v>
      </x:c>
      <x:c r="D584" s="95" t="n">
        <x:v>45765</x:v>
      </x:c>
      <x:c r="E584" s="86" t="str">
        <x:v>Atestado médico</x:v>
      </x:c>
      <x:c r="F584" s="86" t="n">
        <x:v>4</x:v>
      </x:c>
      <x:c r="G584" s="86" t="n">
        <x:v>1</x:v>
      </x:c>
      <x:c r="H584" s="91" t="n">
        <x:v>59.68</x:v>
      </x:c>
      <x:c r="I584" s="87" t="n">
        <x:v>3</x:v>
      </x:c>
    </x:row>
    <x:row r="585">
      <x:c r="A585" s="85" t="n">
        <x:v>584</x:v>
      </x:c>
      <x:c r="B585" s="86" t="n">
        <x:v>318</x:v>
      </x:c>
      <x:c r="C585" s="95" t="n">
        <x:v>45781</x:v>
      </x:c>
      <x:c r="D585" s="95" t="n">
        <x:v>45785</x:v>
      </x:c>
      <x:c r="E585" s="86" t="str">
        <x:v>Atestado médico</x:v>
      </x:c>
      <x:c r="F585" s="86" t="n">
        <x:v>40</x:v>
      </x:c>
      <x:c r="G585" s="86" t="n">
        <x:v>1</x:v>
      </x:c>
      <x:c r="H585" s="91" t="n">
        <x:v>1258.73</x:v>
      </x:c>
      <x:c r="I585" s="87" t="n">
        <x:v>5</x:v>
      </x:c>
    </x:row>
    <x:row r="586">
      <x:c r="A586" s="85" t="n">
        <x:v>585</x:v>
      </x:c>
      <x:c r="B586" s="86" t="n">
        <x:v>255</x:v>
      </x:c>
      <x:c r="C586" s="95" t="n">
        <x:v>45636</x:v>
      </x:c>
      <x:c r="D586" s="95" t="n">
        <x:v>45638</x:v>
      </x:c>
      <x:c r="E586" s="86" t="str">
        <x:v>Consulta médica</x:v>
      </x:c>
      <x:c r="F586" s="86" t="n">
        <x:v>24</x:v>
      </x:c>
      <x:c r="G586" s="86" t="n">
        <x:v>1</x:v>
      </x:c>
      <x:c r="H586" s="91" t="n">
        <x:v>355.61</x:v>
      </x:c>
      <x:c r="I586" s="87" t="n">
        <x:v>1</x:v>
      </x:c>
    </x:row>
    <x:row r="587">
      <x:c r="A587" s="85" t="n">
        <x:v>586</x:v>
      </x:c>
      <x:c r="B587" s="86" t="n">
        <x:v>151</x:v>
      </x:c>
      <x:c r="C587" s="95" t="n">
        <x:v>45821</x:v>
      </x:c>
      <x:c r="D587" s="95" t="n">
        <x:v>45821</x:v>
      </x:c>
      <x:c r="E587" s="86" t="str">
        <x:v>Consulta médica</x:v>
      </x:c>
      <x:c r="F587" s="86" t="n">
        <x:v>4</x:v>
      </x:c>
      <x:c r="G587" s="86" t="n">
        <x:v>1</x:v>
      </x:c>
      <x:c r="H587" s="91" t="n">
        <x:v>86.62</x:v>
      </x:c>
      <x:c r="I587" s="87" t="n">
        <x:v>2</x:v>
      </x:c>
    </x:row>
    <x:row r="588">
      <x:c r="A588" s="85" t="n">
        <x:v>587</x:v>
      </x:c>
      <x:c r="B588" s="86" t="n">
        <x:v>111</x:v>
      </x:c>
      <x:c r="C588" s="95" t="n">
        <x:v>45971</x:v>
      </x:c>
      <x:c r="D588" s="95" t="n">
        <x:v>45972</x:v>
      </x:c>
      <x:c r="E588" s="86" t="str">
        <x:v>Atestado médico</x:v>
      </x:c>
      <x:c r="F588" s="86" t="n">
        <x:v>16</x:v>
      </x:c>
      <x:c r="G588" s="86" t="n">
        <x:v>1</x:v>
      </x:c>
      <x:c r="H588" s="91" t="n">
        <x:v>761</x:v>
      </x:c>
      <x:c r="I588" s="87" t="n">
        <x:v>2</x:v>
      </x:c>
    </x:row>
    <x:row r="589">
      <x:c r="A589" s="85" t="n">
        <x:v>588</x:v>
      </x:c>
      <x:c r="B589" s="86" t="n">
        <x:v>153</x:v>
      </x:c>
      <x:c r="C589" s="95" t="n">
        <x:v>45893</x:v>
      </x:c>
      <x:c r="D589" s="95" t="n">
        <x:v>45893</x:v>
      </x:c>
      <x:c r="E589" s="86" t="str">
        <x:v>Atraso</x:v>
      </x:c>
      <x:c r="F589" s="86" t="n">
        <x:v>2</x:v>
      </x:c>
      <x:c r="G589" s="86" t="n">
        <x:v>1</x:v>
      </x:c>
      <x:c r="H589" s="91" t="n">
        <x:v>49.46</x:v>
      </x:c>
      <x:c r="I589" s="87" t="n">
        <x:v>4</x:v>
      </x:c>
    </x:row>
    <x:row r="590">
      <x:c r="A590" s="85" t="n">
        <x:v>589</x:v>
      </x:c>
      <x:c r="B590" s="86" t="n">
        <x:v>394</x:v>
      </x:c>
      <x:c r="C590" s="95" t="n">
        <x:v>45764</x:v>
      </x:c>
      <x:c r="D590" s="95" t="n">
        <x:v>45764</x:v>
      </x:c>
      <x:c r="E590" s="86" t="str">
        <x:v>Atestado médico</x:v>
      </x:c>
      <x:c r="F590" s="86" t="n">
        <x:v>4</x:v>
      </x:c>
      <x:c r="G590" s="86" t="n">
        <x:v>1</x:v>
      </x:c>
      <x:c r="H590" s="91" t="n">
        <x:v>112.19</x:v>
      </x:c>
      <x:c r="I590" s="87" t="n">
        <x:v>9</x:v>
      </x:c>
    </x:row>
    <x:row r="591">
      <x:c r="A591" s="85" t="n">
        <x:v>590</x:v>
      </x:c>
      <x:c r="B591" s="86" t="n">
        <x:v>293</x:v>
      </x:c>
      <x:c r="C591" s="95" t="n">
        <x:v>45888</x:v>
      </x:c>
      <x:c r="D591" s="95" t="n">
        <x:v>45890</x:v>
      </x:c>
      <x:c r="E591" s="86" t="str">
        <x:v>Consulta médica</x:v>
      </x:c>
      <x:c r="F591" s="86" t="n">
        <x:v>24</x:v>
      </x:c>
      <x:c r="G591" s="86" t="n">
        <x:v>1</x:v>
      </x:c>
      <x:c r="H591" s="91" t="n">
        <x:v>317.48</x:v>
      </x:c>
      <x:c r="I591" s="87" t="n">
        <x:v>1</x:v>
      </x:c>
    </x:row>
    <x:row r="592">
      <x:c r="A592" s="85" t="n">
        <x:v>591</x:v>
      </x:c>
      <x:c r="B592" s="86" t="n">
        <x:v>88</x:v>
      </x:c>
      <x:c r="C592" s="95" t="n">
        <x:v>46019</x:v>
      </x:c>
      <x:c r="D592" s="95" t="n">
        <x:v>46019</x:v>
      </x:c>
      <x:c r="E592" s="86" t="str">
        <x:v>Atraso</x:v>
      </x:c>
      <x:c r="F592" s="86" t="n">
        <x:v>3</x:v>
      </x:c>
      <x:c r="G592" s="86" t="n">
        <x:v>1</x:v>
      </x:c>
      <x:c r="H592" s="91" t="n">
        <x:v>41.56</x:v>
      </x:c>
      <x:c r="I592" s="87" t="n">
        <x:v>1</x:v>
      </x:c>
    </x:row>
    <x:row r="593">
      <x:c r="A593" s="85" t="n">
        <x:v>592</x:v>
      </x:c>
      <x:c r="B593" s="86" t="n">
        <x:v>412</x:v>
      </x:c>
      <x:c r="C593" s="95" t="n">
        <x:v>45794</x:v>
      </x:c>
      <x:c r="D593" s="95" t="n">
        <x:v>45794</x:v>
      </x:c>
      <x:c r="E593" s="86" t="str">
        <x:v>Atestado médico</x:v>
      </x:c>
      <x:c r="F593" s="86" t="n">
        <x:v>2</x:v>
      </x:c>
      <x:c r="G593" s="86" t="n">
        <x:v>1</x:v>
      </x:c>
      <x:c r="H593" s="91" t="n">
        <x:v>46.92</x:v>
      </x:c>
      <x:c r="I593" s="87" t="n">
        <x:v>10</x:v>
      </x:c>
    </x:row>
    <x:row r="594">
      <x:c r="A594" s="85" t="n">
        <x:v>593</x:v>
      </x:c>
      <x:c r="B594" s="86" t="n">
        <x:v>134</x:v>
      </x:c>
      <x:c r="C594" s="95" t="n">
        <x:v>45546</x:v>
      </x:c>
      <x:c r="D594" s="95" t="n">
        <x:v>45548</x:v>
      </x:c>
      <x:c r="E594" s="86" t="str">
        <x:v>Licença</x:v>
      </x:c>
      <x:c r="F594" s="86" t="n">
        <x:v>24</x:v>
      </x:c>
      <x:c r="G594" s="86" t="n">
        <x:v>1</x:v>
      </x:c>
      <x:c r="H594" s="91" t="n">
        <x:v>841.58</x:v>
      </x:c>
      <x:c r="I594" s="87" t="n">
        <x:v>5</x:v>
      </x:c>
    </x:row>
    <x:row r="595">
      <x:c r="A595" s="85" t="n">
        <x:v>594</x:v>
      </x:c>
      <x:c r="B595" s="86" t="n">
        <x:v>91</x:v>
      </x:c>
      <x:c r="C595" s="95" t="n">
        <x:v>45816</x:v>
      </x:c>
      <x:c r="D595" s="95" t="n">
        <x:v>45816</x:v>
      </x:c>
      <x:c r="E595" s="86" t="str">
        <x:v>Atraso</x:v>
      </x:c>
      <x:c r="F595" s="86" t="n">
        <x:v>3</x:v>
      </x:c>
      <x:c r="G595" s="86" t="n">
        <x:v>1</x:v>
      </x:c>
      <x:c r="H595" s="91" t="n">
        <x:v>107.4</x:v>
      </x:c>
      <x:c r="I595" s="87" t="n">
        <x:v>1</x:v>
      </x:c>
    </x:row>
    <x:row r="596">
      <x:c r="A596" s="85" t="n">
        <x:v>595</x:v>
      </x:c>
      <x:c r="B596" s="86" t="n">
        <x:v>291</x:v>
      </x:c>
      <x:c r="C596" s="95" t="n">
        <x:v>45817</x:v>
      </x:c>
      <x:c r="D596" s="95" t="n">
        <x:v>45817</x:v>
      </x:c>
      <x:c r="E596" s="86" t="str">
        <x:v>Atestado médico</x:v>
      </x:c>
      <x:c r="F596" s="86" t="n">
        <x:v>2</x:v>
      </x:c>
      <x:c r="G596" s="86" t="n">
        <x:v>1</x:v>
      </x:c>
      <x:c r="H596" s="91" t="n">
        <x:v>45.26</x:v>
      </x:c>
      <x:c r="I596" s="87" t="n">
        <x:v>8</x:v>
      </x:c>
    </x:row>
    <x:row r="597">
      <x:c r="A597" s="85" t="n">
        <x:v>596</x:v>
      </x:c>
      <x:c r="B597" s="86" t="n">
        <x:v>123</x:v>
      </x:c>
      <x:c r="C597" s="95" t="n">
        <x:v>45705</x:v>
      </x:c>
      <x:c r="D597" s="95" t="n">
        <x:v>45705</x:v>
      </x:c>
      <x:c r="E597" s="86" t="str">
        <x:v>Atestado médico</x:v>
      </x:c>
      <x:c r="F597" s="86" t="n">
        <x:v>8</x:v>
      </x:c>
      <x:c r="G597" s="86" t="n">
        <x:v>1</x:v>
      </x:c>
      <x:c r="H597" s="91" t="n">
        <x:v>107.73</x:v>
      </x:c>
      <x:c r="I597" s="87" t="n">
        <x:v>1</x:v>
      </x:c>
    </x:row>
    <x:row r="598">
      <x:c r="A598" s="85" t="n">
        <x:v>597</x:v>
      </x:c>
      <x:c r="B598" s="86" t="n">
        <x:v>363</x:v>
      </x:c>
      <x:c r="C598" s="95" t="n">
        <x:v>45756</x:v>
      </x:c>
      <x:c r="D598" s="95" t="n">
        <x:v>45756</x:v>
      </x:c>
      <x:c r="E598" s="86" t="str">
        <x:v>Atestado médico</x:v>
      </x:c>
      <x:c r="F598" s="86" t="n">
        <x:v>8</x:v>
      </x:c>
      <x:c r="G598" s="86" t="n">
        <x:v>1</x:v>
      </x:c>
      <x:c r="H598" s="91" t="n">
        <x:v>102.94</x:v>
      </x:c>
      <x:c r="I598" s="87" t="n">
        <x:v>1</x:v>
      </x:c>
    </x:row>
    <x:row r="599">
      <x:c r="A599" s="85" t="n">
        <x:v>598</x:v>
      </x:c>
      <x:c r="B599" s="86" t="n">
        <x:v>73</x:v>
      </x:c>
      <x:c r="C599" s="95" t="n">
        <x:v>45931</x:v>
      </x:c>
      <x:c r="D599" s="95" t="n">
        <x:v>45933</x:v>
      </x:c>
      <x:c r="E599" s="86" t="str">
        <x:v>Consulta médica</x:v>
      </x:c>
      <x:c r="F599" s="86" t="n">
        <x:v>24</x:v>
      </x:c>
      <x:c r="G599" s="86" t="n">
        <x:v>1</x:v>
      </x:c>
      <x:c r="H599" s="91" t="n">
        <x:v>603.9</x:v>
      </x:c>
      <x:c r="I599" s="87" t="n">
        <x:v>6</x:v>
      </x:c>
    </x:row>
    <x:row r="600">
      <x:c r="A600" s="85" t="n">
        <x:v>599</x:v>
      </x:c>
      <x:c r="B600" s="86" t="n">
        <x:v>302</x:v>
      </x:c>
      <x:c r="C600" s="95" t="n">
        <x:v>45610</x:v>
      </x:c>
      <x:c r="D600" s="95" t="n">
        <x:v>45610</x:v>
      </x:c>
      <x:c r="E600" s="86" t="str">
        <x:v>Atestado médico</x:v>
      </x:c>
      <x:c r="F600" s="86" t="n">
        <x:v>4</x:v>
      </x:c>
      <x:c r="G600" s="86" t="n">
        <x:v>1</x:v>
      </x:c>
      <x:c r="H600" s="91" t="n">
        <x:v>73.08</x:v>
      </x:c>
      <x:c r="I600" s="87" t="n">
        <x:v>3</x:v>
      </x:c>
    </x:row>
    <x:row r="601">
      <x:c r="A601" s="85" t="n">
        <x:v>600</x:v>
      </x:c>
      <x:c r="B601" s="86" t="n">
        <x:v>238</x:v>
      </x:c>
      <x:c r="C601" s="95" t="n">
        <x:v>45922</x:v>
      </x:c>
      <x:c r="D601" s="95" t="n">
        <x:v>45923</x:v>
      </x:c>
      <x:c r="E601" s="86" t="str">
        <x:v>Atestado médico</x:v>
      </x:c>
      <x:c r="F601" s="86" t="n">
        <x:v>16</x:v>
      </x:c>
      <x:c r="G601" s="86" t="n">
        <x:v>1</x:v>
      </x:c>
      <x:c r="H601" s="91" t="n">
        <x:v>230.3</x:v>
      </x:c>
      <x:c r="I601" s="87" t="n">
        <x:v>1</x:v>
      </x:c>
    </x:row>
    <x:row r="602">
      <x:c r="A602" s="85" t="n">
        <x:v>601</x:v>
      </x:c>
      <x:c r="B602" s="86" t="n">
        <x:v>299</x:v>
      </x:c>
      <x:c r="C602" s="95" t="n">
        <x:v>45932</x:v>
      </x:c>
      <x:c r="D602" s="95" t="n">
        <x:v>45933</x:v>
      </x:c>
      <x:c r="E602" s="86" t="str">
        <x:v>Consulta médica</x:v>
      </x:c>
      <x:c r="F602" s="86" t="n">
        <x:v>16</x:v>
      </x:c>
      <x:c r="G602" s="86" t="n">
        <x:v>1</x:v>
      </x:c>
      <x:c r="H602" s="91" t="n">
        <x:v>206.41</x:v>
      </x:c>
      <x:c r="I602" s="87" t="n">
        <x:v>1</x:v>
      </x:c>
    </x:row>
    <x:row r="603">
      <x:c r="A603" s="85" t="n">
        <x:v>602</x:v>
      </x:c>
      <x:c r="B603" s="86" t="n">
        <x:v>107</x:v>
      </x:c>
      <x:c r="C603" s="95" t="n">
        <x:v>45607</x:v>
      </x:c>
      <x:c r="D603" s="95" t="n">
        <x:v>45607</x:v>
      </x:c>
      <x:c r="E603" s="86" t="str">
        <x:v>Atraso</x:v>
      </x:c>
      <x:c r="F603" s="86" t="n">
        <x:v>1</x:v>
      </x:c>
      <x:c r="G603" s="86" t="n">
        <x:v>1</x:v>
      </x:c>
      <x:c r="H603" s="91" t="n">
        <x:v>24.34</x:v>
      </x:c>
      <x:c r="I603" s="87" t="n">
        <x:v>7</x:v>
      </x:c>
    </x:row>
    <x:row r="604">
      <x:c r="A604" s="85" t="n">
        <x:v>603</x:v>
      </x:c>
      <x:c r="B604" s="86" t="n">
        <x:v>268</x:v>
      </x:c>
      <x:c r="C604" s="95" t="n">
        <x:v>45973</x:v>
      </x:c>
      <x:c r="D604" s="95" t="n">
        <x:v>45977</x:v>
      </x:c>
      <x:c r="E604" s="86" t="str">
        <x:v>Atestado médico</x:v>
      </x:c>
      <x:c r="F604" s="86" t="n">
        <x:v>40</x:v>
      </x:c>
      <x:c r="G604" s="86" t="n">
        <x:v>1</x:v>
      </x:c>
      <x:c r="H604" s="91" t="n">
        <x:v>779.37</x:v>
      </x:c>
      <x:c r="I604" s="87" t="n">
        <x:v>4</x:v>
      </x:c>
    </x:row>
    <x:row r="605">
      <x:c r="A605" s="85" t="n">
        <x:v>604</x:v>
      </x:c>
      <x:c r="B605" s="86" t="n">
        <x:v>13</x:v>
      </x:c>
      <x:c r="C605" s="95" t="n">
        <x:v>45930</x:v>
      </x:c>
      <x:c r="D605" s="95" t="n">
        <x:v>45930</x:v>
      </x:c>
      <x:c r="E605" s="86" t="str">
        <x:v>Atraso</x:v>
      </x:c>
      <x:c r="F605" s="86" t="n">
        <x:v>1</x:v>
      </x:c>
      <x:c r="G605" s="86" t="n">
        <x:v>1</x:v>
      </x:c>
      <x:c r="H605" s="91" t="n">
        <x:v>87.65</x:v>
      </x:c>
      <x:c r="I605" s="87" t="n">
        <x:v>9</x:v>
      </x:c>
    </x:row>
    <x:row r="606">
      <x:c r="A606" s="85" t="n">
        <x:v>605</x:v>
      </x:c>
      <x:c r="B606" s="86" t="n">
        <x:v>388</x:v>
      </x:c>
      <x:c r="C606" s="95" t="n">
        <x:v>45655</x:v>
      </x:c>
      <x:c r="D606" s="95" t="n">
        <x:v>45659</x:v>
      </x:c>
      <x:c r="E606" s="86" t="str">
        <x:v>Atestado médico</x:v>
      </x:c>
      <x:c r="F606" s="86" t="n">
        <x:v>40</x:v>
      </x:c>
      <x:c r="G606" s="86" t="n">
        <x:v>1</x:v>
      </x:c>
      <x:c r="H606" s="91" t="n">
        <x:v>501.32</x:v>
      </x:c>
      <x:c r="I606" s="87" t="n">
        <x:v>1</x:v>
      </x:c>
    </x:row>
    <x:row r="607">
      <x:c r="A607" s="85" t="n">
        <x:v>606</x:v>
      </x:c>
      <x:c r="B607" s="86" t="n">
        <x:v>329</x:v>
      </x:c>
      <x:c r="C607" s="95" t="n">
        <x:v>45743</x:v>
      </x:c>
      <x:c r="D607" s="95" t="n">
        <x:v>45747</x:v>
      </x:c>
      <x:c r="E607" s="86" t="str">
        <x:v>Atestado médico</x:v>
      </x:c>
      <x:c r="F607" s="86" t="n">
        <x:v>40</x:v>
      </x:c>
      <x:c r="G607" s="86" t="n">
        <x:v>1</x:v>
      </x:c>
      <x:c r="H607" s="91" t="n">
        <x:v>1305.74</x:v>
      </x:c>
      <x:c r="I607" s="87" t="n">
        <x:v>7</x:v>
      </x:c>
    </x:row>
    <x:row r="608">
      <x:c r="A608" s="85" t="n">
        <x:v>607</x:v>
      </x:c>
      <x:c r="B608" s="86" t="n">
        <x:v>348</x:v>
      </x:c>
      <x:c r="C608" s="95" t="n">
        <x:v>45843</x:v>
      </x:c>
      <x:c r="D608" s="95" t="n">
        <x:v>45845</x:v>
      </x:c>
      <x:c r="E608" s="86" t="str">
        <x:v>Consulta médica</x:v>
      </x:c>
      <x:c r="F608" s="86" t="n">
        <x:v>24</x:v>
      </x:c>
      <x:c r="G608" s="86" t="n">
        <x:v>1</x:v>
      </x:c>
      <x:c r="H608" s="91" t="n">
        <x:v>526.46</x:v>
      </x:c>
      <x:c r="I608" s="87" t="n">
        <x:v>7</x:v>
      </x:c>
    </x:row>
    <x:row r="609">
      <x:c r="A609" s="85" t="n">
        <x:v>608</x:v>
      </x:c>
      <x:c r="B609" s="86" t="n">
        <x:v>160</x:v>
      </x:c>
      <x:c r="C609" s="95" t="n">
        <x:v>45716</x:v>
      </x:c>
      <x:c r="D609" s="95" t="n">
        <x:v>45716</x:v>
      </x:c>
      <x:c r="E609" s="86" t="str">
        <x:v>Licença</x:v>
      </x:c>
      <x:c r="F609" s="86" t="n">
        <x:v>2</x:v>
      </x:c>
      <x:c r="G609" s="86" t="n">
        <x:v>1</x:v>
      </x:c>
      <x:c r="H609" s="91" t="n">
        <x:v>25.8</x:v>
      </x:c>
      <x:c r="I609" s="87" t="n">
        <x:v>8</x:v>
      </x:c>
    </x:row>
    <x:row r="610">
      <x:c r="A610" s="85" t="n">
        <x:v>609</x:v>
      </x:c>
      <x:c r="B610" s="86" t="n">
        <x:v>141</x:v>
      </x:c>
      <x:c r="C610" s="95" t="n">
        <x:v>45895</x:v>
      </x:c>
      <x:c r="D610" s="95" t="n">
        <x:v>45897</x:v>
      </x:c>
      <x:c r="E610" s="86" t="str">
        <x:v>Atestado médico</x:v>
      </x:c>
      <x:c r="F610" s="86" t="n">
        <x:v>24</x:v>
      </x:c>
      <x:c r="G610" s="86" t="n">
        <x:v>1</x:v>
      </x:c>
      <x:c r="H610" s="91" t="n">
        <x:v>473.72</x:v>
      </x:c>
      <x:c r="I610" s="87" t="n">
        <x:v>4</x:v>
      </x:c>
    </x:row>
    <x:row r="611">
      <x:c r="A611" s="85" t="n">
        <x:v>610</x:v>
      </x:c>
      <x:c r="B611" s="86" t="n">
        <x:v>108</x:v>
      </x:c>
      <x:c r="C611" s="95" t="n">
        <x:v>45541</x:v>
      </x:c>
      <x:c r="D611" s="95" t="n">
        <x:v>45541</x:v>
      </x:c>
      <x:c r="E611" s="86" t="str">
        <x:v>Licença</x:v>
      </x:c>
      <x:c r="F611" s="86" t="n">
        <x:v>2</x:v>
      </x:c>
      <x:c r="G611" s="86" t="n">
        <x:v>1</x:v>
      </x:c>
      <x:c r="H611" s="91" t="n">
        <x:v>23.75</x:v>
      </x:c>
      <x:c r="I611" s="87" t="n">
        <x:v>1</x:v>
      </x:c>
    </x:row>
    <x:row r="612">
      <x:c r="A612" s="85" t="n">
        <x:v>611</x:v>
      </x:c>
      <x:c r="B612" s="86" t="n">
        <x:v>314</x:v>
      </x:c>
      <x:c r="C612" s="95" t="n">
        <x:v>45985</x:v>
      </x:c>
      <x:c r="D612" s="95" t="n">
        <x:v>45985</x:v>
      </x:c>
      <x:c r="E612" s="86" t="str">
        <x:v>Atraso</x:v>
      </x:c>
      <x:c r="F612" s="86" t="n">
        <x:v>1</x:v>
      </x:c>
      <x:c r="G612" s="86" t="n">
        <x:v>1</x:v>
      </x:c>
      <x:c r="H612" s="91" t="n">
        <x:v>21.21</x:v>
      </x:c>
      <x:c r="I612" s="87" t="n">
        <x:v>8</x:v>
      </x:c>
    </x:row>
    <x:row r="613">
      <x:c r="A613" s="85" t="n">
        <x:v>612</x:v>
      </x:c>
      <x:c r="B613" s="86" t="n">
        <x:v>153</x:v>
      </x:c>
      <x:c r="C613" s="95" t="n">
        <x:v>45465</x:v>
      </x:c>
      <x:c r="D613" s="95" t="n">
        <x:v>45465</x:v>
      </x:c>
      <x:c r="E613" s="86" t="str">
        <x:v>Atestado médico</x:v>
      </x:c>
      <x:c r="F613" s="86" t="n">
        <x:v>4</x:v>
      </x:c>
      <x:c r="G613" s="86" t="n">
        <x:v>1</x:v>
      </x:c>
      <x:c r="H613" s="91" t="n">
        <x:v>98.93</x:v>
      </x:c>
      <x:c r="I613" s="87" t="n">
        <x:v>4</x:v>
      </x:c>
    </x:row>
    <x:row r="614">
      <x:c r="A614" s="85" t="n">
        <x:v>613</x:v>
      </x:c>
      <x:c r="B614" s="86" t="n">
        <x:v>217</x:v>
      </x:c>
      <x:c r="C614" s="95" t="n">
        <x:v>45655</x:v>
      </x:c>
      <x:c r="D614" s="95" t="n">
        <x:v>45655</x:v>
      </x:c>
      <x:c r="E614" s="86" t="str">
        <x:v>Consulta médica</x:v>
      </x:c>
      <x:c r="F614" s="86" t="n">
        <x:v>2</x:v>
      </x:c>
      <x:c r="G614" s="86" t="n">
        <x:v>1</x:v>
      </x:c>
      <x:c r="H614" s="91" t="n">
        <x:v>57.17</x:v>
      </x:c>
      <x:c r="I614" s="87" t="n">
        <x:v>9</x:v>
      </x:c>
    </x:row>
    <x:row r="615">
      <x:c r="A615" s="85" t="n">
        <x:v>614</x:v>
      </x:c>
      <x:c r="B615" s="86" t="n">
        <x:v>321</x:v>
      </x:c>
      <x:c r="C615" s="95" t="n">
        <x:v>45560</x:v>
      </x:c>
      <x:c r="D615" s="95" t="n">
        <x:v>45560</x:v>
      </x:c>
      <x:c r="E615" s="86" t="str">
        <x:v>Falta não justificada</x:v>
      </x:c>
      <x:c r="F615" s="86" t="n">
        <x:v>8</x:v>
      </x:c>
      <x:c r="G615" s="86" t="n">
        <x:v>0</x:v>
      </x:c>
      <x:c r="H615" s="91" t="n">
        <x:v>114.58</x:v>
      </x:c>
      <x:c r="I615" s="87" t="n">
        <x:v>7</x:v>
      </x:c>
    </x:row>
    <x:row r="616">
      <x:c r="A616" s="85" t="n">
        <x:v>615</x:v>
      </x:c>
      <x:c r="B616" s="86" t="n">
        <x:v>385</x:v>
      </x:c>
      <x:c r="C616" s="95" t="n">
        <x:v>46011</x:v>
      </x:c>
      <x:c r="D616" s="95" t="n">
        <x:v>46012</x:v>
      </x:c>
      <x:c r="E616" s="86" t="str">
        <x:v>Atestado médico</x:v>
      </x:c>
      <x:c r="F616" s="86" t="n">
        <x:v>16</x:v>
      </x:c>
      <x:c r="G616" s="86" t="n">
        <x:v>1</x:v>
      </x:c>
      <x:c r="H616" s="91" t="n">
        <x:v>240.15</x:v>
      </x:c>
      <x:c r="I616" s="87" t="n">
        <x:v>3</x:v>
      </x:c>
    </x:row>
    <x:row r="617">
      <x:c r="A617" s="85" t="n">
        <x:v>616</x:v>
      </x:c>
      <x:c r="B617" s="86" t="n">
        <x:v>252</x:v>
      </x:c>
      <x:c r="C617" s="95" t="n">
        <x:v>45842</x:v>
      </x:c>
      <x:c r="D617" s="95" t="n">
        <x:v>45842</x:v>
      </x:c>
      <x:c r="E617" s="86" t="str">
        <x:v>Atestado médico</x:v>
      </x:c>
      <x:c r="F617" s="86" t="n">
        <x:v>2</x:v>
      </x:c>
      <x:c r="G617" s="86" t="n">
        <x:v>1</x:v>
      </x:c>
      <x:c r="H617" s="91" t="n">
        <x:v>93.97</x:v>
      </x:c>
      <x:c r="I617" s="87" t="n">
        <x:v>5</x:v>
      </x:c>
    </x:row>
    <x:row r="618">
      <x:c r="A618" s="85" t="n">
        <x:v>617</x:v>
      </x:c>
      <x:c r="B618" s="86" t="n">
        <x:v>43</x:v>
      </x:c>
      <x:c r="C618" s="95" t="n">
        <x:v>46022</x:v>
      </x:c>
      <x:c r="D618" s="95" t="n">
        <x:v>46023</x:v>
      </x:c>
      <x:c r="E618" s="86" t="str">
        <x:v>Atestado médico</x:v>
      </x:c>
      <x:c r="F618" s="86" t="n">
        <x:v>16</x:v>
      </x:c>
      <x:c r="G618" s="86" t="n">
        <x:v>1</x:v>
      </x:c>
      <x:c r="H618" s="91" t="n">
        <x:v>335.54</x:v>
      </x:c>
      <x:c r="I618" s="87" t="n">
        <x:v>2</x:v>
      </x:c>
    </x:row>
    <x:row r="619">
      <x:c r="A619" s="85" t="n">
        <x:v>618</x:v>
      </x:c>
      <x:c r="B619" s="86" t="n">
        <x:v>310</x:v>
      </x:c>
      <x:c r="C619" s="95" t="n">
        <x:v>45920</x:v>
      </x:c>
      <x:c r="D619" s="95" t="n">
        <x:v>45924</x:v>
      </x:c>
      <x:c r="E619" s="86" t="str">
        <x:v>Atestado médico</x:v>
      </x:c>
      <x:c r="F619" s="86" t="n">
        <x:v>40</x:v>
      </x:c>
      <x:c r="G619" s="86" t="n">
        <x:v>1</x:v>
      </x:c>
      <x:c r="H619" s="91" t="n">
        <x:v>493.41</x:v>
      </x:c>
      <x:c r="I619" s="87" t="n">
        <x:v>1</x:v>
      </x:c>
    </x:row>
    <x:row r="620">
      <x:c r="A620" s="85" t="n">
        <x:v>619</x:v>
      </x:c>
      <x:c r="B620" s="86" t="n">
        <x:v>395</x:v>
      </x:c>
      <x:c r="C620" s="95" t="n">
        <x:v>45965</x:v>
      </x:c>
      <x:c r="D620" s="95" t="n">
        <x:v>45965</x:v>
      </x:c>
      <x:c r="E620" s="86" t="str">
        <x:v>Atraso</x:v>
      </x:c>
      <x:c r="F620" s="86" t="n">
        <x:v>2</x:v>
      </x:c>
      <x:c r="G620" s="86" t="n">
        <x:v>1</x:v>
      </x:c>
      <x:c r="H620" s="91" t="n">
        <x:v>54.06</x:v>
      </x:c>
      <x:c r="I620" s="87" t="n">
        <x:v>4</x:v>
      </x:c>
    </x:row>
    <x:row r="621">
      <x:c r="A621" s="85" t="n">
        <x:v>620</x:v>
      </x:c>
      <x:c r="B621" s="86" t="n">
        <x:v>359</x:v>
      </x:c>
      <x:c r="C621" s="95" t="n">
        <x:v>45849</x:v>
      </x:c>
      <x:c r="D621" s="95" t="n">
        <x:v>45851</x:v>
      </x:c>
      <x:c r="E621" s="86" t="str">
        <x:v>Atestado médico</x:v>
      </x:c>
      <x:c r="F621" s="86" t="n">
        <x:v>24</x:v>
      </x:c>
      <x:c r="G621" s="86" t="n">
        <x:v>1</x:v>
      </x:c>
      <x:c r="H621" s="91" t="n">
        <x:v>320.5</x:v>
      </x:c>
      <x:c r="I621" s="87" t="n">
        <x:v>1</x:v>
      </x:c>
    </x:row>
    <x:row r="622">
      <x:c r="A622" s="85" t="n">
        <x:v>621</x:v>
      </x:c>
      <x:c r="B622" s="86" t="n">
        <x:v>35</x:v>
      </x:c>
      <x:c r="C622" s="95" t="n">
        <x:v>45488</x:v>
      </x:c>
      <x:c r="D622" s="95" t="n">
        <x:v>45488</x:v>
      </x:c>
      <x:c r="E622" s="86" t="str">
        <x:v>Consulta médica</x:v>
      </x:c>
      <x:c r="F622" s="86" t="n">
        <x:v>8</x:v>
      </x:c>
      <x:c r="G622" s="86" t="n">
        <x:v>1</x:v>
      </x:c>
      <x:c r="H622" s="91" t="n">
        <x:v>267.57</x:v>
      </x:c>
      <x:c r="I622" s="87" t="n">
        <x:v>6</x:v>
      </x:c>
    </x:row>
    <x:row r="623">
      <x:c r="A623" s="85" t="n">
        <x:v>622</x:v>
      </x:c>
      <x:c r="B623" s="86" t="n">
        <x:v>240</x:v>
      </x:c>
      <x:c r="C623" s="95" t="n">
        <x:v>46017</x:v>
      </x:c>
      <x:c r="D623" s="95" t="n">
        <x:v>46021</x:v>
      </x:c>
      <x:c r="E623" s="86" t="str">
        <x:v>Atestado médico</x:v>
      </x:c>
      <x:c r="F623" s="86" t="n">
        <x:v>40</x:v>
      </x:c>
      <x:c r="G623" s="86" t="n">
        <x:v>1</x:v>
      </x:c>
      <x:c r="H623" s="91" t="n">
        <x:v>1686.48</x:v>
      </x:c>
      <x:c r="I623" s="87" t="n">
        <x:v>9</x:v>
      </x:c>
    </x:row>
    <x:row r="624">
      <x:c r="A624" s="85" t="n">
        <x:v>623</x:v>
      </x:c>
      <x:c r="B624" s="86" t="n">
        <x:v>413</x:v>
      </x:c>
      <x:c r="C624" s="95" t="n">
        <x:v>46006</x:v>
      </x:c>
      <x:c r="D624" s="95" t="n">
        <x:v>46006</x:v>
      </x:c>
      <x:c r="E624" s="86" t="str">
        <x:v>Atraso</x:v>
      </x:c>
      <x:c r="F624" s="86" t="n">
        <x:v>3</x:v>
      </x:c>
      <x:c r="G624" s="86" t="n">
        <x:v>1</x:v>
      </x:c>
      <x:c r="H624" s="91" t="n">
        <x:v>31.65</x:v>
      </x:c>
      <x:c r="I624" s="87" t="n">
        <x:v>1</x:v>
      </x:c>
    </x:row>
    <x:row r="625">
      <x:c r="A625" s="85" t="n">
        <x:v>624</x:v>
      </x:c>
      <x:c r="B625" s="86" t="n">
        <x:v>279</x:v>
      </x:c>
      <x:c r="C625" s="95" t="n">
        <x:v>45778</x:v>
      </x:c>
      <x:c r="D625" s="95" t="n">
        <x:v>45778</x:v>
      </x:c>
      <x:c r="E625" s="86" t="str">
        <x:v>Atraso</x:v>
      </x:c>
      <x:c r="F625" s="86" t="n">
        <x:v>1</x:v>
      </x:c>
      <x:c r="G625" s="86" t="n">
        <x:v>1</x:v>
      </x:c>
      <x:c r="H625" s="91" t="n">
        <x:v>37.57</x:v>
      </x:c>
      <x:c r="I625" s="87" t="n">
        <x:v>6</x:v>
      </x:c>
    </x:row>
    <x:row r="626">
      <x:c r="A626" s="85" t="n">
        <x:v>625</x:v>
      </x:c>
      <x:c r="B626" s="86" t="n">
        <x:v>6</x:v>
      </x:c>
      <x:c r="C626" s="95" t="n">
        <x:v>45916</x:v>
      </x:c>
      <x:c r="D626" s="95" t="n">
        <x:v>45916</x:v>
      </x:c>
      <x:c r="E626" s="86" t="str">
        <x:v>Atraso</x:v>
      </x:c>
      <x:c r="F626" s="86" t="n">
        <x:v>3</x:v>
      </x:c>
      <x:c r="G626" s="86" t="n">
        <x:v>1</x:v>
      </x:c>
      <x:c r="H626" s="91" t="n">
        <x:v>49.87</x:v>
      </x:c>
      <x:c r="I626" s="87" t="n">
        <x:v>3</x:v>
      </x:c>
    </x:row>
    <x:row r="627">
      <x:c r="A627" s="85" t="n">
        <x:v>626</x:v>
      </x:c>
      <x:c r="B627" s="86" t="n">
        <x:v>210</x:v>
      </x:c>
      <x:c r="C627" s="95" t="n">
        <x:v>45928</x:v>
      </x:c>
      <x:c r="D627" s="95" t="n">
        <x:v>45929</x:v>
      </x:c>
      <x:c r="E627" s="86" t="str">
        <x:v>Falta não justificada</x:v>
      </x:c>
      <x:c r="F627" s="86" t="n">
        <x:v>16</x:v>
      </x:c>
      <x:c r="G627" s="86" t="n">
        <x:v>0</x:v>
      </x:c>
      <x:c r="H627" s="91" t="n">
        <x:v>239.18</x:v>
      </x:c>
      <x:c r="I627" s="87" t="n">
        <x:v>1</x:v>
      </x:c>
    </x:row>
    <x:row r="628">
      <x:c r="A628" s="85" t="n">
        <x:v>627</x:v>
      </x:c>
      <x:c r="B628" s="86" t="n">
        <x:v>179</x:v>
      </x:c>
      <x:c r="C628" s="95" t="n">
        <x:v>45858</x:v>
      </x:c>
      <x:c r="D628" s="95" t="n">
        <x:v>45862</x:v>
      </x:c>
      <x:c r="E628" s="86" t="str">
        <x:v>Consulta médica</x:v>
      </x:c>
      <x:c r="F628" s="86" t="n">
        <x:v>40</x:v>
      </x:c>
      <x:c r="G628" s="86" t="n">
        <x:v>1</x:v>
      </x:c>
      <x:c r="H628" s="91" t="n">
        <x:v>1318.54</x:v>
      </x:c>
      <x:c r="I628" s="87" t="n">
        <x:v>8</x:v>
      </x:c>
    </x:row>
    <x:row r="629">
      <x:c r="A629" s="85" t="n">
        <x:v>628</x:v>
      </x:c>
      <x:c r="B629" s="86" t="n">
        <x:v>362</x:v>
      </x:c>
      <x:c r="C629" s="95" t="n">
        <x:v>45974</x:v>
      </x:c>
      <x:c r="D629" s="95" t="n">
        <x:v>45974</x:v>
      </x:c>
      <x:c r="E629" s="86" t="str">
        <x:v>Consulta médica</x:v>
      </x:c>
      <x:c r="F629" s="86" t="n">
        <x:v>4</x:v>
      </x:c>
      <x:c r="G629" s="86" t="n">
        <x:v>1</x:v>
      </x:c>
      <x:c r="H629" s="91" t="n">
        <x:v>90.21</x:v>
      </x:c>
      <x:c r="I629" s="87" t="n">
        <x:v>10</x:v>
      </x:c>
    </x:row>
    <x:row r="630">
      <x:c r="A630" s="85" t="n">
        <x:v>629</x:v>
      </x:c>
      <x:c r="B630" s="86" t="n">
        <x:v>200</x:v>
      </x:c>
      <x:c r="C630" s="95" t="n">
        <x:v>45354</x:v>
      </x:c>
      <x:c r="D630" s="95" t="n">
        <x:v>45356</x:v>
      </x:c>
      <x:c r="E630" s="86" t="str">
        <x:v>Falta não justificada</x:v>
      </x:c>
      <x:c r="F630" s="86" t="n">
        <x:v>24</x:v>
      </x:c>
      <x:c r="G630" s="86" t="n">
        <x:v>0</x:v>
      </x:c>
      <x:c r="H630" s="91" t="n">
        <x:v>698.47</x:v>
      </x:c>
      <x:c r="I630" s="87" t="n">
        <x:v>8</x:v>
      </x:c>
    </x:row>
    <x:row r="631">
      <x:c r="A631" s="85" t="n">
        <x:v>630</x:v>
      </x:c>
      <x:c r="B631" s="86" t="n">
        <x:v>3</x:v>
      </x:c>
      <x:c r="C631" s="95" t="n">
        <x:v>45385</x:v>
      </x:c>
      <x:c r="D631" s="95" t="n">
        <x:v>45385</x:v>
      </x:c>
      <x:c r="E631" s="86" t="str">
        <x:v>Atraso</x:v>
      </x:c>
      <x:c r="F631" s="86" t="n">
        <x:v>1</x:v>
      </x:c>
      <x:c r="G631" s="86" t="n">
        <x:v>1</x:v>
      </x:c>
      <x:c r="H631" s="91" t="n">
        <x:v>14.89</x:v>
      </x:c>
      <x:c r="I631" s="87" t="n">
        <x:v>1</x:v>
      </x:c>
    </x:row>
    <x:row r="632">
      <x:c r="A632" s="85" t="n">
        <x:v>631</x:v>
      </x:c>
      <x:c r="B632" s="86" t="n">
        <x:v>278</x:v>
      </x:c>
      <x:c r="C632" s="95" t="n">
        <x:v>45458</x:v>
      </x:c>
      <x:c r="D632" s="95" t="n">
        <x:v>45458</x:v>
      </x:c>
      <x:c r="E632" s="86" t="str">
        <x:v>Atestado médico</x:v>
      </x:c>
      <x:c r="F632" s="86" t="n">
        <x:v>4</x:v>
      </x:c>
      <x:c r="G632" s="86" t="n">
        <x:v>1</x:v>
      </x:c>
      <x:c r="H632" s="91" t="n">
        <x:v>117.4</x:v>
      </x:c>
      <x:c r="I632" s="87" t="n">
        <x:v>4</x:v>
      </x:c>
    </x:row>
    <x:row r="633">
      <x:c r="A633" s="85" t="n">
        <x:v>632</x:v>
      </x:c>
      <x:c r="B633" s="86" t="n">
        <x:v>104</x:v>
      </x:c>
      <x:c r="C633" s="95" t="n">
        <x:v>45617</x:v>
      </x:c>
      <x:c r="D633" s="95" t="n">
        <x:v>45617</x:v>
      </x:c>
      <x:c r="E633" s="86" t="str">
        <x:v>Atraso</x:v>
      </x:c>
      <x:c r="F633" s="86" t="n">
        <x:v>1</x:v>
      </x:c>
      <x:c r="G633" s="86" t="n">
        <x:v>1</x:v>
      </x:c>
      <x:c r="H633" s="91" t="n">
        <x:v>47.97</x:v>
      </x:c>
      <x:c r="I633" s="87" t="n">
        <x:v>2</x:v>
      </x:c>
    </x:row>
    <x:row r="634">
      <x:c r="A634" s="85" t="n">
        <x:v>633</x:v>
      </x:c>
      <x:c r="B634" s="86" t="n">
        <x:v>213</x:v>
      </x:c>
      <x:c r="C634" s="95" t="n">
        <x:v>45900</x:v>
      </x:c>
      <x:c r="D634" s="95" t="n">
        <x:v>45900</x:v>
      </x:c>
      <x:c r="E634" s="86" t="str">
        <x:v>Atraso</x:v>
      </x:c>
      <x:c r="F634" s="86" t="n">
        <x:v>2</x:v>
      </x:c>
      <x:c r="G634" s="86" t="n">
        <x:v>1</x:v>
      </x:c>
      <x:c r="H634" s="91" t="n">
        <x:v>32.37</x:v>
      </x:c>
      <x:c r="I634" s="87" t="n">
        <x:v>2</x:v>
      </x:c>
    </x:row>
    <x:row r="635">
      <x:c r="A635" s="85" t="n">
        <x:v>634</x:v>
      </x:c>
      <x:c r="B635" s="86" t="n">
        <x:v>6</x:v>
      </x:c>
      <x:c r="C635" s="95" t="n">
        <x:v>45915</x:v>
      </x:c>
      <x:c r="D635" s="95" t="n">
        <x:v>45915</x:v>
      </x:c>
      <x:c r="E635" s="86" t="str">
        <x:v>Atraso</x:v>
      </x:c>
      <x:c r="F635" s="86" t="n">
        <x:v>1</x:v>
      </x:c>
      <x:c r="G635" s="86" t="n">
        <x:v>1</x:v>
      </x:c>
      <x:c r="H635" s="91" t="n">
        <x:v>16.62</x:v>
      </x:c>
      <x:c r="I635" s="87" t="n">
        <x:v>3</x:v>
      </x:c>
    </x:row>
    <x:row r="636">
      <x:c r="A636" s="85" t="n">
        <x:v>635</x:v>
      </x:c>
      <x:c r="B636" s="86" t="n">
        <x:v>4</x:v>
      </x:c>
      <x:c r="C636" s="95" t="n">
        <x:v>45940</x:v>
      </x:c>
      <x:c r="D636" s="95" t="n">
        <x:v>45940</x:v>
      </x:c>
      <x:c r="E636" s="86" t="str">
        <x:v>Atestado médico</x:v>
      </x:c>
      <x:c r="F636" s="86" t="n">
        <x:v>1</x:v>
      </x:c>
      <x:c r="G636" s="86" t="n">
        <x:v>1</x:v>
      </x:c>
      <x:c r="H636" s="91" t="n">
        <x:v>21.03</x:v>
      </x:c>
      <x:c r="I636" s="87" t="n">
        <x:v>3</x:v>
      </x:c>
    </x:row>
    <x:row r="637">
      <x:c r="A637" s="85" t="n">
        <x:v>636</x:v>
      </x:c>
      <x:c r="B637" s="86" t="n">
        <x:v>65</x:v>
      </x:c>
      <x:c r="C637" s="95" t="n">
        <x:v>45982</x:v>
      </x:c>
      <x:c r="D637" s="95" t="n">
        <x:v>45982</x:v>
      </x:c>
      <x:c r="E637" s="86" t="str">
        <x:v>Licença</x:v>
      </x:c>
      <x:c r="F637" s="86" t="n">
        <x:v>4</x:v>
      </x:c>
      <x:c r="G637" s="86" t="n">
        <x:v>1</x:v>
      </x:c>
      <x:c r="H637" s="91" t="n">
        <x:v>290.81</x:v>
      </x:c>
      <x:c r="I637" s="87" t="n">
        <x:v>6</x:v>
      </x:c>
    </x:row>
    <x:row r="638">
      <x:c r="A638" s="85" t="n">
        <x:v>637</x:v>
      </x:c>
      <x:c r="B638" s="86" t="n">
        <x:v>174</x:v>
      </x:c>
      <x:c r="C638" s="95" t="n">
        <x:v>45788</x:v>
      </x:c>
      <x:c r="D638" s="95" t="n">
        <x:v>45792</x:v>
      </x:c>
      <x:c r="E638" s="86" t="str">
        <x:v>Consulta médica</x:v>
      </x:c>
      <x:c r="F638" s="86" t="n">
        <x:v>40</x:v>
      </x:c>
      <x:c r="G638" s="86" t="n">
        <x:v>1</x:v>
      </x:c>
      <x:c r="H638" s="91" t="n">
        <x:v>921.97</x:v>
      </x:c>
      <x:c r="I638" s="87" t="n">
        <x:v>2</x:v>
      </x:c>
    </x:row>
    <x:row r="639">
      <x:c r="A639" s="85" t="n">
        <x:v>638</x:v>
      </x:c>
      <x:c r="B639" s="86" t="n">
        <x:v>224</x:v>
      </x:c>
      <x:c r="C639" s="95" t="n">
        <x:v>45851</x:v>
      </x:c>
      <x:c r="D639" s="95" t="n">
        <x:v>45852</x:v>
      </x:c>
      <x:c r="E639" s="86" t="str">
        <x:v>Atestado médico</x:v>
      </x:c>
      <x:c r="F639" s="86" t="n">
        <x:v>16</x:v>
      </x:c>
      <x:c r="G639" s="86" t="n">
        <x:v>1</x:v>
      </x:c>
      <x:c r="H639" s="91" t="n">
        <x:v>169.71</x:v>
      </x:c>
      <x:c r="I639" s="87" t="n">
        <x:v>1</x:v>
      </x:c>
    </x:row>
    <x:row r="640">
      <x:c r="A640" s="85" t="n">
        <x:v>639</x:v>
      </x:c>
      <x:c r="B640" s="86" t="n">
        <x:v>58</x:v>
      </x:c>
      <x:c r="C640" s="95" t="n">
        <x:v>45838</x:v>
      </x:c>
      <x:c r="D640" s="95" t="n">
        <x:v>45840</x:v>
      </x:c>
      <x:c r="E640" s="86" t="str">
        <x:v>Atestado médico</x:v>
      </x:c>
      <x:c r="F640" s="86" t="n">
        <x:v>24</x:v>
      </x:c>
      <x:c r="G640" s="86" t="n">
        <x:v>1</x:v>
      </x:c>
      <x:c r="H640" s="91" t="n">
        <x:v>528.17</x:v>
      </x:c>
      <x:c r="I640" s="87" t="n">
        <x:v>6</x:v>
      </x:c>
    </x:row>
    <x:row r="641">
      <x:c r="A641" s="85" t="n">
        <x:v>640</x:v>
      </x:c>
      <x:c r="B641" s="86" t="n">
        <x:v>123</x:v>
      </x:c>
      <x:c r="C641" s="95" t="n">
        <x:v>45431</x:v>
      </x:c>
      <x:c r="D641" s="95" t="n">
        <x:v>45431</x:v>
      </x:c>
      <x:c r="E641" s="86" t="str">
        <x:v>Licença</x:v>
      </x:c>
      <x:c r="F641" s="86" t="n">
        <x:v>8</x:v>
      </x:c>
      <x:c r="G641" s="86" t="n">
        <x:v>1</x:v>
      </x:c>
      <x:c r="H641" s="91" t="n">
        <x:v>107.73</x:v>
      </x:c>
      <x:c r="I641" s="87" t="n">
        <x:v>1</x:v>
      </x:c>
    </x:row>
    <x:row r="642">
      <x:c r="A642" s="85" t="n">
        <x:v>641</x:v>
      </x:c>
      <x:c r="B642" s="86" t="n">
        <x:v>144</x:v>
      </x:c>
      <x:c r="C642" s="95" t="n">
        <x:v>45967</x:v>
      </x:c>
      <x:c r="D642" s="95" t="n">
        <x:v>45967</x:v>
      </x:c>
      <x:c r="E642" s="86" t="str">
        <x:v>Consulta médica</x:v>
      </x:c>
      <x:c r="F642" s="86" t="n">
        <x:v>8</x:v>
      </x:c>
      <x:c r="G642" s="86" t="n">
        <x:v>1</x:v>
      </x:c>
      <x:c r="H642" s="91" t="n">
        <x:v>223.07</x:v>
      </x:c>
      <x:c r="I642" s="87" t="n">
        <x:v>4</x:v>
      </x:c>
    </x:row>
    <x:row r="643">
      <x:c r="A643" s="85" t="n">
        <x:v>642</x:v>
      </x:c>
      <x:c r="B643" s="86" t="n">
        <x:v>252</x:v>
      </x:c>
      <x:c r="C643" s="95" t="n">
        <x:v>45978</x:v>
      </x:c>
      <x:c r="D643" s="95" t="n">
        <x:v>45978</x:v>
      </x:c>
      <x:c r="E643" s="86" t="str">
        <x:v>Consulta médica</x:v>
      </x:c>
      <x:c r="F643" s="86" t="n">
        <x:v>2</x:v>
      </x:c>
      <x:c r="G643" s="86" t="n">
        <x:v>1</x:v>
      </x:c>
      <x:c r="H643" s="91" t="n">
        <x:v>93.97</x:v>
      </x:c>
      <x:c r="I643" s="87" t="n">
        <x:v>5</x:v>
      </x:c>
    </x:row>
    <x:row r="644">
      <x:c r="A644" s="85" t="n">
        <x:v>643</x:v>
      </x:c>
      <x:c r="B644" s="86" t="n">
        <x:v>393</x:v>
      </x:c>
      <x:c r="C644" s="95" t="n">
        <x:v>45900</x:v>
      </x:c>
      <x:c r="D644" s="95" t="n">
        <x:v>45900</x:v>
      </x:c>
      <x:c r="E644" s="86" t="str">
        <x:v>Consulta médica</x:v>
      </x:c>
      <x:c r="F644" s="86" t="n">
        <x:v>8</x:v>
      </x:c>
      <x:c r="G644" s="86" t="n">
        <x:v>1</x:v>
      </x:c>
      <x:c r="H644" s="91" t="n">
        <x:v>94.16</x:v>
      </x:c>
      <x:c r="I644" s="87" t="n">
        <x:v>1</x:v>
      </x:c>
    </x:row>
    <x:row r="645">
      <x:c r="A645" s="85" t="n">
        <x:v>644</x:v>
      </x:c>
      <x:c r="B645" s="86" t="n">
        <x:v>379</x:v>
      </x:c>
      <x:c r="C645" s="95" t="n">
        <x:v>45415</x:v>
      </x:c>
      <x:c r="D645" s="95" t="n">
        <x:v>45415</x:v>
      </x:c>
      <x:c r="E645" s="86" t="str">
        <x:v>Atestado médico</x:v>
      </x:c>
      <x:c r="F645" s="86" t="n">
        <x:v>1</x:v>
      </x:c>
      <x:c r="G645" s="86" t="n">
        <x:v>1</x:v>
      </x:c>
      <x:c r="H645" s="91" t="n">
        <x:v>19.25</x:v>
      </x:c>
      <x:c r="I645" s="87" t="n">
        <x:v>2</x:v>
      </x:c>
    </x:row>
    <x:row r="646">
      <x:c r="A646" s="85" t="n">
        <x:v>645</x:v>
      </x:c>
      <x:c r="B646" s="86" t="n">
        <x:v>402</x:v>
      </x:c>
      <x:c r="C646" s="95" t="n">
        <x:v>45789</x:v>
      </x:c>
      <x:c r="D646" s="95" t="n">
        <x:v>45789</x:v>
      </x:c>
      <x:c r="E646" s="86" t="str">
        <x:v>Atestado médico</x:v>
      </x:c>
      <x:c r="F646" s="86" t="n">
        <x:v>2</x:v>
      </x:c>
      <x:c r="G646" s="86" t="n">
        <x:v>1</x:v>
      </x:c>
      <x:c r="H646" s="91" t="n">
        <x:v>31.89</x:v>
      </x:c>
      <x:c r="I646" s="87" t="n">
        <x:v>1</x:v>
      </x:c>
    </x:row>
    <x:row r="647">
      <x:c r="A647" s="85" t="n">
        <x:v>646</x:v>
      </x:c>
      <x:c r="B647" s="86" t="n">
        <x:v>126</x:v>
      </x:c>
      <x:c r="C647" s="95" t="n">
        <x:v>45880</x:v>
      </x:c>
      <x:c r="D647" s="95" t="n">
        <x:v>45880</x:v>
      </x:c>
      <x:c r="E647" s="86" t="str">
        <x:v>Atraso</x:v>
      </x:c>
      <x:c r="F647" s="86" t="n">
        <x:v>3</x:v>
      </x:c>
      <x:c r="G647" s="86" t="n">
        <x:v>1</x:v>
      </x:c>
      <x:c r="H647" s="91" t="n">
        <x:v>130.59</x:v>
      </x:c>
      <x:c r="I647" s="87" t="n">
        <x:v>3</x:v>
      </x:c>
    </x:row>
    <x:row r="648">
      <x:c r="A648" s="85" t="n">
        <x:v>647</x:v>
      </x:c>
      <x:c r="B648" s="86" t="n">
        <x:v>192</x:v>
      </x:c>
      <x:c r="C648" s="95" t="n">
        <x:v>45295</x:v>
      </x:c>
      <x:c r="D648" s="95" t="n">
        <x:v>45295</x:v>
      </x:c>
      <x:c r="E648" s="86" t="str">
        <x:v>Consulta médica</x:v>
      </x:c>
      <x:c r="F648" s="86" t="n">
        <x:v>8</x:v>
      </x:c>
      <x:c r="G648" s="86" t="n">
        <x:v>1</x:v>
      </x:c>
      <x:c r="H648" s="91" t="n">
        <x:v>292.98</x:v>
      </x:c>
      <x:c r="I648" s="87" t="n">
        <x:v>9</x:v>
      </x:c>
    </x:row>
    <x:row r="649">
      <x:c r="A649" s="85" t="n">
        <x:v>648</x:v>
      </x:c>
      <x:c r="B649" s="86" t="n">
        <x:v>112</x:v>
      </x:c>
      <x:c r="C649" s="95" t="n">
        <x:v>45691</x:v>
      </x:c>
      <x:c r="D649" s="95" t="n">
        <x:v>45695</x:v>
      </x:c>
      <x:c r="E649" s="86" t="str">
        <x:v>Atestado médico</x:v>
      </x:c>
      <x:c r="F649" s="86" t="n">
        <x:v>40</x:v>
      </x:c>
      <x:c r="G649" s="86" t="n">
        <x:v>1</x:v>
      </x:c>
      <x:c r="H649" s="91" t="n">
        <x:v>825.93</x:v>
      </x:c>
      <x:c r="I649" s="87" t="n">
        <x:v>2</x:v>
      </x:c>
    </x:row>
    <x:row r="650">
      <x:c r="A650" s="85" t="n">
        <x:v>649</x:v>
      </x:c>
      <x:c r="B650" s="86" t="n">
        <x:v>293</x:v>
      </x:c>
      <x:c r="C650" s="95" t="n">
        <x:v>45607</x:v>
      </x:c>
      <x:c r="D650" s="95" t="n">
        <x:v>45607</x:v>
      </x:c>
      <x:c r="E650" s="86" t="str">
        <x:v>Atestado médico</x:v>
      </x:c>
      <x:c r="F650" s="86" t="n">
        <x:v>4</x:v>
      </x:c>
      <x:c r="G650" s="86" t="n">
        <x:v>1</x:v>
      </x:c>
      <x:c r="H650" s="91" t="n">
        <x:v>52.91</x:v>
      </x:c>
      <x:c r="I650" s="87" t="n">
        <x:v>1</x:v>
      </x:c>
    </x:row>
    <x:row r="651">
      <x:c r="A651" s="85" t="n">
        <x:v>650</x:v>
      </x:c>
      <x:c r="B651" s="86" t="n">
        <x:v>371</x:v>
      </x:c>
      <x:c r="C651" s="95" t="n">
        <x:v>45858</x:v>
      </x:c>
      <x:c r="D651" s="95" t="n">
        <x:v>45858</x:v>
      </x:c>
      <x:c r="E651" s="86" t="str">
        <x:v>Atestado médico</x:v>
      </x:c>
      <x:c r="F651" s="86" t="n">
        <x:v>2</x:v>
      </x:c>
      <x:c r="G651" s="86" t="n">
        <x:v>1</x:v>
      </x:c>
      <x:c r="H651" s="91" t="n">
        <x:v>87.86</x:v>
      </x:c>
      <x:c r="I651" s="87" t="n">
        <x:v>1</x:v>
      </x:c>
    </x:row>
    <x:row r="652">
      <x:c r="A652" s="85" t="n">
        <x:v>651</x:v>
      </x:c>
      <x:c r="B652" s="86" t="n">
        <x:v>386</x:v>
      </x:c>
      <x:c r="C652" s="95" t="n">
        <x:v>45814</x:v>
      </x:c>
      <x:c r="D652" s="95" t="n">
        <x:v>45814</x:v>
      </x:c>
      <x:c r="E652" s="86" t="str">
        <x:v>Atestado médico</x:v>
      </x:c>
      <x:c r="F652" s="86" t="n">
        <x:v>8</x:v>
      </x:c>
      <x:c r="G652" s="86" t="n">
        <x:v>1</x:v>
      </x:c>
      <x:c r="H652" s="91" t="n">
        <x:v>86.78</x:v>
      </x:c>
      <x:c r="I652" s="87" t="n">
        <x:v>1</x:v>
      </x:c>
    </x:row>
    <x:row r="653">
      <x:c r="A653" s="85" t="n">
        <x:v>652</x:v>
      </x:c>
      <x:c r="B653" s="86" t="n">
        <x:v>52</x:v>
      </x:c>
      <x:c r="C653" s="95" t="n">
        <x:v>45552</x:v>
      </x:c>
      <x:c r="D653" s="95" t="n">
        <x:v>45552</x:v>
      </x:c>
      <x:c r="E653" s="86" t="str">
        <x:v>Falta não justificada</x:v>
      </x:c>
      <x:c r="F653" s="86" t="n">
        <x:v>4</x:v>
      </x:c>
      <x:c r="G653" s="86" t="n">
        <x:v>0</x:v>
      </x:c>
      <x:c r="H653" s="91" t="n">
        <x:v>82.11</x:v>
      </x:c>
      <x:c r="I653" s="87" t="n">
        <x:v>10</x:v>
      </x:c>
    </x:row>
    <x:row r="654">
      <x:c r="A654" s="85" t="n">
        <x:v>653</x:v>
      </x:c>
      <x:c r="B654" s="86" t="n">
        <x:v>23</x:v>
      </x:c>
      <x:c r="C654" s="95" t="n">
        <x:v>45560</x:v>
      </x:c>
      <x:c r="D654" s="95" t="n">
        <x:v>45564</x:v>
      </x:c>
      <x:c r="E654" s="86" t="str">
        <x:v>Falta não justificada</x:v>
      </x:c>
      <x:c r="F654" s="86" t="n">
        <x:v>40</x:v>
      </x:c>
      <x:c r="G654" s="86" t="n">
        <x:v>0</x:v>
      </x:c>
      <x:c r="H654" s="91" t="n">
        <x:v>1776.61</x:v>
      </x:c>
      <x:c r="I654" s="87" t="n">
        <x:v>5</x:v>
      </x:c>
    </x:row>
    <x:row r="655">
      <x:c r="A655" s="85" t="n">
        <x:v>654</x:v>
      </x:c>
      <x:c r="B655" s="86" t="n">
        <x:v>202</x:v>
      </x:c>
      <x:c r="C655" s="95" t="n">
        <x:v>45873</x:v>
      </x:c>
      <x:c r="D655" s="95" t="n">
        <x:v>45873</x:v>
      </x:c>
      <x:c r="E655" s="86" t="str">
        <x:v>Licença</x:v>
      </x:c>
      <x:c r="F655" s="86" t="n">
        <x:v>1</x:v>
      </x:c>
      <x:c r="G655" s="86" t="n">
        <x:v>1</x:v>
      </x:c>
      <x:c r="H655" s="91" t="n">
        <x:v>35.2</x:v>
      </x:c>
      <x:c r="I655" s="87" t="n">
        <x:v>1</x:v>
      </x:c>
    </x:row>
    <x:row r="656">
      <x:c r="A656" s="85" t="n">
        <x:v>655</x:v>
      </x:c>
      <x:c r="B656" s="86" t="n">
        <x:v>410</x:v>
      </x:c>
      <x:c r="C656" s="95" t="n">
        <x:v>45894</x:v>
      </x:c>
      <x:c r="D656" s="95" t="n">
        <x:v>45898</x:v>
      </x:c>
      <x:c r="E656" s="86" t="str">
        <x:v>Consulta médica</x:v>
      </x:c>
      <x:c r="F656" s="86" t="n">
        <x:v>40</x:v>
      </x:c>
      <x:c r="G656" s="86" t="n">
        <x:v>1</x:v>
      </x:c>
      <x:c r="H656" s="91" t="n">
        <x:v>601.47</x:v>
      </x:c>
      <x:c r="I656" s="87" t="n">
        <x:v>2</x:v>
      </x:c>
    </x:row>
    <x:row r="657">
      <x:c r="A657" s="85" t="n">
        <x:v>656</x:v>
      </x:c>
      <x:c r="B657" s="86" t="n">
        <x:v>89</x:v>
      </x:c>
      <x:c r="C657" s="95" t="n">
        <x:v>45646</x:v>
      </x:c>
      <x:c r="D657" s="95" t="n">
        <x:v>45646</x:v>
      </x:c>
      <x:c r="E657" s="86" t="str">
        <x:v>Atestado médico</x:v>
      </x:c>
      <x:c r="F657" s="86" t="n">
        <x:v>8</x:v>
      </x:c>
      <x:c r="G657" s="86" t="n">
        <x:v>1</x:v>
      </x:c>
      <x:c r="H657" s="91" t="n">
        <x:v>114.52</x:v>
      </x:c>
      <x:c r="I657" s="87" t="n">
        <x:v>3</x:v>
      </x:c>
    </x:row>
    <x:row r="658">
      <x:c r="A658" s="85" t="n">
        <x:v>657</x:v>
      </x:c>
      <x:c r="B658" s="86" t="n">
        <x:v>120</x:v>
      </x:c>
      <x:c r="C658" s="95" t="n">
        <x:v>45793</x:v>
      </x:c>
      <x:c r="D658" s="95" t="n">
        <x:v>45793</x:v>
      </x:c>
      <x:c r="E658" s="86" t="str">
        <x:v>Falta não justificada</x:v>
      </x:c>
      <x:c r="F658" s="86" t="n">
        <x:v>1</x:v>
      </x:c>
      <x:c r="G658" s="86" t="n">
        <x:v>0</x:v>
      </x:c>
      <x:c r="H658" s="91" t="n">
        <x:v>43.78</x:v>
      </x:c>
      <x:c r="I658" s="87" t="n">
        <x:v>5</x:v>
      </x:c>
    </x:row>
    <x:row r="659">
      <x:c r="A659" s="85" t="n">
        <x:v>658</x:v>
      </x:c>
      <x:c r="B659" s="86" t="n">
        <x:v>74</x:v>
      </x:c>
      <x:c r="C659" s="95" t="n">
        <x:v>45883</x:v>
      </x:c>
      <x:c r="D659" s="95" t="n">
        <x:v>45887</x:v>
      </x:c>
      <x:c r="E659" s="86" t="str">
        <x:v>Falta não justificada</x:v>
      </x:c>
      <x:c r="F659" s="86" t="n">
        <x:v>40</x:v>
      </x:c>
      <x:c r="G659" s="86" t="n">
        <x:v>0</x:v>
      </x:c>
      <x:c r="H659" s="91" t="n">
        <x:v>434.47</x:v>
      </x:c>
      <x:c r="I659" s="87" t="n">
        <x:v>1</x:v>
      </x:c>
    </x:row>
    <x:row r="660">
      <x:c r="A660" s="85" t="n">
        <x:v>659</x:v>
      </x:c>
      <x:c r="B660" s="86" t="n">
        <x:v>57</x:v>
      </x:c>
      <x:c r="C660" s="95" t="n">
        <x:v>45465</x:v>
      </x:c>
      <x:c r="D660" s="95" t="n">
        <x:v>45465</x:v>
      </x:c>
      <x:c r="E660" s="86" t="str">
        <x:v>Atestado médico</x:v>
      </x:c>
      <x:c r="F660" s="86" t="n">
        <x:v>2</x:v>
      </x:c>
      <x:c r="G660" s="86" t="n">
        <x:v>1</x:v>
      </x:c>
      <x:c r="H660" s="91" t="n">
        <x:v>59.58</x:v>
      </x:c>
      <x:c r="I660" s="87" t="n">
        <x:v>5</x:v>
      </x:c>
    </x:row>
    <x:row r="661">
      <x:c r="A661" s="85" t="n">
        <x:v>660</x:v>
      </x:c>
      <x:c r="B661" s="86" t="n">
        <x:v>176</x:v>
      </x:c>
      <x:c r="C661" s="95" t="n">
        <x:v>45839</x:v>
      </x:c>
      <x:c r="D661" s="95" t="n">
        <x:v>45839</x:v>
      </x:c>
      <x:c r="E661" s="86" t="str">
        <x:v>Consulta médica</x:v>
      </x:c>
      <x:c r="F661" s="86" t="n">
        <x:v>2</x:v>
      </x:c>
      <x:c r="G661" s="86" t="n">
        <x:v>1</x:v>
      </x:c>
      <x:c r="H661" s="91" t="n">
        <x:v>63.29</x:v>
      </x:c>
      <x:c r="I661" s="87" t="n">
        <x:v>10</x:v>
      </x:c>
    </x:row>
    <x:row r="662">
      <x:c r="A662" s="85" t="n">
        <x:v>661</x:v>
      </x:c>
      <x:c r="B662" s="86" t="n">
        <x:v>280</x:v>
      </x:c>
      <x:c r="C662" s="95" t="n">
        <x:v>45482</x:v>
      </x:c>
      <x:c r="D662" s="95" t="n">
        <x:v>45486</x:v>
      </x:c>
      <x:c r="E662" s="86" t="str">
        <x:v>Falta não justificada</x:v>
      </x:c>
      <x:c r="F662" s="86" t="n">
        <x:v>40</x:v>
      </x:c>
      <x:c r="G662" s="86" t="n">
        <x:v>0</x:v>
      </x:c>
      <x:c r="H662" s="91" t="n">
        <x:v>552.9</x:v>
      </x:c>
      <x:c r="I662" s="87" t="n">
        <x:v>1</x:v>
      </x:c>
    </x:row>
    <x:row r="663">
      <x:c r="A663" s="85" t="n">
        <x:v>662</x:v>
      </x:c>
      <x:c r="B663" s="86" t="n">
        <x:v>191</x:v>
      </x:c>
      <x:c r="C663" s="95" t="n">
        <x:v>45860</x:v>
      </x:c>
      <x:c r="D663" s="95" t="n">
        <x:v>45861</x:v>
      </x:c>
      <x:c r="E663" s="86" t="str">
        <x:v>Atestado médico</x:v>
      </x:c>
      <x:c r="F663" s="86" t="n">
        <x:v>16</x:v>
      </x:c>
      <x:c r="G663" s="86" t="n">
        <x:v>1</x:v>
      </x:c>
      <x:c r="H663" s="91" t="n">
        <x:v>365.1</x:v>
      </x:c>
      <x:c r="I663" s="87" t="n">
        <x:v>10</x:v>
      </x:c>
    </x:row>
    <x:row r="664">
      <x:c r="A664" s="85" t="n">
        <x:v>663</x:v>
      </x:c>
      <x:c r="B664" s="86" t="n">
        <x:v>145</x:v>
      </x:c>
      <x:c r="C664" s="95" t="n">
        <x:v>45904</x:v>
      </x:c>
      <x:c r="D664" s="95" t="n">
        <x:v>45904</x:v>
      </x:c>
      <x:c r="E664" s="86" t="str">
        <x:v>Atraso</x:v>
      </x:c>
      <x:c r="F664" s="86" t="n">
        <x:v>1</x:v>
      </x:c>
      <x:c r="G664" s="86" t="n">
        <x:v>1</x:v>
      </x:c>
      <x:c r="H664" s="91" t="n">
        <x:v>19.27</x:v>
      </x:c>
      <x:c r="I664" s="87" t="n">
        <x:v>2</x:v>
      </x:c>
    </x:row>
    <x:row r="665">
      <x:c r="A665" s="85" t="n">
        <x:v>664</x:v>
      </x:c>
      <x:c r="B665" s="86" t="n">
        <x:v>416</x:v>
      </x:c>
      <x:c r="C665" s="95" t="n">
        <x:v>45941</x:v>
      </x:c>
      <x:c r="D665" s="95" t="n">
        <x:v>45941</x:v>
      </x:c>
      <x:c r="E665" s="86" t="str">
        <x:v>Licença</x:v>
      </x:c>
      <x:c r="F665" s="86" t="n">
        <x:v>1</x:v>
      </x:c>
      <x:c r="G665" s="86" t="n">
        <x:v>1</x:v>
      </x:c>
      <x:c r="H665" s="91" t="n">
        <x:v>18.03</x:v>
      </x:c>
      <x:c r="I665" s="87" t="n">
        <x:v>3</x:v>
      </x:c>
    </x:row>
    <x:row r="666">
      <x:c r="A666" s="85" t="n">
        <x:v>665</x:v>
      </x:c>
      <x:c r="B666" s="86" t="n">
        <x:v>116</x:v>
      </x:c>
      <x:c r="C666" s="95" t="n">
        <x:v>45835</x:v>
      </x:c>
      <x:c r="D666" s="95" t="n">
        <x:v>45835</x:v>
      </x:c>
      <x:c r="E666" s="86" t="str">
        <x:v>Atraso</x:v>
      </x:c>
      <x:c r="F666" s="86" t="n">
        <x:v>2</x:v>
      </x:c>
      <x:c r="G666" s="86" t="n">
        <x:v>1</x:v>
      </x:c>
      <x:c r="H666" s="91" t="n">
        <x:v>136.04</x:v>
      </x:c>
      <x:c r="I666" s="87" t="n">
        <x:v>6</x:v>
      </x:c>
    </x:row>
    <x:row r="667">
      <x:c r="A667" s="85" t="n">
        <x:v>666</x:v>
      </x:c>
      <x:c r="B667" s="86" t="n">
        <x:v>375</x:v>
      </x:c>
      <x:c r="C667" s="95" t="n">
        <x:v>45471</x:v>
      </x:c>
      <x:c r="D667" s="95" t="n">
        <x:v>45471</x:v>
      </x:c>
      <x:c r="E667" s="86" t="str">
        <x:v>Atestado médico</x:v>
      </x:c>
      <x:c r="F667" s="86" t="n">
        <x:v>2</x:v>
      </x:c>
      <x:c r="G667" s="86" t="n">
        <x:v>1</x:v>
      </x:c>
      <x:c r="H667" s="91" t="n">
        <x:v>20.95</x:v>
      </x:c>
      <x:c r="I667" s="87" t="n">
        <x:v>1</x:v>
      </x:c>
    </x:row>
    <x:row r="668">
      <x:c r="A668" s="85" t="n">
        <x:v>667</x:v>
      </x:c>
      <x:c r="B668" s="86" t="n">
        <x:v>60</x:v>
      </x:c>
      <x:c r="C668" s="95" t="n">
        <x:v>45926</x:v>
      </x:c>
      <x:c r="D668" s="95" t="n">
        <x:v>45926</x:v>
      </x:c>
      <x:c r="E668" s="86" t="str">
        <x:v>Consulta médica</x:v>
      </x:c>
      <x:c r="F668" s="86" t="n">
        <x:v>2</x:v>
      </x:c>
      <x:c r="G668" s="86" t="n">
        <x:v>1</x:v>
      </x:c>
      <x:c r="H668" s="91" t="n">
        <x:v>93.21</x:v>
      </x:c>
      <x:c r="I668" s="87" t="n">
        <x:v>5</x:v>
      </x:c>
    </x:row>
    <x:row r="669">
      <x:c r="A669" s="85" t="n">
        <x:v>668</x:v>
      </x:c>
      <x:c r="B669" s="86" t="n">
        <x:v>133</x:v>
      </x:c>
      <x:c r="C669" s="95" t="n">
        <x:v>45832</x:v>
      </x:c>
      <x:c r="D669" s="95" t="n">
        <x:v>45832</x:v>
      </x:c>
      <x:c r="E669" s="86" t="str">
        <x:v>Atestado médico</x:v>
      </x:c>
      <x:c r="F669" s="86" t="n">
        <x:v>2</x:v>
      </x:c>
      <x:c r="G669" s="86" t="n">
        <x:v>1</x:v>
      </x:c>
      <x:c r="H669" s="91" t="n">
        <x:v>74.99</x:v>
      </x:c>
      <x:c r="I669" s="87" t="n">
        <x:v>6</x:v>
      </x:c>
    </x:row>
    <x:row r="670">
      <x:c r="A670" s="85" t="n">
        <x:v>669</x:v>
      </x:c>
      <x:c r="B670" s="86" t="n">
        <x:v>245</x:v>
      </x:c>
      <x:c r="C670" s="95" t="n">
        <x:v>45887</x:v>
      </x:c>
      <x:c r="D670" s="95" t="n">
        <x:v>45887</x:v>
      </x:c>
      <x:c r="E670" s="86" t="str">
        <x:v>Atraso</x:v>
      </x:c>
      <x:c r="F670" s="86" t="n">
        <x:v>1</x:v>
      </x:c>
      <x:c r="G670" s="86" t="n">
        <x:v>1</x:v>
      </x:c>
      <x:c r="H670" s="91" t="n">
        <x:v>18.3</x:v>
      </x:c>
      <x:c r="I670" s="87" t="n">
        <x:v>3</x:v>
      </x:c>
    </x:row>
    <x:row r="671">
      <x:c r="A671" s="85" t="n">
        <x:v>670</x:v>
      </x:c>
      <x:c r="B671" s="86" t="n">
        <x:v>199</x:v>
      </x:c>
      <x:c r="C671" s="95" t="n">
        <x:v>45980</x:v>
      </x:c>
      <x:c r="D671" s="95" t="n">
        <x:v>45980</x:v>
      </x:c>
      <x:c r="E671" s="86" t="str">
        <x:v>Falta não justificada</x:v>
      </x:c>
      <x:c r="F671" s="86" t="n">
        <x:v>4</x:v>
      </x:c>
      <x:c r="G671" s="86" t="n">
        <x:v>0</x:v>
      </x:c>
      <x:c r="H671" s="91" t="n">
        <x:v>106.6</x:v>
      </x:c>
      <x:c r="I671" s="87" t="n">
        <x:v>9</x:v>
      </x:c>
    </x:row>
    <x:row r="672">
      <x:c r="A672" s="85" t="n">
        <x:v>671</x:v>
      </x:c>
      <x:c r="B672" s="86" t="n">
        <x:v>37</x:v>
      </x:c>
      <x:c r="C672" s="95" t="n">
        <x:v>45364</x:v>
      </x:c>
      <x:c r="D672" s="95" t="n">
        <x:v>45364</x:v>
      </x:c>
      <x:c r="E672" s="86" t="str">
        <x:v>Atestado médico</x:v>
      </x:c>
      <x:c r="F672" s="86" t="n">
        <x:v>4</x:v>
      </x:c>
      <x:c r="G672" s="86" t="n">
        <x:v>1</x:v>
      </x:c>
      <x:c r="H672" s="91" t="n">
        <x:v>58.17</x:v>
      </x:c>
      <x:c r="I672" s="87" t="n">
        <x:v>3</x:v>
      </x:c>
    </x:row>
    <x:row r="673">
      <x:c r="A673" s="85" t="n">
        <x:v>672</x:v>
      </x:c>
      <x:c r="B673" s="86" t="n">
        <x:v>92</x:v>
      </x:c>
      <x:c r="C673" s="95" t="n">
        <x:v>45730</x:v>
      </x:c>
      <x:c r="D673" s="95" t="n">
        <x:v>45731</x:v>
      </x:c>
      <x:c r="E673" s="86" t="str">
        <x:v>Consulta médica</x:v>
      </x:c>
      <x:c r="F673" s="86" t="n">
        <x:v>16</x:v>
      </x:c>
      <x:c r="G673" s="86" t="n">
        <x:v>1</x:v>
      </x:c>
      <x:c r="H673" s="91" t="n">
        <x:v>682.11</x:v>
      </x:c>
      <x:c r="I673" s="87" t="n">
        <x:v>9</x:v>
      </x:c>
    </x:row>
    <x:row r="674">
      <x:c r="A674" s="85" t="n">
        <x:v>673</x:v>
      </x:c>
      <x:c r="B674" s="86" t="n">
        <x:v>314</x:v>
      </x:c>
      <x:c r="C674" s="95" t="n">
        <x:v>46021</x:v>
      </x:c>
      <x:c r="D674" s="95" t="n">
        <x:v>46021</x:v>
      </x:c>
      <x:c r="E674" s="86" t="str">
        <x:v>Atraso</x:v>
      </x:c>
      <x:c r="F674" s="86" t="n">
        <x:v>1</x:v>
      </x:c>
      <x:c r="G674" s="86" t="n">
        <x:v>1</x:v>
      </x:c>
      <x:c r="H674" s="91" t="n">
        <x:v>21.21</x:v>
      </x:c>
      <x:c r="I674" s="87" t="n">
        <x:v>8</x:v>
      </x:c>
    </x:row>
    <x:row r="675">
      <x:c r="A675" s="85" t="n">
        <x:v>674</x:v>
      </x:c>
      <x:c r="B675" s="86" t="n">
        <x:v>183</x:v>
      </x:c>
      <x:c r="C675" s="95" t="n">
        <x:v>45413</x:v>
      </x:c>
      <x:c r="D675" s="95" t="n">
        <x:v>45413</x:v>
      </x:c>
      <x:c r="E675" s="86" t="str">
        <x:v>Atestado médico</x:v>
      </x:c>
      <x:c r="F675" s="86" t="n">
        <x:v>4</x:v>
      </x:c>
      <x:c r="G675" s="86" t="n">
        <x:v>1</x:v>
      </x:c>
      <x:c r="H675" s="91" t="n">
        <x:v>50.68</x:v>
      </x:c>
      <x:c r="I675" s="87" t="n">
        <x:v>1</x:v>
      </x:c>
    </x:row>
    <x:row r="676">
      <x:c r="A676" s="85" t="n">
        <x:v>675</x:v>
      </x:c>
      <x:c r="B676" s="86" t="n">
        <x:v>93</x:v>
      </x:c>
      <x:c r="C676" s="95" t="n">
        <x:v>45808</x:v>
      </x:c>
      <x:c r="D676" s="95" t="n">
        <x:v>45808</x:v>
      </x:c>
      <x:c r="E676" s="86" t="str">
        <x:v>Falta não justificada</x:v>
      </x:c>
      <x:c r="F676" s="86" t="n">
        <x:v>1</x:v>
      </x:c>
      <x:c r="G676" s="86" t="n">
        <x:v>0</x:v>
      </x:c>
      <x:c r="H676" s="91" t="n">
        <x:v>23.17</x:v>
      </x:c>
      <x:c r="I676" s="87" t="n">
        <x:v>8</x:v>
      </x:c>
    </x:row>
    <x:row r="677">
      <x:c r="A677" s="85" t="n">
        <x:v>676</x:v>
      </x:c>
      <x:c r="B677" s="86" t="n">
        <x:v>344</x:v>
      </x:c>
      <x:c r="C677" s="95" t="n">
        <x:v>45612</x:v>
      </x:c>
      <x:c r="D677" s="95" t="n">
        <x:v>45616</x:v>
      </x:c>
      <x:c r="E677" s="86" t="str">
        <x:v>Falta não justificada</x:v>
      </x:c>
      <x:c r="F677" s="86" t="n">
        <x:v>40</x:v>
      </x:c>
      <x:c r="G677" s="86" t="n">
        <x:v>0</x:v>
      </x:c>
      <x:c r="H677" s="91" t="n">
        <x:v>463.91</x:v>
      </x:c>
      <x:c r="I677" s="87" t="n">
        <x:v>1</x:v>
      </x:c>
    </x:row>
    <x:row r="678">
      <x:c r="A678" s="85" t="n">
        <x:v>677</x:v>
      </x:c>
      <x:c r="B678" s="86" t="n">
        <x:v>393</x:v>
      </x:c>
      <x:c r="C678" s="95" t="n">
        <x:v>45375</x:v>
      </x:c>
      <x:c r="D678" s="95" t="n">
        <x:v>45375</x:v>
      </x:c>
      <x:c r="E678" s="86" t="str">
        <x:v>Atraso</x:v>
      </x:c>
      <x:c r="F678" s="86" t="n">
        <x:v>2</x:v>
      </x:c>
      <x:c r="G678" s="86" t="n">
        <x:v>1</x:v>
      </x:c>
      <x:c r="H678" s="91" t="n">
        <x:v>23.54</x:v>
      </x:c>
      <x:c r="I678" s="87" t="n">
        <x:v>1</x:v>
      </x:c>
    </x:row>
    <x:row r="679">
      <x:c r="A679" s="85" t="n">
        <x:v>678</x:v>
      </x:c>
      <x:c r="B679" s="86" t="n">
        <x:v>363</x:v>
      </x:c>
      <x:c r="C679" s="95" t="n">
        <x:v>45642</x:v>
      </x:c>
      <x:c r="D679" s="95" t="n">
        <x:v>45642</x:v>
      </x:c>
      <x:c r="E679" s="86" t="str">
        <x:v>Licença</x:v>
      </x:c>
      <x:c r="F679" s="86" t="n">
        <x:v>4</x:v>
      </x:c>
      <x:c r="G679" s="86" t="n">
        <x:v>1</x:v>
      </x:c>
      <x:c r="H679" s="91" t="n">
        <x:v>51.47</x:v>
      </x:c>
      <x:c r="I679" s="87" t="n">
        <x:v>1</x:v>
      </x:c>
    </x:row>
    <x:row r="680">
      <x:c r="A680" s="85" t="n">
        <x:v>679</x:v>
      </x:c>
      <x:c r="B680" s="86" t="n">
        <x:v>318</x:v>
      </x:c>
      <x:c r="C680" s="95" t="n">
        <x:v>46013</x:v>
      </x:c>
      <x:c r="D680" s="95" t="n">
        <x:v>46013</x:v>
      </x:c>
      <x:c r="E680" s="86" t="str">
        <x:v>Licença</x:v>
      </x:c>
      <x:c r="F680" s="86" t="n">
        <x:v>1</x:v>
      </x:c>
      <x:c r="G680" s="86" t="n">
        <x:v>1</x:v>
      </x:c>
      <x:c r="H680" s="91" t="n">
        <x:v>31.47</x:v>
      </x:c>
      <x:c r="I680" s="87" t="n">
        <x:v>5</x:v>
      </x:c>
    </x:row>
    <x:row r="681">
      <x:c r="A681" s="85" t="n">
        <x:v>680</x:v>
      </x:c>
      <x:c r="B681" s="86" t="n">
        <x:v>178</x:v>
      </x:c>
      <x:c r="C681" s="95" t="n">
        <x:v>45829</x:v>
      </x:c>
      <x:c r="D681" s="95" t="n">
        <x:v>45829</x:v>
      </x:c>
      <x:c r="E681" s="86" t="str">
        <x:v>Atestado médico</x:v>
      </x:c>
      <x:c r="F681" s="86" t="n">
        <x:v>4</x:v>
      </x:c>
      <x:c r="G681" s="86" t="n">
        <x:v>1</x:v>
      </x:c>
      <x:c r="H681" s="91" t="n">
        <x:v>86.34</x:v>
      </x:c>
      <x:c r="I681" s="87" t="n">
        <x:v>2</x:v>
      </x:c>
    </x:row>
    <x:row r="682">
      <x:c r="A682" s="85" t="n">
        <x:v>681</x:v>
      </x:c>
      <x:c r="B682" s="86" t="n">
        <x:v>249</x:v>
      </x:c>
      <x:c r="C682" s="95" t="n">
        <x:v>45604</x:v>
      </x:c>
      <x:c r="D682" s="95" t="n">
        <x:v>45605</x:v>
      </x:c>
      <x:c r="E682" s="86" t="str">
        <x:v>Atestado médico</x:v>
      </x:c>
      <x:c r="F682" s="86" t="n">
        <x:v>16</x:v>
      </x:c>
      <x:c r="G682" s="86" t="n">
        <x:v>1</x:v>
      </x:c>
      <x:c r="H682" s="91" t="n">
        <x:v>540.6</x:v>
      </x:c>
      <x:c r="I682" s="87" t="n">
        <x:v>5</x:v>
      </x:c>
    </x:row>
    <x:row r="683">
      <x:c r="A683" s="85" t="n">
        <x:v>682</x:v>
      </x:c>
      <x:c r="B683" s="86" t="n">
        <x:v>184</x:v>
      </x:c>
      <x:c r="C683" s="95" t="n">
        <x:v>45890</x:v>
      </x:c>
      <x:c r="D683" s="95" t="n">
        <x:v>45890</x:v>
      </x:c>
      <x:c r="E683" s="86" t="str">
        <x:v>Atraso</x:v>
      </x:c>
      <x:c r="F683" s="86" t="n">
        <x:v>1</x:v>
      </x:c>
      <x:c r="G683" s="86" t="n">
        <x:v>1</x:v>
      </x:c>
      <x:c r="H683" s="91" t="n">
        <x:v>10.27</x:v>
      </x:c>
      <x:c r="I683" s="87" t="n">
        <x:v>1</x:v>
      </x:c>
    </x:row>
    <x:row r="684">
      <x:c r="A684" s="85" t="n">
        <x:v>683</x:v>
      </x:c>
      <x:c r="B684" s="86" t="n">
        <x:v>228</x:v>
      </x:c>
      <x:c r="C684" s="95" t="n">
        <x:v>45494</x:v>
      </x:c>
      <x:c r="D684" s="95" t="n">
        <x:v>45496</x:v>
      </x:c>
      <x:c r="E684" s="86" t="str">
        <x:v>Consulta médica</x:v>
      </x:c>
      <x:c r="F684" s="86" t="n">
        <x:v>24</x:v>
      </x:c>
      <x:c r="G684" s="86" t="n">
        <x:v>1</x:v>
      </x:c>
      <x:c r="H684" s="91" t="n">
        <x:v>474.06</x:v>
      </x:c>
      <x:c r="I684" s="87" t="n">
        <x:v>3</x:v>
      </x:c>
    </x:row>
    <x:row r="685">
      <x:c r="A685" s="85" t="n">
        <x:v>684</x:v>
      </x:c>
      <x:c r="B685" s="86" t="n">
        <x:v>231</x:v>
      </x:c>
      <x:c r="C685" s="95" t="n">
        <x:v>45859</x:v>
      </x:c>
      <x:c r="D685" s="95" t="n">
        <x:v>45859</x:v>
      </x:c>
      <x:c r="E685" s="86" t="str">
        <x:v>Atraso</x:v>
      </x:c>
      <x:c r="F685" s="86" t="n">
        <x:v>2</x:v>
      </x:c>
      <x:c r="G685" s="86" t="n">
        <x:v>1</x:v>
      </x:c>
      <x:c r="H685" s="91" t="n">
        <x:v>54.33</x:v>
      </x:c>
      <x:c r="I685" s="87" t="n">
        <x:v>7</x:v>
      </x:c>
    </x:row>
    <x:row r="686">
      <x:c r="A686" s="85" t="n">
        <x:v>685</x:v>
      </x:c>
      <x:c r="B686" s="86" t="n">
        <x:v>20</x:v>
      </x:c>
      <x:c r="C686" s="95" t="n">
        <x:v>45434</x:v>
      </x:c>
      <x:c r="D686" s="95" t="n">
        <x:v>45434</x:v>
      </x:c>
      <x:c r="E686" s="86" t="str">
        <x:v>Atraso</x:v>
      </x:c>
      <x:c r="F686" s="86" t="n">
        <x:v>3</x:v>
      </x:c>
      <x:c r="G686" s="86" t="n">
        <x:v>1</x:v>
      </x:c>
      <x:c r="H686" s="91" t="n">
        <x:v>114.86</x:v>
      </x:c>
      <x:c r="I686" s="87" t="n">
        <x:v>4</x:v>
      </x:c>
    </x:row>
    <x:row r="687">
      <x:c r="A687" s="85" t="n">
        <x:v>686</x:v>
      </x:c>
      <x:c r="B687" s="86" t="n">
        <x:v>109</x:v>
      </x:c>
      <x:c r="C687" s="95" t="n">
        <x:v>45844</x:v>
      </x:c>
      <x:c r="D687" s="95" t="n">
        <x:v>45845</x:v>
      </x:c>
      <x:c r="E687" s="86" t="str">
        <x:v>Consulta médica</x:v>
      </x:c>
      <x:c r="F687" s="86" t="n">
        <x:v>16</x:v>
      </x:c>
      <x:c r="G687" s="86" t="n">
        <x:v>1</x:v>
      </x:c>
      <x:c r="H687" s="91" t="n">
        <x:v>1151.7</x:v>
      </x:c>
      <x:c r="I687" s="87" t="n">
        <x:v>8</x:v>
      </x:c>
    </x:row>
    <x:row r="688">
      <x:c r="A688" s="85" t="n">
        <x:v>687</x:v>
      </x:c>
      <x:c r="B688" s="86" t="n">
        <x:v>301</x:v>
      </x:c>
      <x:c r="C688" s="95" t="n">
        <x:v>45808</x:v>
      </x:c>
      <x:c r="D688" s="95" t="n">
        <x:v>45808</x:v>
      </x:c>
      <x:c r="E688" s="86" t="str">
        <x:v>Licença</x:v>
      </x:c>
      <x:c r="F688" s="86" t="n">
        <x:v>2</x:v>
      </x:c>
      <x:c r="G688" s="86" t="n">
        <x:v>1</x:v>
      </x:c>
      <x:c r="H688" s="91" t="n">
        <x:v>59.71</x:v>
      </x:c>
      <x:c r="I688" s="87" t="n">
        <x:v>6</x:v>
      </x:c>
    </x:row>
    <x:row r="689">
      <x:c r="A689" s="85" t="n">
        <x:v>688</x:v>
      </x:c>
      <x:c r="B689" s="86" t="n">
        <x:v>75</x:v>
      </x:c>
      <x:c r="C689" s="95" t="n">
        <x:v>45591</x:v>
      </x:c>
      <x:c r="D689" s="95" t="n">
        <x:v>45591</x:v>
      </x:c>
      <x:c r="E689" s="86" t="str">
        <x:v>Atraso</x:v>
      </x:c>
      <x:c r="F689" s="86" t="n">
        <x:v>3</x:v>
      </x:c>
      <x:c r="G689" s="86" t="n">
        <x:v>1</x:v>
      </x:c>
      <x:c r="H689" s="91" t="n">
        <x:v>105.86</x:v>
      </x:c>
      <x:c r="I689" s="87" t="n">
        <x:v>10</x:v>
      </x:c>
    </x:row>
    <x:row r="690">
      <x:c r="A690" s="85" t="n">
        <x:v>689</x:v>
      </x:c>
      <x:c r="B690" s="86" t="n">
        <x:v>37</x:v>
      </x:c>
      <x:c r="C690" s="95" t="n">
        <x:v>45414</x:v>
      </x:c>
      <x:c r="D690" s="95" t="n">
        <x:v>45414</x:v>
      </x:c>
      <x:c r="E690" s="86" t="str">
        <x:v>Consulta médica</x:v>
      </x:c>
      <x:c r="F690" s="86" t="n">
        <x:v>1</x:v>
      </x:c>
      <x:c r="G690" s="86" t="n">
        <x:v>1</x:v>
      </x:c>
      <x:c r="H690" s="91" t="n">
        <x:v>14.54</x:v>
      </x:c>
      <x:c r="I690" s="87" t="n">
        <x:v>3</x:v>
      </x:c>
    </x:row>
    <x:row r="691">
      <x:c r="A691" s="85" t="n">
        <x:v>690</x:v>
      </x:c>
      <x:c r="B691" s="86" t="n">
        <x:v>172</x:v>
      </x:c>
      <x:c r="C691" s="95" t="n">
        <x:v>45725</x:v>
      </x:c>
      <x:c r="D691" s="95" t="n">
        <x:v>45725</x:v>
      </x:c>
      <x:c r="E691" s="86" t="str">
        <x:v>Consulta médica</x:v>
      </x:c>
      <x:c r="F691" s="86" t="n">
        <x:v>1</x:v>
      </x:c>
      <x:c r="G691" s="86" t="n">
        <x:v>1</x:v>
      </x:c>
      <x:c r="H691" s="91" t="n">
        <x:v>11.26</x:v>
      </x:c>
      <x:c r="I691" s="87" t="n">
        <x:v>1</x:v>
      </x:c>
    </x:row>
    <x:row r="692">
      <x:c r="A692" s="85" t="n">
        <x:v>691</x:v>
      </x:c>
      <x:c r="B692" s="86" t="n">
        <x:v>262</x:v>
      </x:c>
      <x:c r="C692" s="95" t="n">
        <x:v>45929</x:v>
      </x:c>
      <x:c r="D692" s="95" t="n">
        <x:v>45929</x:v>
      </x:c>
      <x:c r="E692" s="86" t="str">
        <x:v>Consulta médica</x:v>
      </x:c>
      <x:c r="F692" s="86" t="n">
        <x:v>4</x:v>
      </x:c>
      <x:c r="G692" s="86" t="n">
        <x:v>1</x:v>
      </x:c>
      <x:c r="H692" s="91" t="n">
        <x:v>57.15</x:v>
      </x:c>
      <x:c r="I692" s="87" t="n">
        <x:v>1</x:v>
      </x:c>
    </x:row>
    <x:row r="693">
      <x:c r="A693" s="85" t="n">
        <x:v>692</x:v>
      </x:c>
      <x:c r="B693" s="86" t="n">
        <x:v>4</x:v>
      </x:c>
      <x:c r="C693" s="95" t="n">
        <x:v>45870</x:v>
      </x:c>
      <x:c r="D693" s="95" t="n">
        <x:v>45870</x:v>
      </x:c>
      <x:c r="E693" s="86" t="str">
        <x:v>Atraso</x:v>
      </x:c>
      <x:c r="F693" s="86" t="n">
        <x:v>3</x:v>
      </x:c>
      <x:c r="G693" s="86" t="n">
        <x:v>1</x:v>
      </x:c>
      <x:c r="H693" s="91" t="n">
        <x:v>63.09</x:v>
      </x:c>
      <x:c r="I693" s="87" t="n">
        <x:v>3</x:v>
      </x:c>
    </x:row>
    <x:row r="694">
      <x:c r="A694" s="85" t="n">
        <x:v>693</x:v>
      </x:c>
      <x:c r="B694" s="86" t="n">
        <x:v>105</x:v>
      </x:c>
      <x:c r="C694" s="95" t="n">
        <x:v>45376</x:v>
      </x:c>
      <x:c r="D694" s="95" t="n">
        <x:v>45378</x:v>
      </x:c>
      <x:c r="E694" s="86" t="str">
        <x:v>Consulta médica</x:v>
      </x:c>
      <x:c r="F694" s="86" t="n">
        <x:v>24</x:v>
      </x:c>
      <x:c r="G694" s="86" t="n">
        <x:v>1</x:v>
      </x:c>
      <x:c r="H694" s="91" t="n">
        <x:v>444.36</x:v>
      </x:c>
      <x:c r="I694" s="87" t="n">
        <x:v>2</x:v>
      </x:c>
    </x:row>
    <x:row r="695">
      <x:c r="A695" s="85" t="n">
        <x:v>694</x:v>
      </x:c>
      <x:c r="B695" s="86" t="n">
        <x:v>42</x:v>
      </x:c>
      <x:c r="C695" s="95" t="n">
        <x:v>45850</x:v>
      </x:c>
      <x:c r="D695" s="95" t="n">
        <x:v>45850</x:v>
      </x:c>
      <x:c r="E695" s="86" t="str">
        <x:v>Licença</x:v>
      </x:c>
      <x:c r="F695" s="86" t="n">
        <x:v>2</x:v>
      </x:c>
      <x:c r="G695" s="86" t="n">
        <x:v>1</x:v>
      </x:c>
      <x:c r="H695" s="91" t="n">
        <x:v>43.79</x:v>
      </x:c>
      <x:c r="I695" s="87" t="n">
        <x:v>2</x:v>
      </x:c>
    </x:row>
    <x:row r="696">
      <x:c r="A696" s="85" t="n">
        <x:v>695</x:v>
      </x:c>
      <x:c r="B696" s="86" t="n">
        <x:v>162</x:v>
      </x:c>
      <x:c r="C696" s="95" t="n">
        <x:v>45890</x:v>
      </x:c>
      <x:c r="D696" s="95" t="n">
        <x:v>45891</x:v>
      </x:c>
      <x:c r="E696" s="86" t="str">
        <x:v>Consulta médica</x:v>
      </x:c>
      <x:c r="F696" s="86" t="n">
        <x:v>16</x:v>
      </x:c>
      <x:c r="G696" s="86" t="n">
        <x:v>1</x:v>
      </x:c>
      <x:c r="H696" s="91" t="n">
        <x:v>561.2</x:v>
      </x:c>
      <x:c r="I696" s="87" t="n">
        <x:v>10</x:v>
      </x:c>
    </x:row>
    <x:row r="697">
      <x:c r="A697" s="85" t="n">
        <x:v>696</x:v>
      </x:c>
      <x:c r="B697" s="86" t="n">
        <x:v>63</x:v>
      </x:c>
      <x:c r="C697" s="95" t="n">
        <x:v>45682</x:v>
      </x:c>
      <x:c r="D697" s="95" t="n">
        <x:v>45682</x:v>
      </x:c>
      <x:c r="E697" s="86" t="str">
        <x:v>Atestado médico</x:v>
      </x:c>
      <x:c r="F697" s="86" t="n">
        <x:v>2</x:v>
      </x:c>
      <x:c r="G697" s="86" t="n">
        <x:v>1</x:v>
      </x:c>
      <x:c r="H697" s="91" t="n">
        <x:v>44.5</x:v>
      </x:c>
      <x:c r="I697" s="87" t="n">
        <x:v>7</x:v>
      </x:c>
    </x:row>
    <x:row r="698">
      <x:c r="A698" s="85" t="n">
        <x:v>697</x:v>
      </x:c>
      <x:c r="B698" s="86" t="n">
        <x:v>163</x:v>
      </x:c>
      <x:c r="C698" s="95" t="n">
        <x:v>45477</x:v>
      </x:c>
      <x:c r="D698" s="95" t="n">
        <x:v>45477</x:v>
      </x:c>
      <x:c r="E698" s="86" t="str">
        <x:v>Atestado médico</x:v>
      </x:c>
      <x:c r="F698" s="86" t="n">
        <x:v>4</x:v>
      </x:c>
      <x:c r="G698" s="86" t="n">
        <x:v>1</x:v>
      </x:c>
      <x:c r="H698" s="91" t="n">
        <x:v>72.29</x:v>
      </x:c>
      <x:c r="I698" s="87" t="n">
        <x:v>3</x:v>
      </x:c>
    </x:row>
    <x:row r="699">
      <x:c r="A699" s="85" t="n">
        <x:v>698</x:v>
      </x:c>
      <x:c r="B699" s="86" t="n">
        <x:v>27</x:v>
      </x:c>
      <x:c r="C699" s="95" t="n">
        <x:v>45544</x:v>
      </x:c>
      <x:c r="D699" s="95" t="n">
        <x:v>45544</x:v>
      </x:c>
      <x:c r="E699" s="86" t="str">
        <x:v>Atraso</x:v>
      </x:c>
      <x:c r="F699" s="86" t="n">
        <x:v>3</x:v>
      </x:c>
      <x:c r="G699" s="86" t="n">
        <x:v>1</x:v>
      </x:c>
      <x:c r="H699" s="91" t="n">
        <x:v>65.07</x:v>
      </x:c>
      <x:c r="I699" s="87" t="n">
        <x:v>4</x:v>
      </x:c>
    </x:row>
    <x:row r="700">
      <x:c r="A700" s="85" t="n">
        <x:v>699</x:v>
      </x:c>
      <x:c r="B700" s="86" t="n">
        <x:v>208</x:v>
      </x:c>
      <x:c r="C700" s="95" t="n">
        <x:v>45918</x:v>
      </x:c>
      <x:c r="D700" s="95" t="n">
        <x:v>45922</x:v>
      </x:c>
      <x:c r="E700" s="86" t="str">
        <x:v>Falta não justificada</x:v>
      </x:c>
      <x:c r="F700" s="86" t="n">
        <x:v>40</x:v>
      </x:c>
      <x:c r="G700" s="86" t="n">
        <x:v>0</x:v>
      </x:c>
      <x:c r="H700" s="91" t="n">
        <x:v>1636.25</x:v>
      </x:c>
      <x:c r="I700" s="87" t="n">
        <x:v>9</x:v>
      </x:c>
    </x:row>
    <x:row r="701">
      <x:c r="A701" s="85" t="n">
        <x:v>700</x:v>
      </x:c>
      <x:c r="B701" s="86" t="n">
        <x:v>204</x:v>
      </x:c>
      <x:c r="C701" s="95" t="n">
        <x:v>45633</x:v>
      </x:c>
      <x:c r="D701" s="95" t="n">
        <x:v>45633</x:v>
      </x:c>
      <x:c r="E701" s="86" t="str">
        <x:v>Atraso</x:v>
      </x:c>
      <x:c r="F701" s="86" t="n">
        <x:v>3</x:v>
      </x:c>
      <x:c r="G701" s="86" t="n">
        <x:v>1</x:v>
      </x:c>
      <x:c r="H701" s="91" t="n">
        <x:v>69.03</x:v>
      </x:c>
      <x:c r="I701" s="87" t="n">
        <x:v>6</x:v>
      </x:c>
    </x:row>
    <x:row r="702">
      <x:c r="A702" s="85" t="n">
        <x:v>701</x:v>
      </x:c>
      <x:c r="B702" s="86" t="n">
        <x:v>4</x:v>
      </x:c>
      <x:c r="C702" s="95" t="n">
        <x:v>45914</x:v>
      </x:c>
      <x:c r="D702" s="95" t="n">
        <x:v>45914</x:v>
      </x:c>
      <x:c r="E702" s="86" t="str">
        <x:v>Atestado médico</x:v>
      </x:c>
      <x:c r="F702" s="86" t="n">
        <x:v>4</x:v>
      </x:c>
      <x:c r="G702" s="86" t="n">
        <x:v>1</x:v>
      </x:c>
      <x:c r="H702" s="91" t="n">
        <x:v>84.12</x:v>
      </x:c>
      <x:c r="I702" s="87" t="n">
        <x:v>3</x:v>
      </x:c>
    </x:row>
    <x:row r="703">
      <x:c r="A703" s="85" t="n">
        <x:v>702</x:v>
      </x:c>
      <x:c r="B703" s="86" t="n">
        <x:v>44</x:v>
      </x:c>
      <x:c r="C703" s="95" t="n">
        <x:v>45904</x:v>
      </x:c>
      <x:c r="D703" s="95" t="n">
        <x:v>45904</x:v>
      </x:c>
      <x:c r="E703" s="86" t="str">
        <x:v>Atestado médico</x:v>
      </x:c>
      <x:c r="F703" s="86" t="n">
        <x:v>1</x:v>
      </x:c>
      <x:c r="G703" s="86" t="n">
        <x:v>1</x:v>
      </x:c>
      <x:c r="H703" s="91" t="n">
        <x:v>21.71</x:v>
      </x:c>
      <x:c r="I703" s="87" t="n">
        <x:v>2</x:v>
      </x:c>
    </x:row>
    <x:row r="704">
      <x:c r="A704" s="85" t="n">
        <x:v>703</x:v>
      </x:c>
      <x:c r="B704" s="86" t="n">
        <x:v>398</x:v>
      </x:c>
      <x:c r="C704" s="95" t="n">
        <x:v>45839</x:v>
      </x:c>
      <x:c r="D704" s="95" t="n">
        <x:v>45839</x:v>
      </x:c>
      <x:c r="E704" s="86" t="str">
        <x:v>Consulta médica</x:v>
      </x:c>
      <x:c r="F704" s="86" t="n">
        <x:v>8</x:v>
      </x:c>
      <x:c r="G704" s="86" t="n">
        <x:v>1</x:v>
      </x:c>
      <x:c r="H704" s="91" t="n">
        <x:v>93.08</x:v>
      </x:c>
      <x:c r="I704" s="87" t="n">
        <x:v>1</x:v>
      </x:c>
    </x:row>
    <x:row r="705">
      <x:c r="A705" s="85" t="n">
        <x:v>704</x:v>
      </x:c>
      <x:c r="B705" s="86" t="n">
        <x:v>264</x:v>
      </x:c>
      <x:c r="C705" s="95" t="n">
        <x:v>45465</x:v>
      </x:c>
      <x:c r="D705" s="95" t="n">
        <x:v>45465</x:v>
      </x:c>
      <x:c r="E705" s="86" t="str">
        <x:v>Atraso</x:v>
      </x:c>
      <x:c r="F705" s="86" t="n">
        <x:v>2</x:v>
      </x:c>
      <x:c r="G705" s="86" t="n">
        <x:v>1</x:v>
      </x:c>
      <x:c r="H705" s="91" t="n">
        <x:v>44.85</x:v>
      </x:c>
      <x:c r="I705" s="87" t="n">
        <x:v>4</x:v>
      </x:c>
    </x:row>
    <x:row r="706">
      <x:c r="A706" s="85" t="n">
        <x:v>705</x:v>
      </x:c>
      <x:c r="B706" s="86" t="n">
        <x:v>185</x:v>
      </x:c>
      <x:c r="C706" s="95" t="n">
        <x:v>46013</x:v>
      </x:c>
      <x:c r="D706" s="95" t="n">
        <x:v>46013</x:v>
      </x:c>
      <x:c r="E706" s="86" t="str">
        <x:v>Atraso</x:v>
      </x:c>
      <x:c r="F706" s="86" t="n">
        <x:v>2</x:v>
      </x:c>
      <x:c r="G706" s="86" t="n">
        <x:v>1</x:v>
      </x:c>
      <x:c r="H706" s="91" t="n">
        <x:v>72.88</x:v>
      </x:c>
      <x:c r="I706" s="87" t="n">
        <x:v>1</x:v>
      </x:c>
    </x:row>
    <x:row r="707">
      <x:c r="A707" s="85" t="n">
        <x:v>706</x:v>
      </x:c>
      <x:c r="B707" s="86" t="n">
        <x:v>181</x:v>
      </x:c>
      <x:c r="C707" s="95" t="n">
        <x:v>45806</x:v>
      </x:c>
      <x:c r="D707" s="95" t="n">
        <x:v>45806</x:v>
      </x:c>
      <x:c r="E707" s="86" t="str">
        <x:v>Atraso</x:v>
      </x:c>
      <x:c r="F707" s="86" t="n">
        <x:v>1</x:v>
      </x:c>
      <x:c r="G707" s="86" t="n">
        <x:v>1</x:v>
      </x:c>
      <x:c r="H707" s="91" t="n">
        <x:v>38.51</x:v>
      </x:c>
      <x:c r="I707" s="87" t="n">
        <x:v>6</x:v>
      </x:c>
    </x:row>
    <x:row r="708">
      <x:c r="A708" s="85" t="n">
        <x:v>707</x:v>
      </x:c>
      <x:c r="B708" s="86" t="n">
        <x:v>178</x:v>
      </x:c>
      <x:c r="C708" s="95" t="n">
        <x:v>45967</x:v>
      </x:c>
      <x:c r="D708" s="95" t="n">
        <x:v>45967</x:v>
      </x:c>
      <x:c r="E708" s="86" t="str">
        <x:v>Falta não justificada</x:v>
      </x:c>
      <x:c r="F708" s="86" t="n">
        <x:v>4</x:v>
      </x:c>
      <x:c r="G708" s="86" t="n">
        <x:v>0</x:v>
      </x:c>
      <x:c r="H708" s="91" t="n">
        <x:v>86.34</x:v>
      </x:c>
      <x:c r="I708" s="87" t="n">
        <x:v>2</x:v>
      </x:c>
    </x:row>
    <x:row r="709">
      <x:c r="A709" s="85" t="n">
        <x:v>708</x:v>
      </x:c>
      <x:c r="B709" s="86" t="n">
        <x:v>151</x:v>
      </x:c>
      <x:c r="C709" s="95" t="n">
        <x:v>45766</x:v>
      </x:c>
      <x:c r="D709" s="95" t="n">
        <x:v>45766</x:v>
      </x:c>
      <x:c r="E709" s="86" t="str">
        <x:v>Falta não justificada</x:v>
      </x:c>
      <x:c r="F709" s="86" t="n">
        <x:v>4</x:v>
      </x:c>
      <x:c r="G709" s="86" t="n">
        <x:v>0</x:v>
      </x:c>
      <x:c r="H709" s="91" t="n">
        <x:v>86.62</x:v>
      </x:c>
      <x:c r="I709" s="87" t="n">
        <x:v>2</x:v>
      </x:c>
    </x:row>
    <x:row r="710">
      <x:c r="A710" s="85" t="n">
        <x:v>709</x:v>
      </x:c>
      <x:c r="B710" s="86" t="n">
        <x:v>9</x:v>
      </x:c>
      <x:c r="C710" s="95" t="n">
        <x:v>45349</x:v>
      </x:c>
      <x:c r="D710" s="95" t="n">
        <x:v>45349</x:v>
      </x:c>
      <x:c r="E710" s="86" t="str">
        <x:v>Atraso</x:v>
      </x:c>
      <x:c r="F710" s="86" t="n">
        <x:v>1</x:v>
      </x:c>
      <x:c r="G710" s="86" t="n">
        <x:v>1</x:v>
      </x:c>
      <x:c r="H710" s="91" t="n">
        <x:v>29.61</x:v>
      </x:c>
      <x:c r="I710" s="87" t="n">
        <x:v>5</x:v>
      </x:c>
    </x:row>
    <x:row r="711">
      <x:c r="A711" s="85" t="n">
        <x:v>710</x:v>
      </x:c>
      <x:c r="B711" s="86" t="n">
        <x:v>202</x:v>
      </x:c>
      <x:c r="C711" s="95" t="n">
        <x:v>45863</x:v>
      </x:c>
      <x:c r="D711" s="95" t="n">
        <x:v>45865</x:v>
      </x:c>
      <x:c r="E711" s="86" t="str">
        <x:v>Atestado médico</x:v>
      </x:c>
      <x:c r="F711" s="86" t="n">
        <x:v>24</x:v>
      </x:c>
      <x:c r="G711" s="86" t="n">
        <x:v>1</x:v>
      </x:c>
      <x:c r="H711" s="91" t="n">
        <x:v>844.81</x:v>
      </x:c>
      <x:c r="I711" s="87" t="n">
        <x:v>1</x:v>
      </x:c>
    </x:row>
    <x:row r="712">
      <x:c r="A712" s="85" t="n">
        <x:v>711</x:v>
      </x:c>
      <x:c r="B712" s="86" t="n">
        <x:v>89</x:v>
      </x:c>
      <x:c r="C712" s="95" t="n">
        <x:v>45644</x:v>
      </x:c>
      <x:c r="D712" s="95" t="n">
        <x:v>45644</x:v>
      </x:c>
      <x:c r="E712" s="86" t="str">
        <x:v>Atestado médico</x:v>
      </x:c>
      <x:c r="F712" s="86" t="n">
        <x:v>2</x:v>
      </x:c>
      <x:c r="G712" s="86" t="n">
        <x:v>1</x:v>
      </x:c>
      <x:c r="H712" s="91" t="n">
        <x:v>28.63</x:v>
      </x:c>
      <x:c r="I712" s="87" t="n">
        <x:v>3</x:v>
      </x:c>
    </x:row>
    <x:row r="713">
      <x:c r="A713" s="85" t="n">
        <x:v>712</x:v>
      </x:c>
      <x:c r="B713" s="86" t="n">
        <x:v>230</x:v>
      </x:c>
      <x:c r="C713" s="95" t="n">
        <x:v>46014</x:v>
      </x:c>
      <x:c r="D713" s="95" t="n">
        <x:v>46014</x:v>
      </x:c>
      <x:c r="E713" s="86" t="str">
        <x:v>Consulta médica</x:v>
      </x:c>
      <x:c r="F713" s="86" t="n">
        <x:v>1</x:v>
      </x:c>
      <x:c r="G713" s="86" t="n">
        <x:v>1</x:v>
      </x:c>
      <x:c r="H713" s="91" t="n">
        <x:v>15.76</x:v>
      </x:c>
      <x:c r="I713" s="87" t="n">
        <x:v>1</x:v>
      </x:c>
    </x:row>
    <x:row r="714">
      <x:c r="A714" s="85" t="n">
        <x:v>713</x:v>
      </x:c>
      <x:c r="B714" s="86" t="n">
        <x:v>415</x:v>
      </x:c>
      <x:c r="C714" s="95" t="n">
        <x:v>45968</x:v>
      </x:c>
      <x:c r="D714" s="95" t="n">
        <x:v>45968</x:v>
      </x:c>
      <x:c r="E714" s="86" t="str">
        <x:v>Atestado médico</x:v>
      </x:c>
      <x:c r="F714" s="86" t="n">
        <x:v>4</x:v>
      </x:c>
      <x:c r="G714" s="86" t="n">
        <x:v>1</x:v>
      </x:c>
      <x:c r="H714" s="91" t="n">
        <x:v>52.49</x:v>
      </x:c>
      <x:c r="I714" s="87" t="n">
        <x:v>1</x:v>
      </x:c>
    </x:row>
    <x:row r="715">
      <x:c r="A715" s="85" t="n">
        <x:v>714</x:v>
      </x:c>
      <x:c r="B715" s="86" t="n">
        <x:v>347</x:v>
      </x:c>
      <x:c r="C715" s="95" t="n">
        <x:v>46006</x:v>
      </x:c>
      <x:c r="D715" s="95" t="n">
        <x:v>46006</x:v>
      </x:c>
      <x:c r="E715" s="86" t="str">
        <x:v>Atraso</x:v>
      </x:c>
      <x:c r="F715" s="86" t="n">
        <x:v>3</x:v>
      </x:c>
      <x:c r="G715" s="86" t="n">
        <x:v>1</x:v>
      </x:c>
      <x:c r="H715" s="91" t="n">
        <x:v>62.95</x:v>
      </x:c>
      <x:c r="I715" s="87" t="n">
        <x:v>7</x:v>
      </x:c>
    </x:row>
    <x:row r="716">
      <x:c r="A716" s="85" t="n">
        <x:v>715</x:v>
      </x:c>
      <x:c r="B716" s="86" t="n">
        <x:v>208</x:v>
      </x:c>
      <x:c r="C716" s="95" t="n">
        <x:v>45717</x:v>
      </x:c>
      <x:c r="D716" s="95" t="n">
        <x:v>45718</x:v>
      </x:c>
      <x:c r="E716" s="86" t="str">
        <x:v>Falta não justificada</x:v>
      </x:c>
      <x:c r="F716" s="86" t="n">
        <x:v>16</x:v>
      </x:c>
      <x:c r="G716" s="86" t="n">
        <x:v>0</x:v>
      </x:c>
      <x:c r="H716" s="91" t="n">
        <x:v>654.5</x:v>
      </x:c>
      <x:c r="I716" s="87" t="n">
        <x:v>9</x:v>
      </x:c>
    </x:row>
    <x:row r="717">
      <x:c r="A717" s="85" t="n">
        <x:v>716</x:v>
      </x:c>
      <x:c r="B717" s="86" t="n">
        <x:v>187</x:v>
      </x:c>
      <x:c r="C717" s="95" t="n">
        <x:v>45988</x:v>
      </x:c>
      <x:c r="D717" s="95" t="n">
        <x:v>45992</x:v>
      </x:c>
      <x:c r="E717" s="86" t="str">
        <x:v>Atestado médico</x:v>
      </x:c>
      <x:c r="F717" s="86" t="n">
        <x:v>40</x:v>
      </x:c>
      <x:c r="G717" s="86" t="n">
        <x:v>1</x:v>
      </x:c>
      <x:c r="H717" s="91" t="n">
        <x:v>814.82</x:v>
      </x:c>
      <x:c r="I717" s="87" t="n">
        <x:v>8</x:v>
      </x:c>
    </x:row>
    <x:row r="718">
      <x:c r="A718" s="85" t="n">
        <x:v>717</x:v>
      </x:c>
      <x:c r="B718" s="86" t="n">
        <x:v>110</x:v>
      </x:c>
      <x:c r="C718" s="95" t="n">
        <x:v>45647</x:v>
      </x:c>
      <x:c r="D718" s="95" t="n">
        <x:v>45648</x:v>
      </x:c>
      <x:c r="E718" s="86" t="str">
        <x:v>Consulta médica</x:v>
      </x:c>
      <x:c r="F718" s="86" t="n">
        <x:v>16</x:v>
      </x:c>
      <x:c r="G718" s="86" t="n">
        <x:v>1</x:v>
      </x:c>
      <x:c r="H718" s="91" t="n">
        <x:v>1354.75</x:v>
      </x:c>
      <x:c r="I718" s="87" t="n">
        <x:v>8</x:v>
      </x:c>
    </x:row>
    <x:row r="719">
      <x:c r="A719" s="85" t="n">
        <x:v>718</x:v>
      </x:c>
      <x:c r="B719" s="86" t="n">
        <x:v>96</x:v>
      </x:c>
      <x:c r="C719" s="95" t="n">
        <x:v>45536</x:v>
      </x:c>
      <x:c r="D719" s="95" t="n">
        <x:v>45537</x:v>
      </x:c>
      <x:c r="E719" s="86" t="str">
        <x:v>Falta não justificada</x:v>
      </x:c>
      <x:c r="F719" s="86" t="n">
        <x:v>16</x:v>
      </x:c>
      <x:c r="G719" s="86" t="n">
        <x:v>0</x:v>
      </x:c>
      <x:c r="H719" s="91" t="n">
        <x:v>191.81</x:v>
      </x:c>
      <x:c r="I719" s="87" t="n">
        <x:v>1</x:v>
      </x:c>
    </x:row>
    <x:row r="720">
      <x:c r="A720" s="85" t="n">
        <x:v>719</x:v>
      </x:c>
      <x:c r="B720" s="86" t="n">
        <x:v>274</x:v>
      </x:c>
      <x:c r="C720" s="95" t="n">
        <x:v>45634</x:v>
      </x:c>
      <x:c r="D720" s="95" t="n">
        <x:v>45634</x:v>
      </x:c>
      <x:c r="E720" s="86" t="str">
        <x:v>Atestado médico</x:v>
      </x:c>
      <x:c r="F720" s="86" t="n">
        <x:v>8</x:v>
      </x:c>
      <x:c r="G720" s="86" t="n">
        <x:v>1</x:v>
      </x:c>
      <x:c r="H720" s="91" t="n">
        <x:v>206.29</x:v>
      </x:c>
      <x:c r="I720" s="87" t="n">
        <x:v>8</x:v>
      </x:c>
    </x:row>
    <x:row r="721">
      <x:c r="A721" s="85" t="n">
        <x:v>720</x:v>
      </x:c>
      <x:c r="B721" s="86" t="n">
        <x:v>77</x:v>
      </x:c>
      <x:c r="C721" s="95" t="n">
        <x:v>45366</x:v>
      </x:c>
      <x:c r="D721" s="95" t="n">
        <x:v>45366</x:v>
      </x:c>
      <x:c r="E721" s="86" t="str">
        <x:v>Atestado médico</x:v>
      </x:c>
      <x:c r="F721" s="86" t="n">
        <x:v>1</x:v>
      </x:c>
      <x:c r="G721" s="86" t="n">
        <x:v>1</x:v>
      </x:c>
      <x:c r="H721" s="91" t="n">
        <x:v>35.62</x:v>
      </x:c>
      <x:c r="I721" s="87" t="n">
        <x:v>1</x:v>
      </x:c>
    </x:row>
    <x:row r="722">
      <x:c r="A722" s="85" t="n">
        <x:v>721</x:v>
      </x:c>
      <x:c r="B722" s="86" t="n">
        <x:v>215</x:v>
      </x:c>
      <x:c r="C722" s="95" t="n">
        <x:v>45856</x:v>
      </x:c>
      <x:c r="D722" s="95" t="n">
        <x:v>45856</x:v>
      </x:c>
      <x:c r="E722" s="86" t="str">
        <x:v>Falta não justificada</x:v>
      </x:c>
      <x:c r="F722" s="86" t="n">
        <x:v>4</x:v>
      </x:c>
      <x:c r="G722" s="86" t="n">
        <x:v>0</x:v>
      </x:c>
      <x:c r="H722" s="91" t="n">
        <x:v>106.23</x:v>
      </x:c>
      <x:c r="I722" s="87" t="n">
        <x:v>6</x:v>
      </x:c>
    </x:row>
    <x:row r="723">
      <x:c r="A723" s="85" t="n">
        <x:v>722</x:v>
      </x:c>
      <x:c r="B723" s="86" t="n">
        <x:v>47</x:v>
      </x:c>
      <x:c r="C723" s="95" t="n">
        <x:v>45889</x:v>
      </x:c>
      <x:c r="D723" s="95" t="n">
        <x:v>45889</x:v>
      </x:c>
      <x:c r="E723" s="86" t="str">
        <x:v>Atraso</x:v>
      </x:c>
      <x:c r="F723" s="86" t="n">
        <x:v>1</x:v>
      </x:c>
      <x:c r="G723" s="86" t="n">
        <x:v>1</x:v>
      </x:c>
      <x:c r="H723" s="91" t="n">
        <x:v>14.15</x:v>
      </x:c>
      <x:c r="I723" s="87" t="n">
        <x:v>1</x:v>
      </x:c>
    </x:row>
    <x:row r="724">
      <x:c r="A724" s="85" t="n">
        <x:v>723</x:v>
      </x:c>
      <x:c r="B724" s="86" t="n">
        <x:v>257</x:v>
      </x:c>
      <x:c r="C724" s="95" t="n">
        <x:v>45929</x:v>
      </x:c>
      <x:c r="D724" s="95" t="n">
        <x:v>45929</x:v>
      </x:c>
      <x:c r="E724" s="86" t="str">
        <x:v>Atestado médico</x:v>
      </x:c>
      <x:c r="F724" s="86" t="n">
        <x:v>2</x:v>
      </x:c>
      <x:c r="G724" s="86" t="n">
        <x:v>1</x:v>
      </x:c>
      <x:c r="H724" s="91" t="n">
        <x:v>69.38</x:v>
      </x:c>
      <x:c r="I724" s="87" t="n">
        <x:v>6</x:v>
      </x:c>
    </x:row>
    <x:row r="725">
      <x:c r="A725" s="85" t="n">
        <x:v>724</x:v>
      </x:c>
      <x:c r="B725" s="86" t="n">
        <x:v>86</x:v>
      </x:c>
      <x:c r="C725" s="95" t="n">
        <x:v>45864</x:v>
      </x:c>
      <x:c r="D725" s="95" t="n">
        <x:v>45864</x:v>
      </x:c>
      <x:c r="E725" s="86" t="str">
        <x:v>Consulta médica</x:v>
      </x:c>
      <x:c r="F725" s="86" t="n">
        <x:v>2</x:v>
      </x:c>
      <x:c r="G725" s="86" t="n">
        <x:v>1</x:v>
      </x:c>
      <x:c r="H725" s="91" t="n">
        <x:v>160.12</x:v>
      </x:c>
      <x:c r="I725" s="87" t="n">
        <x:v>8</x:v>
      </x:c>
    </x:row>
    <x:row r="726">
      <x:c r="A726" s="85" t="n">
        <x:v>725</x:v>
      </x:c>
      <x:c r="B726" s="86" t="n">
        <x:v>47</x:v>
      </x:c>
      <x:c r="C726" s="95" t="n">
        <x:v>45336</x:v>
      </x:c>
      <x:c r="D726" s="95" t="n">
        <x:v>45336</x:v>
      </x:c>
      <x:c r="E726" s="86" t="str">
        <x:v>Atraso</x:v>
      </x:c>
      <x:c r="F726" s="86" t="n">
        <x:v>2</x:v>
      </x:c>
      <x:c r="G726" s="86" t="n">
        <x:v>1</x:v>
      </x:c>
      <x:c r="H726" s="91" t="n">
        <x:v>28.3</x:v>
      </x:c>
      <x:c r="I726" s="87" t="n">
        <x:v>1</x:v>
      </x:c>
    </x:row>
    <x:row r="727">
      <x:c r="A727" s="85" t="n">
        <x:v>726</x:v>
      </x:c>
      <x:c r="B727" s="86" t="n">
        <x:v>57</x:v>
      </x:c>
      <x:c r="C727" s="95" t="n">
        <x:v>45483</x:v>
      </x:c>
      <x:c r="D727" s="95" t="n">
        <x:v>45485</x:v>
      </x:c>
      <x:c r="E727" s="86" t="str">
        <x:v>Atestado médico</x:v>
      </x:c>
      <x:c r="F727" s="86" t="n">
        <x:v>24</x:v>
      </x:c>
      <x:c r="G727" s="86" t="n">
        <x:v>1</x:v>
      </x:c>
      <x:c r="H727" s="91" t="n">
        <x:v>714.93</x:v>
      </x:c>
      <x:c r="I727" s="87" t="n">
        <x:v>5</x:v>
      </x:c>
    </x:row>
    <x:row r="728">
      <x:c r="A728" s="85" t="n">
        <x:v>727</x:v>
      </x:c>
      <x:c r="B728" s="86" t="n">
        <x:v>86</x:v>
      </x:c>
      <x:c r="C728" s="95" t="n">
        <x:v>45907</x:v>
      </x:c>
      <x:c r="D728" s="95" t="n">
        <x:v>45907</x:v>
      </x:c>
      <x:c r="E728" s="86" t="str">
        <x:v>Atraso</x:v>
      </x:c>
      <x:c r="F728" s="86" t="n">
        <x:v>2</x:v>
      </x:c>
      <x:c r="G728" s="86" t="n">
        <x:v>1</x:v>
      </x:c>
      <x:c r="H728" s="91" t="n">
        <x:v>160.12</x:v>
      </x:c>
      <x:c r="I728" s="87" t="n">
        <x:v>8</x:v>
      </x:c>
    </x:row>
    <x:row r="729">
      <x:c r="A729" s="85" t="n">
        <x:v>728</x:v>
      </x:c>
      <x:c r="B729" s="86" t="n">
        <x:v>399</x:v>
      </x:c>
      <x:c r="C729" s="95" t="n">
        <x:v>45496</x:v>
      </x:c>
      <x:c r="D729" s="95" t="n">
        <x:v>45498</x:v>
      </x:c>
      <x:c r="E729" s="86" t="str">
        <x:v>Falta não justificada</x:v>
      </x:c>
      <x:c r="F729" s="86" t="n">
        <x:v>24</x:v>
      </x:c>
      <x:c r="G729" s="86" t="n">
        <x:v>0</x:v>
      </x:c>
      <x:c r="H729" s="91" t="n">
        <x:v>370.2</x:v>
      </x:c>
      <x:c r="I729" s="87" t="n">
        <x:v>1</x:v>
      </x:c>
    </x:row>
    <x:row r="730">
      <x:c r="A730" s="85" t="n">
        <x:v>729</x:v>
      </x:c>
      <x:c r="B730" s="86" t="n">
        <x:v>378</x:v>
      </x:c>
      <x:c r="C730" s="95" t="n">
        <x:v>45950</x:v>
      </x:c>
      <x:c r="D730" s="95" t="n">
        <x:v>45950</x:v>
      </x:c>
      <x:c r="E730" s="86" t="str">
        <x:v>Consulta médica</x:v>
      </x:c>
      <x:c r="F730" s="86" t="n">
        <x:v>1</x:v>
      </x:c>
      <x:c r="G730" s="86" t="n">
        <x:v>1</x:v>
      </x:c>
      <x:c r="H730" s="91" t="n">
        <x:v>44.63</x:v>
      </x:c>
      <x:c r="I730" s="87" t="n">
        <x:v>5</x:v>
      </x:c>
    </x:row>
    <x:row r="731">
      <x:c r="A731" s="85" t="n">
        <x:v>730</x:v>
      </x:c>
      <x:c r="B731" s="86" t="n">
        <x:v>357</x:v>
      </x:c>
      <x:c r="C731" s="95" t="n">
        <x:v>45983</x:v>
      </x:c>
      <x:c r="D731" s="95" t="n">
        <x:v>45983</x:v>
      </x:c>
      <x:c r="E731" s="86" t="str">
        <x:v>Atraso</x:v>
      </x:c>
      <x:c r="F731" s="86" t="n">
        <x:v>3</x:v>
      </x:c>
      <x:c r="G731" s="86" t="n">
        <x:v>1</x:v>
      </x:c>
      <x:c r="H731" s="91" t="n">
        <x:v>99.38</x:v>
      </x:c>
      <x:c r="I731" s="87" t="n">
        <x:v>10</x:v>
      </x:c>
    </x:row>
    <x:row r="732">
      <x:c r="A732" s="85" t="n">
        <x:v>731</x:v>
      </x:c>
      <x:c r="B732" s="86" t="n">
        <x:v>269</x:v>
      </x:c>
      <x:c r="C732" s="95" t="n">
        <x:v>45348</x:v>
      </x:c>
      <x:c r="D732" s="95" t="n">
        <x:v>45348</x:v>
      </x:c>
      <x:c r="E732" s="86" t="str">
        <x:v>Atraso</x:v>
      </x:c>
      <x:c r="F732" s="86" t="n">
        <x:v>1</x:v>
      </x:c>
      <x:c r="G732" s="86" t="n">
        <x:v>1</x:v>
      </x:c>
      <x:c r="H732" s="91" t="n">
        <x:v>28.84</x:v>
      </x:c>
      <x:c r="I732" s="87" t="n">
        <x:v>4</x:v>
      </x:c>
    </x:row>
    <x:row r="733">
      <x:c r="A733" s="85" t="n">
        <x:v>732</x:v>
      </x:c>
      <x:c r="B733" s="86" t="n">
        <x:v>410</x:v>
      </x:c>
      <x:c r="C733" s="95" t="n">
        <x:v>45913</x:v>
      </x:c>
      <x:c r="D733" s="95" t="n">
        <x:v>45913</x:v>
      </x:c>
      <x:c r="E733" s="86" t="str">
        <x:v>Consulta médica</x:v>
      </x:c>
      <x:c r="F733" s="86" t="n">
        <x:v>8</x:v>
      </x:c>
      <x:c r="G733" s="86" t="n">
        <x:v>1</x:v>
      </x:c>
      <x:c r="H733" s="91" t="n">
        <x:v>120.29</x:v>
      </x:c>
      <x:c r="I733" s="87" t="n">
        <x:v>2</x:v>
      </x:c>
    </x:row>
    <x:row r="734">
      <x:c r="A734" s="85" t="n">
        <x:v>733</x:v>
      </x:c>
      <x:c r="B734" s="86" t="n">
        <x:v>214</x:v>
      </x:c>
      <x:c r="C734" s="95" t="n">
        <x:v>45928</x:v>
      </x:c>
      <x:c r="D734" s="95" t="n">
        <x:v>45928</x:v>
      </x:c>
      <x:c r="E734" s="86" t="str">
        <x:v>Atraso</x:v>
      </x:c>
      <x:c r="F734" s="86" t="n">
        <x:v>3</x:v>
      </x:c>
      <x:c r="G734" s="86" t="n">
        <x:v>1</x:v>
      </x:c>
      <x:c r="H734" s="91" t="n">
        <x:v>81.52</x:v>
      </x:c>
      <x:c r="I734" s="87" t="n">
        <x:v>8</x:v>
      </x:c>
    </x:row>
    <x:row r="735">
      <x:c r="A735" s="85" t="n">
        <x:v>734</x:v>
      </x:c>
      <x:c r="B735" s="86" t="n">
        <x:v>36</x:v>
      </x:c>
      <x:c r="C735" s="95" t="n">
        <x:v>45938</x:v>
      </x:c>
      <x:c r="D735" s="95" t="n">
        <x:v>45939</x:v>
      </x:c>
      <x:c r="E735" s="86" t="str">
        <x:v>Falta não justificada</x:v>
      </x:c>
      <x:c r="F735" s="86" t="n">
        <x:v>16</x:v>
      </x:c>
      <x:c r="G735" s="86" t="n">
        <x:v>0</x:v>
      </x:c>
      <x:c r="H735" s="91" t="n">
        <x:v>276.39</x:v>
      </x:c>
      <x:c r="I735" s="87" t="n">
        <x:v>4</x:v>
      </x:c>
    </x:row>
    <x:row r="736">
      <x:c r="A736" s="85" t="n">
        <x:v>735</x:v>
      </x:c>
      <x:c r="B736" s="86" t="n">
        <x:v>176</x:v>
      </x:c>
      <x:c r="C736" s="95" t="n">
        <x:v>46009</x:v>
      </x:c>
      <x:c r="D736" s="95" t="n">
        <x:v>46009</x:v>
      </x:c>
      <x:c r="E736" s="86" t="str">
        <x:v>Licença</x:v>
      </x:c>
      <x:c r="F736" s="86" t="n">
        <x:v>8</x:v>
      </x:c>
      <x:c r="G736" s="86" t="n">
        <x:v>1</x:v>
      </x:c>
      <x:c r="H736" s="91" t="n">
        <x:v>253.16</x:v>
      </x:c>
      <x:c r="I736" s="87" t="n">
        <x:v>10</x:v>
      </x:c>
    </x:row>
    <x:row r="737">
      <x:c r="A737" s="85" t="n">
        <x:v>736</x:v>
      </x:c>
      <x:c r="B737" s="86" t="n">
        <x:v>254</x:v>
      </x:c>
      <x:c r="C737" s="95" t="n">
        <x:v>45761</x:v>
      </x:c>
      <x:c r="D737" s="95" t="n">
        <x:v>45763</x:v>
      </x:c>
      <x:c r="E737" s="86" t="str">
        <x:v>Atestado médico</x:v>
      </x:c>
      <x:c r="F737" s="86" t="n">
        <x:v>24</x:v>
      </x:c>
      <x:c r="G737" s="86" t="n">
        <x:v>1</x:v>
      </x:c>
      <x:c r="H737" s="91" t="n">
        <x:v>305.69</x:v>
      </x:c>
      <x:c r="I737" s="87" t="n">
        <x:v>1</x:v>
      </x:c>
    </x:row>
    <x:row r="738">
      <x:c r="A738" s="85" t="n">
        <x:v>737</x:v>
      </x:c>
      <x:c r="B738" s="86" t="n">
        <x:v>260</x:v>
      </x:c>
      <x:c r="C738" s="95" t="n">
        <x:v>45564</x:v>
      </x:c>
      <x:c r="D738" s="95" t="n">
        <x:v>45568</x:v>
      </x:c>
      <x:c r="E738" s="86" t="str">
        <x:v>Atestado médico</x:v>
      </x:c>
      <x:c r="F738" s="86" t="n">
        <x:v>40</x:v>
      </x:c>
      <x:c r="G738" s="86" t="n">
        <x:v>1</x:v>
      </x:c>
      <x:c r="H738" s="91" t="n">
        <x:v>473.86</x:v>
      </x:c>
      <x:c r="I738" s="87" t="n">
        <x:v>1</x:v>
      </x:c>
    </x:row>
    <x:row r="739">
      <x:c r="A739" s="85" t="n">
        <x:v>738</x:v>
      </x:c>
      <x:c r="B739" s="86" t="n">
        <x:v>138</x:v>
      </x:c>
      <x:c r="C739" s="95" t="n">
        <x:v>45747</x:v>
      </x:c>
      <x:c r="D739" s="95" t="n">
        <x:v>45748</x:v>
      </x:c>
      <x:c r="E739" s="86" t="str">
        <x:v>Falta não justificada</x:v>
      </x:c>
      <x:c r="F739" s="86" t="n">
        <x:v>16</x:v>
      </x:c>
      <x:c r="G739" s="86" t="n">
        <x:v>0</x:v>
      </x:c>
      <x:c r="H739" s="91" t="n">
        <x:v>422.16</x:v>
      </x:c>
      <x:c r="I739" s="87" t="n">
        <x:v>7</x:v>
      </x:c>
    </x:row>
    <x:row r="740">
      <x:c r="A740" s="85" t="n">
        <x:v>739</x:v>
      </x:c>
      <x:c r="B740" s="86" t="n">
        <x:v>296</x:v>
      </x:c>
      <x:c r="C740" s="95" t="n">
        <x:v>45442</x:v>
      </x:c>
      <x:c r="D740" s="95" t="n">
        <x:v>45442</x:v>
      </x:c>
      <x:c r="E740" s="86" t="str">
        <x:v>Atraso</x:v>
      </x:c>
      <x:c r="F740" s="86" t="n">
        <x:v>1</x:v>
      </x:c>
      <x:c r="G740" s="86" t="n">
        <x:v>1</x:v>
      </x:c>
      <x:c r="H740" s="91" t="n">
        <x:v>20.46</x:v>
      </x:c>
      <x:c r="I740" s="87" t="n">
        <x:v>3</x:v>
      </x:c>
    </x:row>
    <x:row r="741">
      <x:c r="A741" s="85" t="n">
        <x:v>740</x:v>
      </x:c>
      <x:c r="B741" s="86" t="n">
        <x:v>161</x:v>
      </x:c>
      <x:c r="C741" s="95" t="n">
        <x:v>45573</x:v>
      </x:c>
      <x:c r="D741" s="95" t="n">
        <x:v>45573</x:v>
      </x:c>
      <x:c r="E741" s="86" t="str">
        <x:v>Atestado médico</x:v>
      </x:c>
      <x:c r="F741" s="86" t="n">
        <x:v>1</x:v>
      </x:c>
      <x:c r="G741" s="86" t="n">
        <x:v>1</x:v>
      </x:c>
      <x:c r="H741" s="91" t="n">
        <x:v>14.57</x:v>
      </x:c>
      <x:c r="I741" s="87" t="n">
        <x:v>1</x:v>
      </x:c>
    </x:row>
    <x:row r="742">
      <x:c r="A742" s="85" t="n">
        <x:v>741</x:v>
      </x:c>
      <x:c r="B742" s="86" t="n">
        <x:v>195</x:v>
      </x:c>
      <x:c r="C742" s="95" t="n">
        <x:v>45861</x:v>
      </x:c>
      <x:c r="D742" s="95" t="n">
        <x:v>45861</x:v>
      </x:c>
      <x:c r="E742" s="86" t="str">
        <x:v>Atraso</x:v>
      </x:c>
      <x:c r="F742" s="86" t="n">
        <x:v>2</x:v>
      </x:c>
      <x:c r="G742" s="86" t="n">
        <x:v>1</x:v>
      </x:c>
      <x:c r="H742" s="91" t="n">
        <x:v>48.82</x:v>
      </x:c>
      <x:c r="I742" s="87" t="n">
        <x:v>4</x:v>
      </x:c>
    </x:row>
    <x:row r="743">
      <x:c r="A743" s="85" t="n">
        <x:v>742</x:v>
      </x:c>
      <x:c r="B743" s="86" t="n">
        <x:v>355</x:v>
      </x:c>
      <x:c r="C743" s="95" t="n">
        <x:v>45474</x:v>
      </x:c>
      <x:c r="D743" s="95" t="n">
        <x:v>45474</x:v>
      </x:c>
      <x:c r="E743" s="86" t="str">
        <x:v>Falta não justificada</x:v>
      </x:c>
      <x:c r="F743" s="86" t="n">
        <x:v>8</x:v>
      </x:c>
      <x:c r="G743" s="86" t="n">
        <x:v>0</x:v>
      </x:c>
      <x:c r="H743" s="91" t="n">
        <x:v>96.16</x:v>
      </x:c>
      <x:c r="I743" s="87" t="n">
        <x:v>1</x:v>
      </x:c>
    </x:row>
    <x:row r="744">
      <x:c r="A744" s="85" t="n">
        <x:v>743</x:v>
      </x:c>
      <x:c r="B744" s="86" t="n">
        <x:v>65</x:v>
      </x:c>
      <x:c r="C744" s="95" t="n">
        <x:v>45970</x:v>
      </x:c>
      <x:c r="D744" s="95" t="n">
        <x:v>45970</x:v>
      </x:c>
      <x:c r="E744" s="86" t="str">
        <x:v>Atestado médico</x:v>
      </x:c>
      <x:c r="F744" s="86" t="n">
        <x:v>2</x:v>
      </x:c>
      <x:c r="G744" s="86" t="n">
        <x:v>1</x:v>
      </x:c>
      <x:c r="H744" s="91" t="n">
        <x:v>145.4</x:v>
      </x:c>
      <x:c r="I744" s="87" t="n">
        <x:v>6</x:v>
      </x:c>
    </x:row>
    <x:row r="745">
      <x:c r="A745" s="85" t="n">
        <x:v>744</x:v>
      </x:c>
      <x:c r="B745" s="86" t="n">
        <x:v>163</x:v>
      </x:c>
      <x:c r="C745" s="95" t="n">
        <x:v>45812</x:v>
      </x:c>
      <x:c r="D745" s="95" t="n">
        <x:v>45812</x:v>
      </x:c>
      <x:c r="E745" s="86" t="str">
        <x:v>Consulta médica</x:v>
      </x:c>
      <x:c r="F745" s="86" t="n">
        <x:v>2</x:v>
      </x:c>
      <x:c r="G745" s="86" t="n">
        <x:v>1</x:v>
      </x:c>
      <x:c r="H745" s="91" t="n">
        <x:v>36.14</x:v>
      </x:c>
      <x:c r="I745" s="87" t="n">
        <x:v>3</x:v>
      </x:c>
    </x:row>
    <x:row r="746">
      <x:c r="A746" s="85" t="n">
        <x:v>745</x:v>
      </x:c>
      <x:c r="B746" s="86" t="n">
        <x:v>267</x:v>
      </x:c>
      <x:c r="C746" s="95" t="n">
        <x:v>45855</x:v>
      </x:c>
      <x:c r="D746" s="95" t="n">
        <x:v>45855</x:v>
      </x:c>
      <x:c r="E746" s="86" t="str">
        <x:v>Atestado médico</x:v>
      </x:c>
      <x:c r="F746" s="86" t="n">
        <x:v>2</x:v>
      </x:c>
      <x:c r="G746" s="86" t="n">
        <x:v>1</x:v>
      </x:c>
      <x:c r="H746" s="91" t="n">
        <x:v>46.02</x:v>
      </x:c>
      <x:c r="I746" s="87" t="n">
        <x:v>4</x:v>
      </x:c>
    </x:row>
    <x:row r="747">
      <x:c r="A747" s="85" t="n">
        <x:v>746</x:v>
      </x:c>
      <x:c r="B747" s="86" t="n">
        <x:v>333</x:v>
      </x:c>
      <x:c r="C747" s="95" t="n">
        <x:v>45303</x:v>
      </x:c>
      <x:c r="D747" s="95" t="n">
        <x:v>45303</x:v>
      </x:c>
      <x:c r="E747" s="86" t="str">
        <x:v>Atraso</x:v>
      </x:c>
      <x:c r="F747" s="86" t="n">
        <x:v>1</x:v>
      </x:c>
      <x:c r="G747" s="86" t="n">
        <x:v>1</x:v>
      </x:c>
      <x:c r="H747" s="91" t="n">
        <x:v>38.18</x:v>
      </x:c>
      <x:c r="I747" s="87" t="n">
        <x:v>6</x:v>
      </x:c>
    </x:row>
    <x:row r="748">
      <x:c r="A748" s="85" t="n">
        <x:v>747</x:v>
      </x:c>
      <x:c r="B748" s="86" t="n">
        <x:v>296</x:v>
      </x:c>
      <x:c r="C748" s="95" t="n">
        <x:v>45724</x:v>
      </x:c>
      <x:c r="D748" s="95" t="n">
        <x:v>45726</x:v>
      </x:c>
      <x:c r="E748" s="86" t="str">
        <x:v>Atestado médico</x:v>
      </x:c>
      <x:c r="F748" s="86" t="n">
        <x:v>24</x:v>
      </x:c>
      <x:c r="G748" s="86" t="n">
        <x:v>1</x:v>
      </x:c>
      <x:c r="H748" s="91" t="n">
        <x:v>490.94</x:v>
      </x:c>
      <x:c r="I748" s="87" t="n">
        <x:v>3</x:v>
      </x:c>
    </x:row>
    <x:row r="749">
      <x:c r="A749" s="85" t="n">
        <x:v>748</x:v>
      </x:c>
      <x:c r="B749" s="86" t="n">
        <x:v>99</x:v>
      </x:c>
      <x:c r="C749" s="95" t="n">
        <x:v>45914</x:v>
      </x:c>
      <x:c r="D749" s="95" t="n">
        <x:v>45918</x:v>
      </x:c>
      <x:c r="E749" s="86" t="str">
        <x:v>Atestado médico</x:v>
      </x:c>
      <x:c r="F749" s="86" t="n">
        <x:v>40</x:v>
      </x:c>
      <x:c r="G749" s="86" t="n">
        <x:v>1</x:v>
      </x:c>
      <x:c r="H749" s="91" t="n">
        <x:v>595.73</x:v>
      </x:c>
      <x:c r="I749" s="87" t="n">
        <x:v>2</x:v>
      </x:c>
    </x:row>
    <x:row r="750">
      <x:c r="A750" s="85" t="n">
        <x:v>749</x:v>
      </x:c>
      <x:c r="B750" s="86" t="n">
        <x:v>150</x:v>
      </x:c>
      <x:c r="C750" s="95" t="n">
        <x:v>45939</x:v>
      </x:c>
      <x:c r="D750" s="95" t="n">
        <x:v>45939</x:v>
      </x:c>
      <x:c r="E750" s="86" t="str">
        <x:v>Atraso</x:v>
      </x:c>
      <x:c r="F750" s="86" t="n">
        <x:v>2</x:v>
      </x:c>
      <x:c r="G750" s="86" t="n">
        <x:v>1</x:v>
      </x:c>
      <x:c r="H750" s="91" t="n">
        <x:v>31.57</x:v>
      </x:c>
      <x:c r="I750" s="87" t="n">
        <x:v>1</x:v>
      </x:c>
    </x:row>
    <x:row r="751">
      <x:c r="A751" s="85" t="n">
        <x:v>750</x:v>
      </x:c>
      <x:c r="B751" s="86" t="n">
        <x:v>283</x:v>
      </x:c>
      <x:c r="C751" s="95" t="n">
        <x:v>46012</x:v>
      </x:c>
      <x:c r="D751" s="95" t="n">
        <x:v>46012</x:v>
      </x:c>
      <x:c r="E751" s="86" t="str">
        <x:v>Falta não justificada</x:v>
      </x:c>
      <x:c r="F751" s="86" t="n">
        <x:v>1</x:v>
      </x:c>
      <x:c r="G751" s="86" t="n">
        <x:v>0</x:v>
      </x:c>
      <x:c r="H751" s="91" t="n">
        <x:v>15.32</x:v>
      </x:c>
      <x:c r="I751" s="87" t="n">
        <x:v>1</x:v>
      </x:c>
    </x:row>
    <x:row r="752">
      <x:c r="A752" s="85" t="n">
        <x:v>751</x:v>
      </x:c>
      <x:c r="B752" s="86" t="n">
        <x:v>81</x:v>
      </x:c>
      <x:c r="C752" s="95" t="n">
        <x:v>45629</x:v>
      </x:c>
      <x:c r="D752" s="95" t="n">
        <x:v>45629</x:v>
      </x:c>
      <x:c r="E752" s="86" t="str">
        <x:v>Atraso</x:v>
      </x:c>
      <x:c r="F752" s="86" t="n">
        <x:v>3</x:v>
      </x:c>
      <x:c r="G752" s="86" t="n">
        <x:v>1</x:v>
      </x:c>
      <x:c r="H752" s="91" t="n">
        <x:v>49.93</x:v>
      </x:c>
      <x:c r="I752" s="87" t="n">
        <x:v>3</x:v>
      </x:c>
    </x:row>
    <x:row r="753">
      <x:c r="A753" s="85" t="n">
        <x:v>752</x:v>
      </x:c>
      <x:c r="B753" s="86" t="n">
        <x:v>250</x:v>
      </x:c>
      <x:c r="C753" s="95" t="n">
        <x:v>45883</x:v>
      </x:c>
      <x:c r="D753" s="95" t="n">
        <x:v>45883</x:v>
      </x:c>
      <x:c r="E753" s="86" t="str">
        <x:v>Atestado médico</x:v>
      </x:c>
      <x:c r="F753" s="86" t="n">
        <x:v>8</x:v>
      </x:c>
      <x:c r="G753" s="86" t="n">
        <x:v>1</x:v>
      </x:c>
      <x:c r="H753" s="91" t="n">
        <x:v>180.26</x:v>
      </x:c>
      <x:c r="I753" s="87" t="n">
        <x:v>10</x:v>
      </x:c>
    </x:row>
    <x:row r="754">
      <x:c r="A754" s="85" t="n">
        <x:v>753</x:v>
      </x:c>
      <x:c r="B754" s="86" t="n">
        <x:v>410</x:v>
      </x:c>
      <x:c r="C754" s="95" t="n">
        <x:v>45852</x:v>
      </x:c>
      <x:c r="D754" s="95" t="n">
        <x:v>45852</x:v>
      </x:c>
      <x:c r="E754" s="86" t="str">
        <x:v>Atestado médico</x:v>
      </x:c>
      <x:c r="F754" s="86" t="n">
        <x:v>4</x:v>
      </x:c>
      <x:c r="G754" s="86" t="n">
        <x:v>1</x:v>
      </x:c>
      <x:c r="H754" s="91" t="n">
        <x:v>60.15</x:v>
      </x:c>
      <x:c r="I754" s="87" t="n">
        <x:v>2</x:v>
      </x:c>
    </x:row>
    <x:row r="755">
      <x:c r="A755" s="85" t="n">
        <x:v>754</x:v>
      </x:c>
      <x:c r="B755" s="86" t="n">
        <x:v>356</x:v>
      </x:c>
      <x:c r="C755" s="95" t="n">
        <x:v>45674</x:v>
      </x:c>
      <x:c r="D755" s="95" t="n">
        <x:v>45674</x:v>
      </x:c>
      <x:c r="E755" s="86" t="str">
        <x:v>Atestado médico</x:v>
      </x:c>
      <x:c r="F755" s="86" t="n">
        <x:v>4</x:v>
      </x:c>
      <x:c r="G755" s="86" t="n">
        <x:v>1</x:v>
      </x:c>
      <x:c r="H755" s="91" t="n">
        <x:v>122.22</x:v>
      </x:c>
      <x:c r="I755" s="87" t="n">
        <x:v>8</x:v>
      </x:c>
    </x:row>
    <x:row r="756">
      <x:c r="A756" s="85" t="n">
        <x:v>755</x:v>
      </x:c>
      <x:c r="B756" s="86" t="n">
        <x:v>227</x:v>
      </x:c>
      <x:c r="C756" s="95" t="n">
        <x:v>45523</x:v>
      </x:c>
      <x:c r="D756" s="95" t="n">
        <x:v>45523</x:v>
      </x:c>
      <x:c r="E756" s="86" t="str">
        <x:v>Atraso</x:v>
      </x:c>
      <x:c r="F756" s="86" t="n">
        <x:v>2</x:v>
      </x:c>
      <x:c r="G756" s="86" t="n">
        <x:v>1</x:v>
      </x:c>
      <x:c r="H756" s="91" t="n">
        <x:v>56.87</x:v>
      </x:c>
      <x:c r="I756" s="87" t="n">
        <x:v>10</x:v>
      </x:c>
    </x:row>
    <x:row r="757">
      <x:c r="A757" s="85" t="n">
        <x:v>756</x:v>
      </x:c>
      <x:c r="B757" s="86" t="n">
        <x:v>379</x:v>
      </x:c>
      <x:c r="C757" s="95" t="n">
        <x:v>45682</x:v>
      </x:c>
      <x:c r="D757" s="95" t="n">
        <x:v>45682</x:v>
      </x:c>
      <x:c r="E757" s="86" t="str">
        <x:v>Atraso</x:v>
      </x:c>
      <x:c r="F757" s="86" t="n">
        <x:v>3</x:v>
      </x:c>
      <x:c r="G757" s="86" t="n">
        <x:v>1</x:v>
      </x:c>
      <x:c r="H757" s="91" t="n">
        <x:v>57.75</x:v>
      </x:c>
      <x:c r="I757" s="87" t="n">
        <x:v>2</x:v>
      </x:c>
    </x:row>
    <x:row r="758">
      <x:c r="A758" s="85" t="n">
        <x:v>757</x:v>
      </x:c>
      <x:c r="B758" s="86" t="n">
        <x:v>23</x:v>
      </x:c>
      <x:c r="C758" s="95" t="n">
        <x:v>45675</x:v>
      </x:c>
      <x:c r="D758" s="95" t="n">
        <x:v>45675</x:v>
      </x:c>
      <x:c r="E758" s="86" t="str">
        <x:v>Atestado médico</x:v>
      </x:c>
      <x:c r="F758" s="86" t="n">
        <x:v>1</x:v>
      </x:c>
      <x:c r="G758" s="86" t="n">
        <x:v>1</x:v>
      </x:c>
      <x:c r="H758" s="91" t="n">
        <x:v>44.42</x:v>
      </x:c>
      <x:c r="I758" s="87" t="n">
        <x:v>5</x:v>
      </x:c>
    </x:row>
    <x:row r="759">
      <x:c r="A759" s="85" t="n">
        <x:v>758</x:v>
      </x:c>
      <x:c r="B759" s="86" t="n">
        <x:v>218</x:v>
      </x:c>
      <x:c r="C759" s="95" t="n">
        <x:v>45593</x:v>
      </x:c>
      <x:c r="D759" s="95" t="n">
        <x:v>45593</x:v>
      </x:c>
      <x:c r="E759" s="86" t="str">
        <x:v>Licença</x:v>
      </x:c>
      <x:c r="F759" s="86" t="n">
        <x:v>2</x:v>
      </x:c>
      <x:c r="G759" s="86" t="n">
        <x:v>1</x:v>
      </x:c>
      <x:c r="H759" s="91" t="n">
        <x:v>90.32</x:v>
      </x:c>
      <x:c r="I759" s="87" t="n">
        <x:v>5</x:v>
      </x:c>
    </x:row>
    <x:row r="760">
      <x:c r="A760" s="85" t="n">
        <x:v>759</x:v>
      </x:c>
      <x:c r="B760" s="86" t="n">
        <x:v>374</x:v>
      </x:c>
      <x:c r="C760" s="95" t="n">
        <x:v>45350</x:v>
      </x:c>
      <x:c r="D760" s="95" t="n">
        <x:v>45350</x:v>
      </x:c>
      <x:c r="E760" s="86" t="str">
        <x:v>Atestado médico</x:v>
      </x:c>
      <x:c r="F760" s="86" t="n">
        <x:v>8</x:v>
      </x:c>
      <x:c r="G760" s="86" t="n">
        <x:v>1</x:v>
      </x:c>
      <x:c r="H760" s="91" t="n">
        <x:v>94.11</x:v>
      </x:c>
      <x:c r="I760" s="87" t="n">
        <x:v>1</x:v>
      </x:c>
    </x:row>
    <x:row r="761">
      <x:c r="A761" s="85" t="n">
        <x:v>760</x:v>
      </x:c>
      <x:c r="B761" s="86" t="n">
        <x:v>359</x:v>
      </x:c>
      <x:c r="C761" s="95" t="n">
        <x:v>45892</x:v>
      </x:c>
      <x:c r="D761" s="95" t="n">
        <x:v>45894</x:v>
      </x:c>
      <x:c r="E761" s="86" t="str">
        <x:v>Licença</x:v>
      </x:c>
      <x:c r="F761" s="86" t="n">
        <x:v>24</x:v>
      </x:c>
      <x:c r="G761" s="86" t="n">
        <x:v>1</x:v>
      </x:c>
      <x:c r="H761" s="91" t="n">
        <x:v>320.5</x:v>
      </x:c>
      <x:c r="I761" s="87" t="n">
        <x:v>1</x:v>
      </x:c>
    </x:row>
    <x:row r="762">
      <x:c r="A762" s="85" t="n">
        <x:v>761</x:v>
      </x:c>
      <x:c r="B762" s="86" t="n">
        <x:v>194</x:v>
      </x:c>
      <x:c r="C762" s="95" t="n">
        <x:v>45872</x:v>
      </x:c>
      <x:c r="D762" s="95" t="n">
        <x:v>45876</x:v>
      </x:c>
      <x:c r="E762" s="86" t="str">
        <x:v>Atestado médico</x:v>
      </x:c>
      <x:c r="F762" s="86" t="n">
        <x:v>40</x:v>
      </x:c>
      <x:c r="G762" s="86" t="n">
        <x:v>1</x:v>
      </x:c>
      <x:c r="H762" s="91" t="n">
        <x:v>579.21</x:v>
      </x:c>
      <x:c r="I762" s="87" t="n">
        <x:v>1</x:v>
      </x:c>
    </x:row>
    <x:row r="763">
      <x:c r="A763" s="85" t="n">
        <x:v>762</x:v>
      </x:c>
      <x:c r="B763" s="86" t="n">
        <x:v>201</x:v>
      </x:c>
      <x:c r="C763" s="95" t="n">
        <x:v>45550</x:v>
      </x:c>
      <x:c r="D763" s="95" t="n">
        <x:v>45550</x:v>
      </x:c>
      <x:c r="E763" s="86" t="str">
        <x:v>Atestado médico</x:v>
      </x:c>
      <x:c r="F763" s="86" t="n">
        <x:v>4</x:v>
      </x:c>
      <x:c r="G763" s="86" t="n">
        <x:v>1</x:v>
      </x:c>
      <x:c r="H763" s="91" t="n">
        <x:v>41.27</x:v>
      </x:c>
      <x:c r="I763" s="87" t="n">
        <x:v>1</x:v>
      </x:c>
    </x:row>
    <x:row r="764">
      <x:c r="A764" s="85" t="n">
        <x:v>763</x:v>
      </x:c>
      <x:c r="B764" s="86" t="n">
        <x:v>385</x:v>
      </x:c>
      <x:c r="C764" s="95" t="n">
        <x:v>45826</x:v>
      </x:c>
      <x:c r="D764" s="95" t="n">
        <x:v>45827</x:v>
      </x:c>
      <x:c r="E764" s="86" t="str">
        <x:v>Atestado médico</x:v>
      </x:c>
      <x:c r="F764" s="86" t="n">
        <x:v>16</x:v>
      </x:c>
      <x:c r="G764" s="86" t="n">
        <x:v>1</x:v>
      </x:c>
      <x:c r="H764" s="91" t="n">
        <x:v>240.15</x:v>
      </x:c>
      <x:c r="I764" s="87" t="n">
        <x:v>3</x:v>
      </x:c>
    </x:row>
    <x:row r="765">
      <x:c r="A765" s="85" t="n">
        <x:v>764</x:v>
      </x:c>
      <x:c r="B765" s="86" t="n">
        <x:v>42</x:v>
      </x:c>
      <x:c r="C765" s="95" t="n">
        <x:v>45952</x:v>
      </x:c>
      <x:c r="D765" s="95" t="n">
        <x:v>45952</x:v>
      </x:c>
      <x:c r="E765" s="86" t="str">
        <x:v>Atraso</x:v>
      </x:c>
      <x:c r="F765" s="86" t="n">
        <x:v>3</x:v>
      </x:c>
      <x:c r="G765" s="86" t="n">
        <x:v>1</x:v>
      </x:c>
      <x:c r="H765" s="91" t="n">
        <x:v>65.69</x:v>
      </x:c>
      <x:c r="I765" s="87" t="n">
        <x:v>2</x:v>
      </x:c>
    </x:row>
    <x:row r="766">
      <x:c r="A766" s="85" t="n">
        <x:v>765</x:v>
      </x:c>
      <x:c r="B766" s="86" t="n">
        <x:v>338</x:v>
      </x:c>
      <x:c r="C766" s="95" t="n">
        <x:v>45577</x:v>
      </x:c>
      <x:c r="D766" s="95" t="n">
        <x:v>45577</x:v>
      </x:c>
      <x:c r="E766" s="86" t="str">
        <x:v>Atraso</x:v>
      </x:c>
      <x:c r="F766" s="86" t="n">
        <x:v>1</x:v>
      </x:c>
      <x:c r="G766" s="86" t="n">
        <x:v>1</x:v>
      </x:c>
      <x:c r="H766" s="91" t="n">
        <x:v>18.16</x:v>
      </x:c>
      <x:c r="I766" s="87" t="n">
        <x:v>3</x:v>
      </x:c>
    </x:row>
    <x:row r="767">
      <x:c r="A767" s="85" t="n">
        <x:v>766</x:v>
      </x:c>
      <x:c r="B767" s="86" t="n">
        <x:v>302</x:v>
      </x:c>
      <x:c r="C767" s="95" t="n">
        <x:v>45411</x:v>
      </x:c>
      <x:c r="D767" s="95" t="n">
        <x:v>45412</x:v>
      </x:c>
      <x:c r="E767" s="86" t="str">
        <x:v>Consulta médica</x:v>
      </x:c>
      <x:c r="F767" s="86" t="n">
        <x:v>16</x:v>
      </x:c>
      <x:c r="G767" s="86" t="n">
        <x:v>1</x:v>
      </x:c>
      <x:c r="H767" s="91" t="n">
        <x:v>292.32</x:v>
      </x:c>
      <x:c r="I767" s="87" t="n">
        <x:v>3</x:v>
      </x:c>
    </x:row>
    <x:row r="768">
      <x:c r="A768" s="85" t="n">
        <x:v>767</x:v>
      </x:c>
      <x:c r="B768" s="86" t="n">
        <x:v>401</x:v>
      </x:c>
      <x:c r="C768" s="95" t="n">
        <x:v>45661</x:v>
      </x:c>
      <x:c r="D768" s="95" t="n">
        <x:v>45661</x:v>
      </x:c>
      <x:c r="E768" s="86" t="str">
        <x:v>Atraso</x:v>
      </x:c>
      <x:c r="F768" s="86" t="n">
        <x:v>2</x:v>
      </x:c>
      <x:c r="G768" s="86" t="n">
        <x:v>1</x:v>
      </x:c>
      <x:c r="H768" s="91" t="n">
        <x:v>68.07</x:v>
      </x:c>
      <x:c r="I768" s="87" t="n">
        <x:v>1</x:v>
      </x:c>
    </x:row>
    <x:row r="769">
      <x:c r="A769" s="85" t="n">
        <x:v>768</x:v>
      </x:c>
      <x:c r="B769" s="86" t="n">
        <x:v>25</x:v>
      </x:c>
      <x:c r="C769" s="95" t="n">
        <x:v>45881</x:v>
      </x:c>
      <x:c r="D769" s="95" t="n">
        <x:v>45881</x:v>
      </x:c>
      <x:c r="E769" s="86" t="str">
        <x:v>Falta não justificada</x:v>
      </x:c>
      <x:c r="F769" s="86" t="n">
        <x:v>1</x:v>
      </x:c>
      <x:c r="G769" s="86" t="n">
        <x:v>0</x:v>
      </x:c>
      <x:c r="H769" s="91" t="n">
        <x:v>25.38</x:v>
      </x:c>
      <x:c r="I769" s="87" t="n">
        <x:v>7</x:v>
      </x:c>
    </x:row>
    <x:row r="770">
      <x:c r="A770" s="85" t="n">
        <x:v>769</x:v>
      </x:c>
      <x:c r="B770" s="86" t="n">
        <x:v>335</x:v>
      </x:c>
      <x:c r="C770" s="95" t="n">
        <x:v>45979</x:v>
      </x:c>
      <x:c r="D770" s="95" t="n">
        <x:v>45979</x:v>
      </x:c>
      <x:c r="E770" s="86" t="str">
        <x:v>Atraso</x:v>
      </x:c>
      <x:c r="F770" s="86" t="n">
        <x:v>1</x:v>
      </x:c>
      <x:c r="G770" s="86" t="n">
        <x:v>1</x:v>
      </x:c>
      <x:c r="H770" s="91" t="n">
        <x:v>31.31</x:v>
      </x:c>
      <x:c r="I770" s="87" t="n">
        <x:v>7</x:v>
      </x:c>
    </x:row>
    <x:row r="771">
      <x:c r="A771" s="85" t="n">
        <x:v>770</x:v>
      </x:c>
      <x:c r="B771" s="86" t="n">
        <x:v>67</x:v>
      </x:c>
      <x:c r="C771" s="95" t="n">
        <x:v>45632</x:v>
      </x:c>
      <x:c r="D771" s="95" t="n">
        <x:v>45632</x:v>
      </x:c>
      <x:c r="E771" s="86" t="str">
        <x:v>Atestado médico</x:v>
      </x:c>
      <x:c r="F771" s="86" t="n">
        <x:v>1</x:v>
      </x:c>
      <x:c r="G771" s="86" t="n">
        <x:v>1</x:v>
      </x:c>
      <x:c r="H771" s="91" t="n">
        <x:v>19.28</x:v>
      </x:c>
      <x:c r="I771" s="87" t="n">
        <x:v>3</x:v>
      </x:c>
    </x:row>
    <x:row r="772">
      <x:c r="A772" s="85" t="n">
        <x:v>771</x:v>
      </x:c>
      <x:c r="B772" s="86" t="n">
        <x:v>64</x:v>
      </x:c>
      <x:c r="C772" s="95" t="n">
        <x:v>45384</x:v>
      </x:c>
      <x:c r="D772" s="95" t="n">
        <x:v>45384</x:v>
      </x:c>
      <x:c r="E772" s="86" t="str">
        <x:v>Atestado médico</x:v>
      </x:c>
      <x:c r="F772" s="86" t="n">
        <x:v>4</x:v>
      </x:c>
      <x:c r="G772" s="86" t="n">
        <x:v>1</x:v>
      </x:c>
      <x:c r="H772" s="91" t="n">
        <x:v>284.44</x:v>
      </x:c>
      <x:c r="I772" s="87" t="n">
        <x:v>8</x:v>
      </x:c>
    </x:row>
    <x:row r="773">
      <x:c r="A773" s="85" t="n">
        <x:v>772</x:v>
      </x:c>
      <x:c r="B773" s="86" t="n">
        <x:v>349</x:v>
      </x:c>
      <x:c r="C773" s="95" t="n">
        <x:v>45937</x:v>
      </x:c>
      <x:c r="D773" s="95" t="n">
        <x:v>45941</x:v>
      </x:c>
      <x:c r="E773" s="86" t="str">
        <x:v>Atestado médico</x:v>
      </x:c>
      <x:c r="F773" s="86" t="n">
        <x:v>40</x:v>
      </x:c>
      <x:c r="G773" s="86" t="n">
        <x:v>1</x:v>
      </x:c>
      <x:c r="H773" s="91" t="n">
        <x:v>1168.8</x:v>
      </x:c>
      <x:c r="I773" s="87" t="n">
        <x:v>9</x:v>
      </x:c>
    </x:row>
    <x:row r="774">
      <x:c r="A774" s="85" t="n">
        <x:v>773</x:v>
      </x:c>
      <x:c r="B774" s="86" t="n">
        <x:v>346</x:v>
      </x:c>
      <x:c r="C774" s="95" t="n">
        <x:v>45647</x:v>
      </x:c>
      <x:c r="D774" s="95" t="n">
        <x:v>45647</x:v>
      </x:c>
      <x:c r="E774" s="86" t="str">
        <x:v>Atestado médico</x:v>
      </x:c>
      <x:c r="F774" s="86" t="n">
        <x:v>4</x:v>
      </x:c>
      <x:c r="G774" s="86" t="n">
        <x:v>1</x:v>
      </x:c>
      <x:c r="H774" s="91" t="n">
        <x:v>116.55</x:v>
      </x:c>
      <x:c r="I774" s="87" t="n">
        <x:v>9</x:v>
      </x:c>
    </x:row>
    <x:row r="775">
      <x:c r="A775" s="85" t="n">
        <x:v>774</x:v>
      </x:c>
      <x:c r="B775" s="86" t="n">
        <x:v>269</x:v>
      </x:c>
      <x:c r="C775" s="95" t="n">
        <x:v>45319</x:v>
      </x:c>
      <x:c r="D775" s="95" t="n">
        <x:v>45321</x:v>
      </x:c>
      <x:c r="E775" s="86" t="str">
        <x:v>Falta não justificada</x:v>
      </x:c>
      <x:c r="F775" s="86" t="n">
        <x:v>24</x:v>
      </x:c>
      <x:c r="G775" s="86" t="n">
        <x:v>0</x:v>
      </x:c>
      <x:c r="H775" s="91" t="n">
        <x:v>692.13</x:v>
      </x:c>
      <x:c r="I775" s="87" t="n">
        <x:v>4</x:v>
      </x:c>
    </x:row>
    <x:row r="776">
      <x:c r="A776" s="85" t="n">
        <x:v>775</x:v>
      </x:c>
      <x:c r="B776" s="86" t="n">
        <x:v>240</x:v>
      </x:c>
      <x:c r="C776" s="95" t="n">
        <x:v>45485</x:v>
      </x:c>
      <x:c r="D776" s="95" t="n">
        <x:v>45486</x:v>
      </x:c>
      <x:c r="E776" s="86" t="str">
        <x:v>Atestado médico</x:v>
      </x:c>
      <x:c r="F776" s="86" t="n">
        <x:v>16</x:v>
      </x:c>
      <x:c r="G776" s="86" t="n">
        <x:v>1</x:v>
      </x:c>
      <x:c r="H776" s="91" t="n">
        <x:v>674.59</x:v>
      </x:c>
      <x:c r="I776" s="87" t="n">
        <x:v>9</x:v>
      </x:c>
    </x:row>
    <x:row r="777">
      <x:c r="A777" s="85" t="n">
        <x:v>776</x:v>
      </x:c>
      <x:c r="B777" s="86" t="n">
        <x:v>115</x:v>
      </x:c>
      <x:c r="C777" s="95" t="n">
        <x:v>45620</x:v>
      </x:c>
      <x:c r="D777" s="95" t="n">
        <x:v>45620</x:v>
      </x:c>
      <x:c r="E777" s="86" t="str">
        <x:v>Atraso</x:v>
      </x:c>
      <x:c r="F777" s="86" t="n">
        <x:v>2</x:v>
      </x:c>
      <x:c r="G777" s="86" t="n">
        <x:v>1</x:v>
      </x:c>
      <x:c r="H777" s="91" t="n">
        <x:v>49.95</x:v>
      </x:c>
      <x:c r="I777" s="87" t="n">
        <x:v>4</x:v>
      </x:c>
    </x:row>
    <x:row r="778">
      <x:c r="A778" s="85" t="n">
        <x:v>777</x:v>
      </x:c>
      <x:c r="B778" s="86" t="n">
        <x:v>155</x:v>
      </x:c>
      <x:c r="C778" s="95" t="n">
        <x:v>45685</x:v>
      </x:c>
      <x:c r="D778" s="95" t="n">
        <x:v>45685</x:v>
      </x:c>
      <x:c r="E778" s="86" t="str">
        <x:v>Falta não justificada</x:v>
      </x:c>
      <x:c r="F778" s="86" t="n">
        <x:v>8</x:v>
      </x:c>
      <x:c r="G778" s="86" t="n">
        <x:v>0</x:v>
      </x:c>
      <x:c r="H778" s="91" t="n">
        <x:v>106.54</x:v>
      </x:c>
      <x:c r="I778" s="87" t="n">
        <x:v>1</x:v>
      </x:c>
    </x:row>
    <x:row r="779">
      <x:c r="A779" s="85" t="n">
        <x:v>778</x:v>
      </x:c>
      <x:c r="B779" s="86" t="n">
        <x:v>151</x:v>
      </x:c>
      <x:c r="C779" s="95" t="n">
        <x:v>45957</x:v>
      </x:c>
      <x:c r="D779" s="95" t="n">
        <x:v>45957</x:v>
      </x:c>
      <x:c r="E779" s="86" t="str">
        <x:v>Falta não justificada</x:v>
      </x:c>
      <x:c r="F779" s="86" t="n">
        <x:v>8</x:v>
      </x:c>
      <x:c r="G779" s="86" t="n">
        <x:v>0</x:v>
      </x:c>
      <x:c r="H779" s="91" t="n">
        <x:v>173.25</x:v>
      </x:c>
      <x:c r="I779" s="87" t="n">
        <x:v>2</x:v>
      </x:c>
    </x:row>
    <x:row r="780">
      <x:c r="A780" s="85" t="n">
        <x:v>779</x:v>
      </x:c>
      <x:c r="B780" s="86" t="n">
        <x:v>233</x:v>
      </x:c>
      <x:c r="C780" s="95" t="n">
        <x:v>45785</x:v>
      </x:c>
      <x:c r="D780" s="95" t="n">
        <x:v>45785</x:v>
      </x:c>
      <x:c r="E780" s="86" t="str">
        <x:v>Atraso</x:v>
      </x:c>
      <x:c r="F780" s="86" t="n">
        <x:v>3</x:v>
      </x:c>
      <x:c r="G780" s="86" t="n">
        <x:v>1</x:v>
      </x:c>
      <x:c r="H780" s="91" t="n">
        <x:v>65.23</x:v>
      </x:c>
      <x:c r="I780" s="87" t="n">
        <x:v>2</x:v>
      </x:c>
    </x:row>
    <x:row r="781">
      <x:c r="A781" s="85" t="n">
        <x:v>780</x:v>
      </x:c>
      <x:c r="B781" s="86" t="n">
        <x:v>16</x:v>
      </x:c>
      <x:c r="C781" s="95" t="n">
        <x:v>45637</x:v>
      </x:c>
      <x:c r="D781" s="95" t="n">
        <x:v>45637</x:v>
      </x:c>
      <x:c r="E781" s="86" t="str">
        <x:v>Atestado médico</x:v>
      </x:c>
      <x:c r="F781" s="86" t="n">
        <x:v>1</x:v>
      </x:c>
      <x:c r="G781" s="86" t="n">
        <x:v>1</x:v>
      </x:c>
      <x:c r="H781" s="91" t="n">
        <x:v>41.34</x:v>
      </x:c>
      <x:c r="I781" s="87" t="n">
        <x:v>5</x:v>
      </x:c>
    </x:row>
    <x:row r="782">
      <x:c r="A782" s="85" t="n">
        <x:v>781</x:v>
      </x:c>
      <x:c r="B782" s="86" t="n">
        <x:v>53</x:v>
      </x:c>
      <x:c r="C782" s="95" t="n">
        <x:v>45921</x:v>
      </x:c>
      <x:c r="D782" s="95" t="n">
        <x:v>45921</x:v>
      </x:c>
      <x:c r="E782" s="86" t="str">
        <x:v>Falta não justificada</x:v>
      </x:c>
      <x:c r="F782" s="86" t="n">
        <x:v>8</x:v>
      </x:c>
      <x:c r="G782" s="86" t="n">
        <x:v>0</x:v>
      </x:c>
      <x:c r="H782" s="91" t="n">
        <x:v>168.34</x:v>
      </x:c>
      <x:c r="I782" s="87" t="n">
        <x:v>7</x:v>
      </x:c>
    </x:row>
    <x:row r="783">
      <x:c r="A783" s="85" t="n">
        <x:v>782</x:v>
      </x:c>
      <x:c r="B783" s="86" t="n">
        <x:v>285</x:v>
      </x:c>
      <x:c r="C783" s="95" t="n">
        <x:v>45692</x:v>
      </x:c>
      <x:c r="D783" s="95" t="n">
        <x:v>45692</x:v>
      </x:c>
      <x:c r="E783" s="86" t="str">
        <x:v>Atestado médico</x:v>
      </x:c>
      <x:c r="F783" s="86" t="n">
        <x:v>8</x:v>
      </x:c>
      <x:c r="G783" s="86" t="n">
        <x:v>1</x:v>
      </x:c>
      <x:c r="H783" s="91" t="n">
        <x:v>113.67</x:v>
      </x:c>
      <x:c r="I783" s="87" t="n">
        <x:v>1</x:v>
      </x:c>
    </x:row>
    <x:row r="784">
      <x:c r="A784" s="85" t="n">
        <x:v>783</x:v>
      </x:c>
      <x:c r="B784" s="86" t="n">
        <x:v>181</x:v>
      </x:c>
      <x:c r="C784" s="95" t="n">
        <x:v>45992</x:v>
      </x:c>
      <x:c r="D784" s="95" t="n">
        <x:v>45992</x:v>
      </x:c>
      <x:c r="E784" s="86" t="str">
        <x:v>Atraso</x:v>
      </x:c>
      <x:c r="F784" s="86" t="n">
        <x:v>1</x:v>
      </x:c>
      <x:c r="G784" s="86" t="n">
        <x:v>1</x:v>
      </x:c>
      <x:c r="H784" s="91" t="n">
        <x:v>38.51</x:v>
      </x:c>
      <x:c r="I784" s="87" t="n">
        <x:v>6</x:v>
      </x:c>
    </x:row>
    <x:row r="785">
      <x:c r="A785" s="85" t="n">
        <x:v>784</x:v>
      </x:c>
      <x:c r="B785" s="86" t="n">
        <x:v>373</x:v>
      </x:c>
      <x:c r="C785" s="95" t="n">
        <x:v>45839</x:v>
      </x:c>
      <x:c r="D785" s="95" t="n">
        <x:v>45839</x:v>
      </x:c>
      <x:c r="E785" s="86" t="str">
        <x:v>Falta não justificada</x:v>
      </x:c>
      <x:c r="F785" s="86" t="n">
        <x:v>1</x:v>
      </x:c>
      <x:c r="G785" s="86" t="n">
        <x:v>0</x:v>
      </x:c>
      <x:c r="H785" s="91" t="n">
        <x:v>14.81</x:v>
      </x:c>
      <x:c r="I785" s="87" t="n">
        <x:v>1</x:v>
      </x:c>
    </x:row>
    <x:row r="786">
      <x:c r="A786" s="85" t="n">
        <x:v>785</x:v>
      </x:c>
      <x:c r="B786" s="86" t="n">
        <x:v>118</x:v>
      </x:c>
      <x:c r="C786" s="95" t="n">
        <x:v>45796</x:v>
      </x:c>
      <x:c r="D786" s="95" t="n">
        <x:v>45798</x:v>
      </x:c>
      <x:c r="E786" s="86" t="str">
        <x:v>Consulta médica</x:v>
      </x:c>
      <x:c r="F786" s="86" t="n">
        <x:v>24</x:v>
      </x:c>
      <x:c r="G786" s="86" t="n">
        <x:v>1</x:v>
      </x:c>
      <x:c r="H786" s="91" t="n">
        <x:v>301.46</x:v>
      </x:c>
      <x:c r="I786" s="87" t="n">
        <x:v>1</x:v>
      </x:c>
    </x:row>
    <x:row r="787">
      <x:c r="A787" s="85" t="n">
        <x:v>786</x:v>
      </x:c>
      <x:c r="B787" s="86" t="n">
        <x:v>412</x:v>
      </x:c>
      <x:c r="C787" s="95" t="n">
        <x:v>45962</x:v>
      </x:c>
      <x:c r="D787" s="95" t="n">
        <x:v>45962</x:v>
      </x:c>
      <x:c r="E787" s="86" t="str">
        <x:v>Atraso</x:v>
      </x:c>
      <x:c r="F787" s="86" t="n">
        <x:v>1</x:v>
      </x:c>
      <x:c r="G787" s="86" t="n">
        <x:v>1</x:v>
      </x:c>
      <x:c r="H787" s="91" t="n">
        <x:v>23.46</x:v>
      </x:c>
      <x:c r="I787" s="87" t="n">
        <x:v>10</x:v>
      </x:c>
    </x:row>
    <x:row r="788">
      <x:c r="A788" s="85" t="n">
        <x:v>787</x:v>
      </x:c>
      <x:c r="B788" s="86" t="n">
        <x:v>238</x:v>
      </x:c>
      <x:c r="C788" s="95" t="n">
        <x:v>45597</x:v>
      </x:c>
      <x:c r="D788" s="95" t="n">
        <x:v>45597</x:v>
      </x:c>
      <x:c r="E788" s="86" t="str">
        <x:v>Atraso</x:v>
      </x:c>
      <x:c r="F788" s="86" t="n">
        <x:v>1</x:v>
      </x:c>
      <x:c r="G788" s="86" t="n">
        <x:v>1</x:v>
      </x:c>
      <x:c r="H788" s="91" t="n">
        <x:v>14.39</x:v>
      </x:c>
      <x:c r="I788" s="87" t="n">
        <x:v>1</x:v>
      </x:c>
    </x:row>
    <x:row r="789">
      <x:c r="A789" s="85" t="n">
        <x:v>788</x:v>
      </x:c>
      <x:c r="B789" s="86" t="n">
        <x:v>19</x:v>
      </x:c>
      <x:c r="C789" s="95" t="n">
        <x:v>45512</x:v>
      </x:c>
      <x:c r="D789" s="95" t="n">
        <x:v>45516</x:v>
      </x:c>
      <x:c r="E789" s="86" t="str">
        <x:v>Atestado médico</x:v>
      </x:c>
      <x:c r="F789" s="86" t="n">
        <x:v>40</x:v>
      </x:c>
      <x:c r="G789" s="86" t="n">
        <x:v>1</x:v>
      </x:c>
      <x:c r="H789" s="91" t="n">
        <x:v>1160.94</x:v>
      </x:c>
      <x:c r="I789" s="87" t="n">
        <x:v>7</x:v>
      </x:c>
    </x:row>
    <x:row r="790">
      <x:c r="A790" s="85" t="n">
        <x:v>789</x:v>
      </x:c>
      <x:c r="B790" s="86" t="n">
        <x:v>214</x:v>
      </x:c>
      <x:c r="C790" s="95" t="n">
        <x:v>45927</x:v>
      </x:c>
      <x:c r="D790" s="95" t="n">
        <x:v>45927</x:v>
      </x:c>
      <x:c r="E790" s="86" t="str">
        <x:v>Consulta médica</x:v>
      </x:c>
      <x:c r="F790" s="86" t="n">
        <x:v>2</x:v>
      </x:c>
      <x:c r="G790" s="86" t="n">
        <x:v>1</x:v>
      </x:c>
      <x:c r="H790" s="91" t="n">
        <x:v>54.35</x:v>
      </x:c>
      <x:c r="I790" s="87" t="n">
        <x:v>8</x:v>
      </x:c>
    </x:row>
    <x:row r="791">
      <x:c r="A791" s="85" t="n">
        <x:v>790</x:v>
      </x:c>
      <x:c r="B791" s="86" t="n">
        <x:v>151</x:v>
      </x:c>
      <x:c r="C791" s="95" t="n">
        <x:v>45564</x:v>
      </x:c>
      <x:c r="D791" s="95" t="n">
        <x:v>45564</x:v>
      </x:c>
      <x:c r="E791" s="86" t="str">
        <x:v>Falta não justificada</x:v>
      </x:c>
      <x:c r="F791" s="86" t="n">
        <x:v>8</x:v>
      </x:c>
      <x:c r="G791" s="86" t="n">
        <x:v>0</x:v>
      </x:c>
      <x:c r="H791" s="91" t="n">
        <x:v>173.25</x:v>
      </x:c>
      <x:c r="I791" s="87" t="n">
        <x:v>2</x:v>
      </x:c>
    </x:row>
    <x:row r="792">
      <x:c r="A792" s="85" t="n">
        <x:v>791</x:v>
      </x:c>
      <x:c r="B792" s="86" t="n">
        <x:v>255</x:v>
      </x:c>
      <x:c r="C792" s="95" t="n">
        <x:v>45330</x:v>
      </x:c>
      <x:c r="D792" s="95" t="n">
        <x:v>45331</x:v>
      </x:c>
      <x:c r="E792" s="86" t="str">
        <x:v>Consulta médica</x:v>
      </x:c>
      <x:c r="F792" s="86" t="n">
        <x:v>16</x:v>
      </x:c>
      <x:c r="G792" s="86" t="n">
        <x:v>1</x:v>
      </x:c>
      <x:c r="H792" s="91" t="n">
        <x:v>237.07</x:v>
      </x:c>
      <x:c r="I792" s="87" t="n">
        <x:v>1</x:v>
      </x:c>
    </x:row>
    <x:row r="793">
      <x:c r="A793" s="85" t="n">
        <x:v>792</x:v>
      </x:c>
      <x:c r="B793" s="86" t="n">
        <x:v>63</x:v>
      </x:c>
      <x:c r="C793" s="95" t="n">
        <x:v>45944</x:v>
      </x:c>
      <x:c r="D793" s="95" t="n">
        <x:v>45944</x:v>
      </x:c>
      <x:c r="E793" s="86" t="str">
        <x:v>Atraso</x:v>
      </x:c>
      <x:c r="F793" s="86" t="n">
        <x:v>2</x:v>
      </x:c>
      <x:c r="G793" s="86" t="n">
        <x:v>1</x:v>
      </x:c>
      <x:c r="H793" s="91" t="n">
        <x:v>44.5</x:v>
      </x:c>
      <x:c r="I793" s="87" t="n">
        <x:v>7</x:v>
      </x:c>
    </x:row>
    <x:row r="794">
      <x:c r="A794" s="85" t="n">
        <x:v>793</x:v>
      </x:c>
      <x:c r="B794" s="86" t="n">
        <x:v>113</x:v>
      </x:c>
      <x:c r="C794" s="95" t="n">
        <x:v>45616</x:v>
      </x:c>
      <x:c r="D794" s="95" t="n">
        <x:v>45620</x:v>
      </x:c>
      <x:c r="E794" s="86" t="str">
        <x:v>Atestado médico</x:v>
      </x:c>
      <x:c r="F794" s="86" t="n">
        <x:v>40</x:v>
      </x:c>
      <x:c r="G794" s="86" t="n">
        <x:v>1</x:v>
      </x:c>
      <x:c r="H794" s="91" t="n">
        <x:v>595.92</x:v>
      </x:c>
      <x:c r="I794" s="87" t="n">
        <x:v>1</x:v>
      </x:c>
    </x:row>
    <x:row r="795">
      <x:c r="A795" s="85" t="n">
        <x:v>794</x:v>
      </x:c>
      <x:c r="B795" s="86" t="n">
        <x:v>59</x:v>
      </x:c>
      <x:c r="C795" s="95" t="n">
        <x:v>45592</x:v>
      </x:c>
      <x:c r="D795" s="95" t="n">
        <x:v>45592</x:v>
      </x:c>
      <x:c r="E795" s="86" t="str">
        <x:v>Atestado médico</x:v>
      </x:c>
      <x:c r="F795" s="86" t="n">
        <x:v>4</x:v>
      </x:c>
      <x:c r="G795" s="86" t="n">
        <x:v>1</x:v>
      </x:c>
      <x:c r="H795" s="91" t="n">
        <x:v>106.47</x:v>
      </x:c>
      <x:c r="I795" s="87" t="n">
        <x:v>9</x:v>
      </x:c>
    </x:row>
    <x:row r="796">
      <x:c r="A796" s="85" t="n">
        <x:v>795</x:v>
      </x:c>
      <x:c r="B796" s="86" t="n">
        <x:v>190</x:v>
      </x:c>
      <x:c r="C796" s="95" t="n">
        <x:v>45985</x:v>
      </x:c>
      <x:c r="D796" s="95" t="n">
        <x:v>45987</x:v>
      </x:c>
      <x:c r="E796" s="86" t="str">
        <x:v>Consulta médica</x:v>
      </x:c>
      <x:c r="F796" s="86" t="n">
        <x:v>24</x:v>
      </x:c>
      <x:c r="G796" s="86" t="n">
        <x:v>1</x:v>
      </x:c>
      <x:c r="H796" s="91" t="n">
        <x:v>733.73</x:v>
      </x:c>
      <x:c r="I796" s="87" t="n">
        <x:v>9</x:v>
      </x:c>
    </x:row>
    <x:row r="797">
      <x:c r="A797" s="85" t="n">
        <x:v>796</x:v>
      </x:c>
      <x:c r="B797" s="86" t="n">
        <x:v>214</x:v>
      </x:c>
      <x:c r="C797" s="95" t="n">
        <x:v>45937</x:v>
      </x:c>
      <x:c r="D797" s="95" t="n">
        <x:v>45939</x:v>
      </x:c>
      <x:c r="E797" s="86" t="str">
        <x:v>Atestado médico</x:v>
      </x:c>
      <x:c r="F797" s="86" t="n">
        <x:v>24</x:v>
      </x:c>
      <x:c r="G797" s="86" t="n">
        <x:v>1</x:v>
      </x:c>
      <x:c r="H797" s="91" t="n">
        <x:v>652.17</x:v>
      </x:c>
      <x:c r="I797" s="87" t="n">
        <x:v>8</x:v>
      </x:c>
    </x:row>
    <x:row r="798">
      <x:c r="A798" s="85" t="n">
        <x:v>797</x:v>
      </x:c>
      <x:c r="B798" s="86" t="n">
        <x:v>326</x:v>
      </x:c>
      <x:c r="C798" s="95" t="n">
        <x:v>45800</x:v>
      </x:c>
      <x:c r="D798" s="95" t="n">
        <x:v>45801</x:v>
      </x:c>
      <x:c r="E798" s="86" t="str">
        <x:v>Atestado médico</x:v>
      </x:c>
      <x:c r="F798" s="86" t="n">
        <x:v>16</x:v>
      </x:c>
      <x:c r="G798" s="86" t="n">
        <x:v>1</x:v>
      </x:c>
      <x:c r="H798" s="91" t="n">
        <x:v>1220.41</x:v>
      </x:c>
      <x:c r="I798" s="87" t="n">
        <x:v>5</x:v>
      </x:c>
    </x:row>
    <x:row r="799">
      <x:c r="A799" s="85" t="n">
        <x:v>798</x:v>
      </x:c>
      <x:c r="B799" s="86" t="n">
        <x:v>171</x:v>
      </x:c>
      <x:c r="C799" s="95" t="n">
        <x:v>45673</x:v>
      </x:c>
      <x:c r="D799" s="95" t="n">
        <x:v>45673</x:v>
      </x:c>
      <x:c r="E799" s="86" t="str">
        <x:v>Atestado médico</x:v>
      </x:c>
      <x:c r="F799" s="86" t="n">
        <x:v>4</x:v>
      </x:c>
      <x:c r="G799" s="86" t="n">
        <x:v>1</x:v>
      </x:c>
      <x:c r="H799" s="91" t="n">
        <x:v>123.59</x:v>
      </x:c>
      <x:c r="I799" s="87" t="n">
        <x:v>10</x:v>
      </x:c>
    </x:row>
    <x:row r="800">
      <x:c r="A800" s="85" t="n">
        <x:v>799</x:v>
      </x:c>
      <x:c r="B800" s="86" t="n">
        <x:v>339</x:v>
      </x:c>
      <x:c r="C800" s="95" t="n">
        <x:v>46015</x:v>
      </x:c>
      <x:c r="D800" s="95" t="n">
        <x:v>46015</x:v>
      </x:c>
      <x:c r="E800" s="86" t="str">
        <x:v>Atraso</x:v>
      </x:c>
      <x:c r="F800" s="86" t="n">
        <x:v>1</x:v>
      </x:c>
      <x:c r="G800" s="86" t="n">
        <x:v>1</x:v>
      </x:c>
      <x:c r="H800" s="91" t="n">
        <x:v>28.86</x:v>
      </x:c>
      <x:c r="I800" s="87" t="n">
        <x:v>7</x:v>
      </x:c>
    </x:row>
    <x:row r="801">
      <x:c r="A801" s="85" t="n">
        <x:v>800</x:v>
      </x:c>
      <x:c r="B801" s="86" t="n">
        <x:v>284</x:v>
      </x:c>
      <x:c r="C801" s="95" t="n">
        <x:v>45967</x:v>
      </x:c>
      <x:c r="D801" s="95" t="n">
        <x:v>45967</x:v>
      </x:c>
      <x:c r="E801" s="86" t="str">
        <x:v>Atraso</x:v>
      </x:c>
      <x:c r="F801" s="86" t="n">
        <x:v>2</x:v>
      </x:c>
      <x:c r="G801" s="86" t="n">
        <x:v>1</x:v>
      </x:c>
      <x:c r="H801" s="91" t="n">
        <x:v>20.72</x:v>
      </x:c>
      <x:c r="I801" s="87" t="n">
        <x:v>1</x:v>
      </x:c>
    </x:row>
    <x:row r="802">
      <x:c r="A802" s="85" t="n">
        <x:v>801</x:v>
      </x:c>
      <x:c r="B802" s="86" t="n">
        <x:v>260</x:v>
      </x:c>
      <x:c r="C802" s="95" t="n">
        <x:v>45663</x:v>
      </x:c>
      <x:c r="D802" s="95" t="n">
        <x:v>45665</x:v>
      </x:c>
      <x:c r="E802" s="86" t="str">
        <x:v>Atestado médico</x:v>
      </x:c>
      <x:c r="F802" s="86" t="n">
        <x:v>24</x:v>
      </x:c>
      <x:c r="G802" s="86" t="n">
        <x:v>1</x:v>
      </x:c>
      <x:c r="H802" s="91" t="n">
        <x:v>284.31</x:v>
      </x:c>
      <x:c r="I802" s="87" t="n">
        <x:v>1</x:v>
      </x:c>
    </x:row>
    <x:row r="803">
      <x:c r="A803" s="85" t="n">
        <x:v>802</x:v>
      </x:c>
      <x:c r="B803" s="86" t="n">
        <x:v>247</x:v>
      </x:c>
      <x:c r="C803" s="95" t="n">
        <x:v>45955</x:v>
      </x:c>
      <x:c r="D803" s="95" t="n">
        <x:v>45955</x:v>
      </x:c>
      <x:c r="E803" s="86" t="str">
        <x:v>Consulta médica</x:v>
      </x:c>
      <x:c r="F803" s="86" t="n">
        <x:v>1</x:v>
      </x:c>
      <x:c r="G803" s="86" t="n">
        <x:v>1</x:v>
      </x:c>
      <x:c r="H803" s="91" t="n">
        <x:v>15.32</x:v>
      </x:c>
      <x:c r="I803" s="87" t="n">
        <x:v>3</x:v>
      </x:c>
    </x:row>
    <x:row r="804">
      <x:c r="A804" s="85" t="n">
        <x:v>803</x:v>
      </x:c>
      <x:c r="B804" s="86" t="n">
        <x:v>21</x:v>
      </x:c>
      <x:c r="C804" s="95" t="n">
        <x:v>45690</x:v>
      </x:c>
      <x:c r="D804" s="95" t="n">
        <x:v>45690</x:v>
      </x:c>
      <x:c r="E804" s="86" t="str">
        <x:v>Licença</x:v>
      </x:c>
      <x:c r="F804" s="86" t="n">
        <x:v>8</x:v>
      </x:c>
      <x:c r="G804" s="86" t="n">
        <x:v>1</x:v>
      </x:c>
      <x:c r="H804" s="91" t="n">
        <x:v>129.23</x:v>
      </x:c>
      <x:c r="I804" s="87" t="n">
        <x:v>3</x:v>
      </x:c>
    </x:row>
    <x:row r="805">
      <x:c r="A805" s="85" t="n">
        <x:v>804</x:v>
      </x:c>
      <x:c r="B805" s="86" t="n">
        <x:v>345</x:v>
      </x:c>
      <x:c r="C805" s="95" t="n">
        <x:v>45592</x:v>
      </x:c>
      <x:c r="D805" s="95" t="n">
        <x:v>45594</x:v>
      </x:c>
      <x:c r="E805" s="86" t="str">
        <x:v>Atestado médico</x:v>
      </x:c>
      <x:c r="F805" s="86" t="n">
        <x:v>24</x:v>
      </x:c>
      <x:c r="G805" s="86" t="n">
        <x:v>1</x:v>
      </x:c>
      <x:c r="H805" s="91" t="n">
        <x:v>411.7</x:v>
      </x:c>
      <x:c r="I805" s="87" t="n">
        <x:v>3</x:v>
      </x:c>
    </x:row>
    <x:row r="806">
      <x:c r="A806" s="85" t="n">
        <x:v>805</x:v>
      </x:c>
      <x:c r="B806" s="86" t="n">
        <x:v>277</x:v>
      </x:c>
      <x:c r="C806" s="95" t="n">
        <x:v>45395</x:v>
      </x:c>
      <x:c r="D806" s="95" t="n">
        <x:v>45397</x:v>
      </x:c>
      <x:c r="E806" s="86" t="str">
        <x:v>Atestado médico</x:v>
      </x:c>
      <x:c r="F806" s="86" t="n">
        <x:v>24</x:v>
      </x:c>
      <x:c r="G806" s="86" t="n">
        <x:v>1</x:v>
      </x:c>
      <x:c r="H806" s="91" t="n">
        <x:v>588.49</x:v>
      </x:c>
      <x:c r="I806" s="87" t="n">
        <x:v>8</x:v>
      </x:c>
    </x:row>
    <x:row r="807">
      <x:c r="A807" s="85" t="n">
        <x:v>806</x:v>
      </x:c>
      <x:c r="B807" s="86" t="n">
        <x:v>75</x:v>
      </x:c>
      <x:c r="C807" s="95" t="n">
        <x:v>45985</x:v>
      </x:c>
      <x:c r="D807" s="95" t="n">
        <x:v>45985</x:v>
      </x:c>
      <x:c r="E807" s="86" t="str">
        <x:v>Consulta médica</x:v>
      </x:c>
      <x:c r="F807" s="86" t="n">
        <x:v>4</x:v>
      </x:c>
      <x:c r="G807" s="86" t="n">
        <x:v>1</x:v>
      </x:c>
      <x:c r="H807" s="91" t="n">
        <x:v>141.15</x:v>
      </x:c>
      <x:c r="I807" s="87" t="n">
        <x:v>10</x:v>
      </x:c>
    </x:row>
    <x:row r="808">
      <x:c r="A808" s="85" t="n">
        <x:v>807</x:v>
      </x:c>
      <x:c r="B808" s="86" t="n">
        <x:v>327</x:v>
      </x:c>
      <x:c r="C808" s="95" t="n">
        <x:v>45566</x:v>
      </x:c>
      <x:c r="D808" s="95" t="n">
        <x:v>45568</x:v>
      </x:c>
      <x:c r="E808" s="86" t="str">
        <x:v>Consulta médica</x:v>
      </x:c>
      <x:c r="F808" s="86" t="n">
        <x:v>24</x:v>
      </x:c>
      <x:c r="G808" s="86" t="n">
        <x:v>1</x:v>
      </x:c>
      <x:c r="H808" s="91" t="n">
        <x:v>601.35</x:v>
      </x:c>
      <x:c r="I808" s="87" t="n">
        <x:v>7</x:v>
      </x:c>
    </x:row>
    <x:row r="809">
      <x:c r="A809" s="85" t="n">
        <x:v>808</x:v>
      </x:c>
      <x:c r="B809" s="86" t="n">
        <x:v>261</x:v>
      </x:c>
      <x:c r="C809" s="95" t="n">
        <x:v>45675</x:v>
      </x:c>
      <x:c r="D809" s="95" t="n">
        <x:v>45675</x:v>
      </x:c>
      <x:c r="E809" s="86" t="str">
        <x:v>Atestado médico</x:v>
      </x:c>
      <x:c r="F809" s="86" t="n">
        <x:v>4</x:v>
      </x:c>
      <x:c r="G809" s="86" t="n">
        <x:v>1</x:v>
      </x:c>
      <x:c r="H809" s="91" t="n">
        <x:v>63.85</x:v>
      </x:c>
      <x:c r="I809" s="87" t="n">
        <x:v>3</x:v>
      </x:c>
    </x:row>
    <x:row r="810">
      <x:c r="A810" s="85" t="n">
        <x:v>809</x:v>
      </x:c>
      <x:c r="B810" s="86" t="n">
        <x:v>237</x:v>
      </x:c>
      <x:c r="C810" s="95" t="n">
        <x:v>45558</x:v>
      </x:c>
      <x:c r="D810" s="95" t="n">
        <x:v>45558</x:v>
      </x:c>
      <x:c r="E810" s="86" t="str">
        <x:v>Licença</x:v>
      </x:c>
      <x:c r="F810" s="86" t="n">
        <x:v>1</x:v>
      </x:c>
      <x:c r="G810" s="86" t="n">
        <x:v>1</x:v>
      </x:c>
      <x:c r="H810" s="91" t="n">
        <x:v>42.27</x:v>
      </x:c>
      <x:c r="I810" s="87" t="n">
        <x:v>4</x:v>
      </x:c>
    </x:row>
    <x:row r="811">
      <x:c r="A811" s="85" t="n">
        <x:v>810</x:v>
      </x:c>
      <x:c r="B811" s="86" t="n">
        <x:v>202</x:v>
      </x:c>
      <x:c r="C811" s="95" t="n">
        <x:v>45506</x:v>
      </x:c>
      <x:c r="D811" s="95" t="n">
        <x:v>45510</x:v>
      </x:c>
      <x:c r="E811" s="86" t="str">
        <x:v>Atestado médico</x:v>
      </x:c>
      <x:c r="F811" s="86" t="n">
        <x:v>40</x:v>
      </x:c>
      <x:c r="G811" s="86" t="n">
        <x:v>1</x:v>
      </x:c>
      <x:c r="H811" s="91" t="n">
        <x:v>1408.01</x:v>
      </x:c>
      <x:c r="I811" s="87" t="n">
        <x:v>1</x:v>
      </x:c>
    </x:row>
    <x:row r="812">
      <x:c r="A812" s="85" t="n">
        <x:v>811</x:v>
      </x:c>
      <x:c r="B812" s="86" t="n">
        <x:v>386</x:v>
      </x:c>
      <x:c r="C812" s="95" t="n">
        <x:v>45545</x:v>
      </x:c>
      <x:c r="D812" s="95" t="n">
        <x:v>45545</x:v>
      </x:c>
      <x:c r="E812" s="86" t="str">
        <x:v>Atestado médico</x:v>
      </x:c>
      <x:c r="F812" s="86" t="n">
        <x:v>1</x:v>
      </x:c>
      <x:c r="G812" s="86" t="n">
        <x:v>1</x:v>
      </x:c>
      <x:c r="H812" s="91" t="n">
        <x:v>10.85</x:v>
      </x:c>
      <x:c r="I812" s="87" t="n">
        <x:v>1</x:v>
      </x:c>
    </x:row>
    <x:row r="813">
      <x:c r="A813" s="85" t="n">
        <x:v>812</x:v>
      </x:c>
      <x:c r="B813" s="86" t="n">
        <x:v>404</x:v>
      </x:c>
      <x:c r="C813" s="95" t="n">
        <x:v>45400</x:v>
      </x:c>
      <x:c r="D813" s="95" t="n">
        <x:v>45400</x:v>
      </x:c>
      <x:c r="E813" s="86" t="str">
        <x:v>Atraso</x:v>
      </x:c>
      <x:c r="F813" s="86" t="n">
        <x:v>3</x:v>
      </x:c>
      <x:c r="G813" s="86" t="n">
        <x:v>1</x:v>
      </x:c>
      <x:c r="H813" s="91" t="n">
        <x:v>114.31</x:v>
      </x:c>
      <x:c r="I813" s="87" t="n">
        <x:v>1</x:v>
      </x:c>
    </x:row>
    <x:row r="814">
      <x:c r="A814" s="85" t="n">
        <x:v>813</x:v>
      </x:c>
      <x:c r="B814" s="86" t="n">
        <x:v>56</x:v>
      </x:c>
      <x:c r="C814" s="95" t="n">
        <x:v>45817</x:v>
      </x:c>
      <x:c r="D814" s="95" t="n">
        <x:v>45817</x:v>
      </x:c>
      <x:c r="E814" s="86" t="str">
        <x:v>Falta não justificada</x:v>
      </x:c>
      <x:c r="F814" s="86" t="n">
        <x:v>1</x:v>
      </x:c>
      <x:c r="G814" s="86" t="n">
        <x:v>0</x:v>
      </x:c>
      <x:c r="H814" s="91" t="n">
        <x:v>15.74</x:v>
      </x:c>
      <x:c r="I814" s="87" t="n">
        <x:v>1</x:v>
      </x:c>
    </x:row>
    <x:row r="815">
      <x:c r="A815" s="85" t="n">
        <x:v>814</x:v>
      </x:c>
      <x:c r="B815" s="86" t="n">
        <x:v>92</x:v>
      </x:c>
      <x:c r="C815" s="95" t="n">
        <x:v>45602</x:v>
      </x:c>
      <x:c r="D815" s="95" t="n">
        <x:v>45602</x:v>
      </x:c>
      <x:c r="E815" s="86" t="str">
        <x:v>Atraso</x:v>
      </x:c>
      <x:c r="F815" s="86" t="n">
        <x:v>3</x:v>
      </x:c>
      <x:c r="G815" s="86" t="n">
        <x:v>1</x:v>
      </x:c>
      <x:c r="H815" s="91" t="n">
        <x:v>127.89</x:v>
      </x:c>
      <x:c r="I815" s="87" t="n">
        <x:v>9</x:v>
      </x:c>
    </x:row>
    <x:row r="816">
      <x:c r="A816" s="85" t="n">
        <x:v>815</x:v>
      </x:c>
      <x:c r="B816" s="86" t="n">
        <x:v>64</x:v>
      </x:c>
      <x:c r="C816" s="95" t="n">
        <x:v>45987</x:v>
      </x:c>
      <x:c r="D816" s="95" t="n">
        <x:v>45988</x:v>
      </x:c>
      <x:c r="E816" s="86" t="str">
        <x:v>Consulta médica</x:v>
      </x:c>
      <x:c r="F816" s="86" t="n">
        <x:v>16</x:v>
      </x:c>
      <x:c r="G816" s="86" t="n">
        <x:v>1</x:v>
      </x:c>
      <x:c r="H816" s="91" t="n">
        <x:v>1137.77</x:v>
      </x:c>
      <x:c r="I816" s="87" t="n">
        <x:v>8</x:v>
      </x:c>
    </x:row>
    <x:row r="817">
      <x:c r="A817" s="85" t="n">
        <x:v>816</x:v>
      </x:c>
      <x:c r="B817" s="86" t="n">
        <x:v>317</x:v>
      </x:c>
      <x:c r="C817" s="95" t="n">
        <x:v>45481</x:v>
      </x:c>
      <x:c r="D817" s="95" t="n">
        <x:v>45482</x:v>
      </x:c>
      <x:c r="E817" s="86" t="str">
        <x:v>Atestado médico</x:v>
      </x:c>
      <x:c r="F817" s="86" t="n">
        <x:v>16</x:v>
      </x:c>
      <x:c r="G817" s="86" t="n">
        <x:v>1</x:v>
      </x:c>
      <x:c r="H817" s="91" t="n">
        <x:v>533.78</x:v>
      </x:c>
      <x:c r="I817" s="87" t="n">
        <x:v>5</x:v>
      </x:c>
    </x:row>
    <x:row r="818">
      <x:c r="A818" s="85" t="n">
        <x:v>817</x:v>
      </x:c>
      <x:c r="B818" s="86" t="n">
        <x:v>110</x:v>
      </x:c>
      <x:c r="C818" s="95" t="n">
        <x:v>45612</x:v>
      </x:c>
      <x:c r="D818" s="95" t="n">
        <x:v>45616</x:v>
      </x:c>
      <x:c r="E818" s="86" t="str">
        <x:v>Licença</x:v>
      </x:c>
      <x:c r="F818" s="86" t="n">
        <x:v>40</x:v>
      </x:c>
      <x:c r="G818" s="86" t="n">
        <x:v>1</x:v>
      </x:c>
      <x:c r="H818" s="91" t="n">
        <x:v>3386.87</x:v>
      </x:c>
      <x:c r="I818" s="87" t="n">
        <x:v>8</x:v>
      </x:c>
    </x:row>
    <x:row r="819">
      <x:c r="A819" s="85" t="n">
        <x:v>818</x:v>
      </x:c>
      <x:c r="B819" s="86" t="n">
        <x:v>333</x:v>
      </x:c>
      <x:c r="C819" s="95" t="n">
        <x:v>45390</x:v>
      </x:c>
      <x:c r="D819" s="95" t="n">
        <x:v>45390</x:v>
      </x:c>
      <x:c r="E819" s="86" t="str">
        <x:v>Atestado médico</x:v>
      </x:c>
      <x:c r="F819" s="86" t="n">
        <x:v>4</x:v>
      </x:c>
      <x:c r="G819" s="86" t="n">
        <x:v>1</x:v>
      </x:c>
      <x:c r="H819" s="91" t="n">
        <x:v>152.74</x:v>
      </x:c>
      <x:c r="I819" s="87" t="n">
        <x:v>6</x:v>
      </x:c>
    </x:row>
    <x:row r="820">
      <x:c r="A820" s="85" t="n">
        <x:v>819</x:v>
      </x:c>
      <x:c r="B820" s="86" t="n">
        <x:v>312</x:v>
      </x:c>
      <x:c r="C820" s="95" t="n">
        <x:v>45485</x:v>
      </x:c>
      <x:c r="D820" s="95" t="n">
        <x:v>45486</x:v>
      </x:c>
      <x:c r="E820" s="86" t="str">
        <x:v>Consulta médica</x:v>
      </x:c>
      <x:c r="F820" s="86" t="n">
        <x:v>16</x:v>
      </x:c>
      <x:c r="G820" s="86" t="n">
        <x:v>1</x:v>
      </x:c>
      <x:c r="H820" s="91" t="n">
        <x:v>247.37</x:v>
      </x:c>
      <x:c r="I820" s="87" t="n">
        <x:v>10</x:v>
      </x:c>
    </x:row>
    <x:row r="821">
      <x:c r="A821" s="85" t="n">
        <x:v>820</x:v>
      </x:c>
      <x:c r="B821" s="86" t="n">
        <x:v>115</x:v>
      </x:c>
      <x:c r="C821" s="95" t="n">
        <x:v>45927</x:v>
      </x:c>
      <x:c r="D821" s="95" t="n">
        <x:v>45927</x:v>
      </x:c>
      <x:c r="E821" s="86" t="str">
        <x:v>Atestado médico</x:v>
      </x:c>
      <x:c r="F821" s="86" t="n">
        <x:v>1</x:v>
      </x:c>
      <x:c r="G821" s="86" t="n">
        <x:v>1</x:v>
      </x:c>
      <x:c r="H821" s="91" t="n">
        <x:v>24.97</x:v>
      </x:c>
      <x:c r="I821" s="87" t="n">
        <x:v>4</x:v>
      </x:c>
    </x:row>
    <x:row r="822">
      <x:c r="A822" s="85" t="n">
        <x:v>821</x:v>
      </x:c>
      <x:c r="B822" s="86" t="n">
        <x:v>142</x:v>
      </x:c>
      <x:c r="C822" s="95" t="n">
        <x:v>45821</x:v>
      </x:c>
      <x:c r="D822" s="95" t="n">
        <x:v>45821</x:v>
      </x:c>
      <x:c r="E822" s="86" t="str">
        <x:v>Atestado médico</x:v>
      </x:c>
      <x:c r="F822" s="86" t="n">
        <x:v>2</x:v>
      </x:c>
      <x:c r="G822" s="86" t="n">
        <x:v>1</x:v>
      </x:c>
      <x:c r="H822" s="91" t="n">
        <x:v>43.22</x:v>
      </x:c>
      <x:c r="I822" s="87" t="n">
        <x:v>4</x:v>
      </x:c>
    </x:row>
    <x:row r="823">
      <x:c r="A823" s="85" t="n">
        <x:v>822</x:v>
      </x:c>
      <x:c r="B823" s="86" t="n">
        <x:v>115</x:v>
      </x:c>
      <x:c r="C823" s="95" t="n">
        <x:v>45780</x:v>
      </x:c>
      <x:c r="D823" s="95" t="n">
        <x:v>45780</x:v>
      </x:c>
      <x:c r="E823" s="86" t="str">
        <x:v>Atraso</x:v>
      </x:c>
      <x:c r="F823" s="86" t="n">
        <x:v>3</x:v>
      </x:c>
      <x:c r="G823" s="86" t="n">
        <x:v>1</x:v>
      </x:c>
      <x:c r="H823" s="91" t="n">
        <x:v>74.92</x:v>
      </x:c>
      <x:c r="I823" s="87" t="n">
        <x:v>4</x:v>
      </x:c>
    </x:row>
    <x:row r="824">
      <x:c r="A824" s="85" t="n">
        <x:v>823</x:v>
      </x:c>
      <x:c r="B824" s="86" t="n">
        <x:v>221</x:v>
      </x:c>
      <x:c r="C824" s="95" t="n">
        <x:v>45671</x:v>
      </x:c>
      <x:c r="D824" s="95" t="n">
        <x:v>45672</x:v>
      </x:c>
      <x:c r="E824" s="86" t="str">
        <x:v>Consulta médica</x:v>
      </x:c>
      <x:c r="F824" s="86" t="n">
        <x:v>16</x:v>
      </x:c>
      <x:c r="G824" s="86" t="n">
        <x:v>1</x:v>
      </x:c>
      <x:c r="H824" s="91" t="n">
        <x:v>177.63</x:v>
      </x:c>
      <x:c r="I824" s="87" t="n">
        <x:v>1</x:v>
      </x:c>
    </x:row>
    <x:row r="825">
      <x:c r="A825" s="85" t="n">
        <x:v>824</x:v>
      </x:c>
      <x:c r="B825" s="86" t="n">
        <x:v>249</x:v>
      </x:c>
      <x:c r="C825" s="95" t="n">
        <x:v>45463</x:v>
      </x:c>
      <x:c r="D825" s="95" t="n">
        <x:v>45463</x:v>
      </x:c>
      <x:c r="E825" s="86" t="str">
        <x:v>Atestado médico</x:v>
      </x:c>
      <x:c r="F825" s="86" t="n">
        <x:v>2</x:v>
      </x:c>
      <x:c r="G825" s="86" t="n">
        <x:v>1</x:v>
      </x:c>
      <x:c r="H825" s="91" t="n">
        <x:v>67.57</x:v>
      </x:c>
      <x:c r="I825" s="87" t="n">
        <x:v>5</x:v>
      </x:c>
    </x:row>
    <x:row r="826">
      <x:c r="A826" s="85" t="n">
        <x:v>825</x:v>
      </x:c>
      <x:c r="B826" s="86" t="n">
        <x:v>196</x:v>
      </x:c>
      <x:c r="C826" s="95" t="n">
        <x:v>45358</x:v>
      </x:c>
      <x:c r="D826" s="95" t="n">
        <x:v>45362</x:v>
      </x:c>
      <x:c r="E826" s="86" t="str">
        <x:v>Atestado médico</x:v>
      </x:c>
      <x:c r="F826" s="86" t="n">
        <x:v>40</x:v>
      </x:c>
      <x:c r="G826" s="86" t="n">
        <x:v>1</x:v>
      </x:c>
      <x:c r="H826" s="91" t="n">
        <x:v>818.31</x:v>
      </x:c>
      <x:c r="I826" s="87" t="n">
        <x:v>2</x:v>
      </x:c>
    </x:row>
    <x:row r="827">
      <x:c r="A827" s="85" t="n">
        <x:v>826</x:v>
      </x:c>
      <x:c r="B827" s="86" t="n">
        <x:v>13</x:v>
      </x:c>
      <x:c r="C827" s="95" t="n">
        <x:v>45975</x:v>
      </x:c>
      <x:c r="D827" s="95" t="n">
        <x:v>45975</x:v>
      </x:c>
      <x:c r="E827" s="86" t="str">
        <x:v>Atestado médico</x:v>
      </x:c>
      <x:c r="F827" s="86" t="n">
        <x:v>2</x:v>
      </x:c>
      <x:c r="G827" s="86" t="n">
        <x:v>1</x:v>
      </x:c>
      <x:c r="H827" s="91" t="n">
        <x:v>175.29</x:v>
      </x:c>
      <x:c r="I827" s="87" t="n">
        <x:v>9</x:v>
      </x:c>
    </x:row>
    <x:row r="828">
      <x:c r="A828" s="85" t="n">
        <x:v>827</x:v>
      </x:c>
      <x:c r="B828" s="86" t="n">
        <x:v>4</x:v>
      </x:c>
      <x:c r="C828" s="95" t="n">
        <x:v>45944</x:v>
      </x:c>
      <x:c r="D828" s="95" t="n">
        <x:v>45944</x:v>
      </x:c>
      <x:c r="E828" s="86" t="str">
        <x:v>Consulta médica</x:v>
      </x:c>
      <x:c r="F828" s="86" t="n">
        <x:v>8</x:v>
      </x:c>
      <x:c r="G828" s="86" t="n">
        <x:v>1</x:v>
      </x:c>
      <x:c r="H828" s="91" t="n">
        <x:v>168.25</x:v>
      </x:c>
      <x:c r="I828" s="87" t="n">
        <x:v>3</x:v>
      </x:c>
    </x:row>
    <x:row r="829">
      <x:c r="A829" s="85" t="n">
        <x:v>828</x:v>
      </x:c>
      <x:c r="B829" s="86" t="n">
        <x:v>147</x:v>
      </x:c>
      <x:c r="C829" s="95" t="n">
        <x:v>45921</x:v>
      </x:c>
      <x:c r="D829" s="95" t="n">
        <x:v>45922</x:v>
      </x:c>
      <x:c r="E829" s="86" t="str">
        <x:v>Consulta médica</x:v>
      </x:c>
      <x:c r="F829" s="86" t="n">
        <x:v>16</x:v>
      </x:c>
      <x:c r="G829" s="86" t="n">
        <x:v>1</x:v>
      </x:c>
      <x:c r="H829" s="91" t="n">
        <x:v>883.33</x:v>
      </x:c>
      <x:c r="I829" s="87" t="n">
        <x:v>7</x:v>
      </x:c>
    </x:row>
    <x:row r="830">
      <x:c r="A830" s="85" t="n">
        <x:v>829</x:v>
      </x:c>
      <x:c r="B830" s="86" t="n">
        <x:v>200</x:v>
      </x:c>
      <x:c r="C830" s="95" t="n">
        <x:v>45612</x:v>
      </x:c>
      <x:c r="D830" s="95" t="n">
        <x:v>45613</x:v>
      </x:c>
      <x:c r="E830" s="86" t="str">
        <x:v>Consulta médica</x:v>
      </x:c>
      <x:c r="F830" s="86" t="n">
        <x:v>16</x:v>
      </x:c>
      <x:c r="G830" s="86" t="n">
        <x:v>1</x:v>
      </x:c>
      <x:c r="H830" s="91" t="n">
        <x:v>465.65</x:v>
      </x:c>
      <x:c r="I830" s="87" t="n">
        <x:v>8</x:v>
      </x:c>
    </x:row>
    <x:row r="831">
      <x:c r="A831" s="85" t="n">
        <x:v>830</x:v>
      </x:c>
      <x:c r="B831" s="86" t="n">
        <x:v>39</x:v>
      </x:c>
      <x:c r="C831" s="95" t="n">
        <x:v>45817</x:v>
      </x:c>
      <x:c r="D831" s="95" t="n">
        <x:v>45817</x:v>
      </x:c>
      <x:c r="E831" s="86" t="str">
        <x:v>Atraso</x:v>
      </x:c>
      <x:c r="F831" s="86" t="n">
        <x:v>2</x:v>
      </x:c>
      <x:c r="G831" s="86" t="n">
        <x:v>1</x:v>
      </x:c>
      <x:c r="H831" s="91" t="n">
        <x:v>121.8</x:v>
      </x:c>
      <x:c r="I831" s="87" t="n">
        <x:v>5</x:v>
      </x:c>
    </x:row>
    <x:row r="832">
      <x:c r="A832" s="85" t="n">
        <x:v>831</x:v>
      </x:c>
      <x:c r="B832" s="86" t="n">
        <x:v>4</x:v>
      </x:c>
      <x:c r="C832" s="95" t="n">
        <x:v>45902</x:v>
      </x:c>
      <x:c r="D832" s="95" t="n">
        <x:v>45902</x:v>
      </x:c>
      <x:c r="E832" s="86" t="str">
        <x:v>Atestado médico</x:v>
      </x:c>
      <x:c r="F832" s="86" t="n">
        <x:v>4</x:v>
      </x:c>
      <x:c r="G832" s="86" t="n">
        <x:v>1</x:v>
      </x:c>
      <x:c r="H832" s="91" t="n">
        <x:v>84.12</x:v>
      </x:c>
      <x:c r="I832" s="87" t="n">
        <x:v>3</x:v>
      </x:c>
    </x:row>
    <x:row r="833">
      <x:c r="A833" s="85" t="n">
        <x:v>832</x:v>
      </x:c>
      <x:c r="B833" s="86" t="n">
        <x:v>375</x:v>
      </x:c>
      <x:c r="C833" s="95" t="n">
        <x:v>45724</x:v>
      </x:c>
      <x:c r="D833" s="95" t="n">
        <x:v>45724</x:v>
      </x:c>
      <x:c r="E833" s="86" t="str">
        <x:v>Atestado médico</x:v>
      </x:c>
      <x:c r="F833" s="86" t="n">
        <x:v>1</x:v>
      </x:c>
      <x:c r="G833" s="86" t="n">
        <x:v>1</x:v>
      </x:c>
      <x:c r="H833" s="91" t="n">
        <x:v>10.48</x:v>
      </x:c>
      <x:c r="I833" s="87" t="n">
        <x:v>1</x:v>
      </x:c>
    </x:row>
    <x:row r="834">
      <x:c r="A834" s="85" t="n">
        <x:v>833</x:v>
      </x:c>
      <x:c r="B834" s="86" t="n">
        <x:v>373</x:v>
      </x:c>
      <x:c r="C834" s="95" t="n">
        <x:v>46010</x:v>
      </x:c>
      <x:c r="D834" s="95" t="n">
        <x:v>46014</x:v>
      </x:c>
      <x:c r="E834" s="86" t="str">
        <x:v>Consulta médica</x:v>
      </x:c>
      <x:c r="F834" s="86" t="n">
        <x:v>40</x:v>
      </x:c>
      <x:c r="G834" s="86" t="n">
        <x:v>1</x:v>
      </x:c>
      <x:c r="H834" s="91" t="n">
        <x:v>592.38</x:v>
      </x:c>
      <x:c r="I834" s="87" t="n">
        <x:v>1</x:v>
      </x:c>
    </x:row>
    <x:row r="835">
      <x:c r="A835" s="85" t="n">
        <x:v>834</x:v>
      </x:c>
      <x:c r="B835" s="86" t="n">
        <x:v>226</x:v>
      </x:c>
      <x:c r="C835" s="95" t="n">
        <x:v>45850</x:v>
      </x:c>
      <x:c r="D835" s="95" t="n">
        <x:v>45850</x:v>
      </x:c>
      <x:c r="E835" s="86" t="str">
        <x:v>Consulta médica</x:v>
      </x:c>
      <x:c r="F835" s="86" t="n">
        <x:v>1</x:v>
      </x:c>
      <x:c r="G835" s="86" t="n">
        <x:v>1</x:v>
      </x:c>
      <x:c r="H835" s="91" t="n">
        <x:v>25.99</x:v>
      </x:c>
      <x:c r="I835" s="87" t="n">
        <x:v>7</x:v>
      </x:c>
    </x:row>
    <x:row r="836">
      <x:c r="A836" s="85" t="n">
        <x:v>835</x:v>
      </x:c>
      <x:c r="B836" s="86" t="n">
        <x:v>147</x:v>
      </x:c>
      <x:c r="C836" s="95" t="n">
        <x:v>45947</x:v>
      </x:c>
      <x:c r="D836" s="95" t="n">
        <x:v>45947</x:v>
      </x:c>
      <x:c r="E836" s="86" t="str">
        <x:v>Atestado médico</x:v>
      </x:c>
      <x:c r="F836" s="86" t="n">
        <x:v>4</x:v>
      </x:c>
      <x:c r="G836" s="86" t="n">
        <x:v>1</x:v>
      </x:c>
      <x:c r="H836" s="91" t="n">
        <x:v>220.83</x:v>
      </x:c>
      <x:c r="I836" s="87" t="n">
        <x:v>7</x:v>
      </x:c>
    </x:row>
    <x:row r="837">
      <x:c r="A837" s="85" t="n">
        <x:v>836</x:v>
      </x:c>
      <x:c r="B837" s="86" t="n">
        <x:v>256</x:v>
      </x:c>
      <x:c r="C837" s="95" t="n">
        <x:v>45962</x:v>
      </x:c>
      <x:c r="D837" s="95" t="n">
        <x:v>45963</x:v>
      </x:c>
      <x:c r="E837" s="86" t="str">
        <x:v>Atestado médico</x:v>
      </x:c>
      <x:c r="F837" s="86" t="n">
        <x:v>16</x:v>
      </x:c>
      <x:c r="G837" s="86" t="n">
        <x:v>1</x:v>
      </x:c>
      <x:c r="H837" s="91" t="n">
        <x:v>195.02</x:v>
      </x:c>
      <x:c r="I837" s="87" t="n">
        <x:v>1</x:v>
      </x:c>
    </x:row>
    <x:row r="838">
      <x:c r="A838" s="85" t="n">
        <x:v>837</x:v>
      </x:c>
      <x:c r="B838" s="86" t="n">
        <x:v>37</x:v>
      </x:c>
      <x:c r="C838" s="95" t="n">
        <x:v>45913</x:v>
      </x:c>
      <x:c r="D838" s="95" t="n">
        <x:v>45913</x:v>
      </x:c>
      <x:c r="E838" s="86" t="str">
        <x:v>Atraso</x:v>
      </x:c>
      <x:c r="F838" s="86" t="n">
        <x:v>1</x:v>
      </x:c>
      <x:c r="G838" s="86" t="n">
        <x:v>1</x:v>
      </x:c>
      <x:c r="H838" s="91" t="n">
        <x:v>14.54</x:v>
      </x:c>
      <x:c r="I838" s="87" t="n">
        <x:v>3</x:v>
      </x:c>
    </x:row>
    <x:row r="839">
      <x:c r="A839" s="85" t="n">
        <x:v>838</x:v>
      </x:c>
      <x:c r="B839" s="86" t="n">
        <x:v>39</x:v>
      </x:c>
      <x:c r="C839" s="95" t="n">
        <x:v>46013</x:v>
      </x:c>
      <x:c r="D839" s="95" t="n">
        <x:v>46013</x:v>
      </x:c>
      <x:c r="E839" s="86" t="str">
        <x:v>Licença</x:v>
      </x:c>
      <x:c r="F839" s="86" t="n">
        <x:v>4</x:v>
      </x:c>
      <x:c r="G839" s="86" t="n">
        <x:v>1</x:v>
      </x:c>
      <x:c r="H839" s="91" t="n">
        <x:v>243.6</x:v>
      </x:c>
      <x:c r="I839" s="87" t="n">
        <x:v>5</x:v>
      </x:c>
    </x:row>
    <x:row r="840">
      <x:c r="A840" s="85" t="n">
        <x:v>839</x:v>
      </x:c>
      <x:c r="B840" s="86" t="n">
        <x:v>349</x:v>
      </x:c>
      <x:c r="C840" s="95" t="n">
        <x:v>45975</x:v>
      </x:c>
      <x:c r="D840" s="95" t="n">
        <x:v>45975</x:v>
      </x:c>
      <x:c r="E840" s="86" t="str">
        <x:v>Atestado médico</x:v>
      </x:c>
      <x:c r="F840" s="86" t="n">
        <x:v>1</x:v>
      </x:c>
      <x:c r="G840" s="86" t="n">
        <x:v>1</x:v>
      </x:c>
      <x:c r="H840" s="91" t="n">
        <x:v>29.22</x:v>
      </x:c>
      <x:c r="I840" s="87" t="n">
        <x:v>9</x:v>
      </x:c>
    </x:row>
    <x:row r="841">
      <x:c r="A841" s="85" t="n">
        <x:v>840</x:v>
      </x:c>
      <x:c r="B841" s="86" t="n">
        <x:v>254</x:v>
      </x:c>
      <x:c r="C841" s="95" t="n">
        <x:v>45663</x:v>
      </x:c>
      <x:c r="D841" s="95" t="n">
        <x:v>45667</x:v>
      </x:c>
      <x:c r="E841" s="86" t="str">
        <x:v>Licença</x:v>
      </x:c>
      <x:c r="F841" s="86" t="n">
        <x:v>40</x:v>
      </x:c>
      <x:c r="G841" s="86" t="n">
        <x:v>1</x:v>
      </x:c>
      <x:c r="H841" s="91" t="n">
        <x:v>509.49</x:v>
      </x:c>
      <x:c r="I841" s="87" t="n">
        <x:v>1</x:v>
      </x:c>
    </x:row>
    <x:row r="842">
      <x:c r="A842" s="85" t="n">
        <x:v>841</x:v>
      </x:c>
      <x:c r="B842" s="86" t="n">
        <x:v>200</x:v>
      </x:c>
      <x:c r="C842" s="95" t="n">
        <x:v>45450</x:v>
      </x:c>
      <x:c r="D842" s="95" t="n">
        <x:v>45450</x:v>
      </x:c>
      <x:c r="E842" s="86" t="str">
        <x:v>Atraso</x:v>
      </x:c>
      <x:c r="F842" s="86" t="n">
        <x:v>2</x:v>
      </x:c>
      <x:c r="G842" s="86" t="n">
        <x:v>1</x:v>
      </x:c>
      <x:c r="H842" s="91" t="n">
        <x:v>58.21</x:v>
      </x:c>
      <x:c r="I842" s="87" t="n">
        <x:v>8</x:v>
      </x:c>
    </x:row>
    <x:row r="843">
      <x:c r="A843" s="85" t="n">
        <x:v>842</x:v>
      </x:c>
      <x:c r="B843" s="86" t="n">
        <x:v>245</x:v>
      </x:c>
      <x:c r="C843" s="95" t="n">
        <x:v>45875</x:v>
      </x:c>
      <x:c r="D843" s="95" t="n">
        <x:v>45875</x:v>
      </x:c>
      <x:c r="E843" s="86" t="str">
        <x:v>Consulta médica</x:v>
      </x:c>
      <x:c r="F843" s="86" t="n">
        <x:v>4</x:v>
      </x:c>
      <x:c r="G843" s="86" t="n">
        <x:v>1</x:v>
      </x:c>
      <x:c r="H843" s="91" t="n">
        <x:v>73.19</x:v>
      </x:c>
      <x:c r="I843" s="87" t="n">
        <x:v>3</x:v>
      </x:c>
    </x:row>
    <x:row r="844">
      <x:c r="A844" s="85" t="n">
        <x:v>843</x:v>
      </x:c>
      <x:c r="B844" s="86" t="n">
        <x:v>275</x:v>
      </x:c>
      <x:c r="C844" s="95" t="n">
        <x:v>46001</x:v>
      </x:c>
      <x:c r="D844" s="95" t="n">
        <x:v>46001</x:v>
      </x:c>
      <x:c r="E844" s="86" t="str">
        <x:v>Atraso</x:v>
      </x:c>
      <x:c r="F844" s="86" t="n">
        <x:v>3</x:v>
      </x:c>
      <x:c r="G844" s="86" t="n">
        <x:v>1</x:v>
      </x:c>
      <x:c r="H844" s="91" t="n">
        <x:v>30.2</x:v>
      </x:c>
      <x:c r="I844" s="87" t="n">
        <x:v>1</x:v>
      </x:c>
    </x:row>
    <x:row r="845">
      <x:c r="A845" s="85" t="n">
        <x:v>844</x:v>
      </x:c>
      <x:c r="B845" s="86" t="n">
        <x:v>124</x:v>
      </x:c>
      <x:c r="C845" s="95" t="n">
        <x:v>45516</x:v>
      </x:c>
      <x:c r="D845" s="95" t="n">
        <x:v>45516</x:v>
      </x:c>
      <x:c r="E845" s="86" t="str">
        <x:v>Atraso</x:v>
      </x:c>
      <x:c r="F845" s="86" t="n">
        <x:v>3</x:v>
      </x:c>
      <x:c r="G845" s="86" t="n">
        <x:v>1</x:v>
      </x:c>
      <x:c r="H845" s="91" t="n">
        <x:v>80.63</x:v>
      </x:c>
      <x:c r="I845" s="87" t="n">
        <x:v>6</x:v>
      </x:c>
    </x:row>
    <x:row r="846">
      <x:c r="A846" s="85" t="n">
        <x:v>845</x:v>
      </x:c>
      <x:c r="B846" s="86" t="n">
        <x:v>321</x:v>
      </x:c>
      <x:c r="C846" s="95" t="n">
        <x:v>45447</x:v>
      </x:c>
      <x:c r="D846" s="95" t="n">
        <x:v>45447</x:v>
      </x:c>
      <x:c r="E846" s="86" t="str">
        <x:v>Atraso</x:v>
      </x:c>
      <x:c r="F846" s="86" t="n">
        <x:v>1</x:v>
      </x:c>
      <x:c r="G846" s="86" t="n">
        <x:v>1</x:v>
      </x:c>
      <x:c r="H846" s="91" t="n">
        <x:v>14.32</x:v>
      </x:c>
      <x:c r="I846" s="87" t="n">
        <x:v>7</x:v>
      </x:c>
    </x:row>
    <x:row r="847">
      <x:c r="A847" s="85" t="n">
        <x:v>846</x:v>
      </x:c>
      <x:c r="B847" s="86" t="n">
        <x:v>119</x:v>
      </x:c>
      <x:c r="C847" s="95" t="n">
        <x:v>45696</x:v>
      </x:c>
      <x:c r="D847" s="95" t="n">
        <x:v>45698</x:v>
      </x:c>
      <x:c r="E847" s="86" t="str">
        <x:v>Atestado médico</x:v>
      </x:c>
      <x:c r="F847" s="86" t="n">
        <x:v>24</x:v>
      </x:c>
      <x:c r="G847" s="86" t="n">
        <x:v>1</x:v>
      </x:c>
      <x:c r="H847" s="91" t="n">
        <x:v>630.78</x:v>
      </x:c>
      <x:c r="I847" s="87" t="n">
        <x:v>8</x:v>
      </x:c>
    </x:row>
    <x:row r="848">
      <x:c r="A848" s="85" t="n">
        <x:v>847</x:v>
      </x:c>
      <x:c r="B848" s="86" t="n">
        <x:v>269</x:v>
      </x:c>
      <x:c r="C848" s="95" t="n">
        <x:v>45623</x:v>
      </x:c>
      <x:c r="D848" s="95" t="n">
        <x:v>45623</x:v>
      </x:c>
      <x:c r="E848" s="86" t="str">
        <x:v>Falta não justificada</x:v>
      </x:c>
      <x:c r="F848" s="86" t="n">
        <x:v>2</x:v>
      </x:c>
      <x:c r="G848" s="86" t="n">
        <x:v>0</x:v>
      </x:c>
      <x:c r="H848" s="91" t="n">
        <x:v>57.68</x:v>
      </x:c>
      <x:c r="I848" s="87" t="n">
        <x:v>4</x:v>
      </x:c>
    </x:row>
    <x:row r="849">
      <x:c r="A849" s="85" t="n">
        <x:v>848</x:v>
      </x:c>
      <x:c r="B849" s="86" t="n">
        <x:v>56</x:v>
      </x:c>
      <x:c r="C849" s="95" t="n">
        <x:v>45816</x:v>
      </x:c>
      <x:c r="D849" s="95" t="n">
        <x:v>45818</x:v>
      </x:c>
      <x:c r="E849" s="86" t="str">
        <x:v>Falta não justificada</x:v>
      </x:c>
      <x:c r="F849" s="86" t="n">
        <x:v>24</x:v>
      </x:c>
      <x:c r="G849" s="86" t="n">
        <x:v>0</x:v>
      </x:c>
      <x:c r="H849" s="91" t="n">
        <x:v>377.79</x:v>
      </x:c>
      <x:c r="I849" s="87" t="n">
        <x:v>1</x:v>
      </x:c>
    </x:row>
    <x:row r="850">
      <x:c r="A850" s="85" t="n">
        <x:v>849</x:v>
      </x:c>
      <x:c r="B850" s="86" t="n">
        <x:v>416</x:v>
      </x:c>
      <x:c r="C850" s="95" t="n">
        <x:v>45870</x:v>
      </x:c>
      <x:c r="D850" s="95" t="n">
        <x:v>45870</x:v>
      </x:c>
      <x:c r="E850" s="86" t="str">
        <x:v>Falta não justificada</x:v>
      </x:c>
      <x:c r="F850" s="86" t="n">
        <x:v>8</x:v>
      </x:c>
      <x:c r="G850" s="86" t="n">
        <x:v>0</x:v>
      </x:c>
      <x:c r="H850" s="91" t="n">
        <x:v>144.2</x:v>
      </x:c>
      <x:c r="I850" s="87" t="n">
        <x:v>3</x:v>
      </x:c>
    </x:row>
    <x:row r="851">
      <x:c r="A851" s="85" t="n">
        <x:v>850</x:v>
      </x:c>
      <x:c r="B851" s="86" t="n">
        <x:v>391</x:v>
      </x:c>
      <x:c r="C851" s="95" t="n">
        <x:v>45843</x:v>
      </x:c>
      <x:c r="D851" s="95" t="n">
        <x:v>45843</x:v>
      </x:c>
      <x:c r="E851" s="86" t="str">
        <x:v>Atestado médico</x:v>
      </x:c>
      <x:c r="F851" s="86" t="n">
        <x:v>4</x:v>
      </x:c>
      <x:c r="G851" s="86" t="n">
        <x:v>1</x:v>
      </x:c>
      <x:c r="H851" s="91" t="n">
        <x:v>83.62</x:v>
      </x:c>
      <x:c r="I851" s="87" t="n">
        <x:v>2</x:v>
      </x:c>
    </x:row>
    <x:row r="852">
      <x:c r="A852" s="85" t="n">
        <x:v>851</x:v>
      </x:c>
      <x:c r="B852" s="86" t="n">
        <x:v>311</x:v>
      </x:c>
      <x:c r="C852" s="95" t="n">
        <x:v>45654</x:v>
      </x:c>
      <x:c r="D852" s="95" t="n">
        <x:v>45654</x:v>
      </x:c>
      <x:c r="E852" s="86" t="str">
        <x:v>Licença</x:v>
      </x:c>
      <x:c r="F852" s="86" t="n">
        <x:v>1</x:v>
      </x:c>
      <x:c r="G852" s="86" t="n">
        <x:v>1</x:v>
      </x:c>
      <x:c r="H852" s="91" t="n">
        <x:v>73.93</x:v>
      </x:c>
      <x:c r="I852" s="87" t="n">
        <x:v>5</x:v>
      </x:c>
    </x:row>
    <x:row r="853">
      <x:c r="A853" s="85" t="n">
        <x:v>852</x:v>
      </x:c>
      <x:c r="B853" s="86" t="n">
        <x:v>283</x:v>
      </x:c>
      <x:c r="C853" s="95" t="n">
        <x:v>45951</x:v>
      </x:c>
      <x:c r="D853" s="95" t="n">
        <x:v>45951</x:v>
      </x:c>
      <x:c r="E853" s="86" t="str">
        <x:v>Atraso</x:v>
      </x:c>
      <x:c r="F853" s="86" t="n">
        <x:v>2</x:v>
      </x:c>
      <x:c r="G853" s="86" t="n">
        <x:v>1</x:v>
      </x:c>
      <x:c r="H853" s="91" t="n">
        <x:v>30.64</x:v>
      </x:c>
      <x:c r="I853" s="87" t="n">
        <x:v>1</x:v>
      </x:c>
    </x:row>
    <x:row r="854">
      <x:c r="A854" s="85" t="n">
        <x:v>853</x:v>
      </x:c>
      <x:c r="B854" s="86" t="n">
        <x:v>33</x:v>
      </x:c>
      <x:c r="C854" s="95" t="n">
        <x:v>45815</x:v>
      </x:c>
      <x:c r="D854" s="95" t="n">
        <x:v>45816</x:v>
      </x:c>
      <x:c r="E854" s="86" t="str">
        <x:v>Falta não justificada</x:v>
      </x:c>
      <x:c r="F854" s="86" t="n">
        <x:v>16</x:v>
      </x:c>
      <x:c r="G854" s="86" t="n">
        <x:v>0</x:v>
      </x:c>
      <x:c r="H854" s="91" t="n">
        <x:v>443.3</x:v>
      </x:c>
      <x:c r="I854" s="87" t="n">
        <x:v>9</x:v>
      </x:c>
    </x:row>
    <x:row r="855">
      <x:c r="A855" s="85" t="n">
        <x:v>854</x:v>
      </x:c>
      <x:c r="B855" s="86" t="n">
        <x:v>46</x:v>
      </x:c>
      <x:c r="C855" s="95" t="n">
        <x:v>45511</x:v>
      </x:c>
      <x:c r="D855" s="95" t="n">
        <x:v>45513</x:v>
      </x:c>
      <x:c r="E855" s="86" t="str">
        <x:v>Licença</x:v>
      </x:c>
      <x:c r="F855" s="86" t="n">
        <x:v>24</x:v>
      </x:c>
      <x:c r="G855" s="86" t="n">
        <x:v>1</x:v>
      </x:c>
      <x:c r="H855" s="91" t="n">
        <x:v>315.23</x:v>
      </x:c>
      <x:c r="I855" s="87" t="n">
        <x:v>1</x:v>
      </x:c>
    </x:row>
    <x:row r="856">
      <x:c r="A856" s="85" t="n">
        <x:v>855</x:v>
      </x:c>
      <x:c r="B856" s="86" t="n">
        <x:v>319</x:v>
      </x:c>
      <x:c r="C856" s="95" t="n">
        <x:v>45998</x:v>
      </x:c>
      <x:c r="D856" s="95" t="n">
        <x:v>45998</x:v>
      </x:c>
      <x:c r="E856" s="86" t="str">
        <x:v>Atraso</x:v>
      </x:c>
      <x:c r="F856" s="86" t="n">
        <x:v>3</x:v>
      </x:c>
      <x:c r="G856" s="86" t="n">
        <x:v>1</x:v>
      </x:c>
      <x:c r="H856" s="91" t="n">
        <x:v>85.7</x:v>
      </x:c>
      <x:c r="I856" s="87" t="n">
        <x:v>8</x:v>
      </x:c>
    </x:row>
    <x:row r="857">
      <x:c r="A857" s="85" t="n">
        <x:v>856</x:v>
      </x:c>
      <x:c r="B857" s="86" t="n">
        <x:v>293</x:v>
      </x:c>
      <x:c r="C857" s="95" t="n">
        <x:v>45748</x:v>
      </x:c>
      <x:c r="D857" s="95" t="n">
        <x:v>45748</x:v>
      </x:c>
      <x:c r="E857" s="86" t="str">
        <x:v>Atraso</x:v>
      </x:c>
      <x:c r="F857" s="86" t="n">
        <x:v>3</x:v>
      </x:c>
      <x:c r="G857" s="86" t="n">
        <x:v>1</x:v>
      </x:c>
      <x:c r="H857" s="91" t="n">
        <x:v>39.69</x:v>
      </x:c>
      <x:c r="I857" s="87" t="n">
        <x:v>1</x:v>
      </x:c>
    </x:row>
    <x:row r="858">
      <x:c r="A858" s="85" t="n">
        <x:v>857</x:v>
      </x:c>
      <x:c r="B858" s="86" t="n">
        <x:v>36</x:v>
      </x:c>
      <x:c r="C858" s="95" t="n">
        <x:v>45555</x:v>
      </x:c>
      <x:c r="D858" s="95" t="n">
        <x:v>45559</x:v>
      </x:c>
      <x:c r="E858" s="86" t="str">
        <x:v>Atestado médico</x:v>
      </x:c>
      <x:c r="F858" s="86" t="n">
        <x:v>40</x:v>
      </x:c>
      <x:c r="G858" s="86" t="n">
        <x:v>1</x:v>
      </x:c>
      <x:c r="H858" s="91" t="n">
        <x:v>690.98</x:v>
      </x:c>
      <x:c r="I858" s="87" t="n">
        <x:v>4</x:v>
      </x:c>
    </x:row>
    <x:row r="859">
      <x:c r="A859" s="85" t="n">
        <x:v>858</x:v>
      </x:c>
      <x:c r="B859" s="86" t="n">
        <x:v>228</x:v>
      </x:c>
      <x:c r="C859" s="95" t="n">
        <x:v>45618</x:v>
      </x:c>
      <x:c r="D859" s="95" t="n">
        <x:v>45618</x:v>
      </x:c>
      <x:c r="E859" s="86" t="str">
        <x:v>Atestado médico</x:v>
      </x:c>
      <x:c r="F859" s="86" t="n">
        <x:v>8</x:v>
      </x:c>
      <x:c r="G859" s="86" t="n">
        <x:v>1</x:v>
      </x:c>
      <x:c r="H859" s="91" t="n">
        <x:v>158.02</x:v>
      </x:c>
      <x:c r="I859" s="87" t="n">
        <x:v>3</x:v>
      </x:c>
    </x:row>
    <x:row r="860">
      <x:c r="A860" s="85" t="n">
        <x:v>859</x:v>
      </x:c>
      <x:c r="B860" s="86" t="n">
        <x:v>105</x:v>
      </x:c>
      <x:c r="C860" s="95" t="n">
        <x:v>45981</x:v>
      </x:c>
      <x:c r="D860" s="95" t="n">
        <x:v>45981</x:v>
      </x:c>
      <x:c r="E860" s="86" t="str">
        <x:v>Atraso</x:v>
      </x:c>
      <x:c r="F860" s="86" t="n">
        <x:v>1</x:v>
      </x:c>
      <x:c r="G860" s="86" t="n">
        <x:v>1</x:v>
      </x:c>
      <x:c r="H860" s="91" t="n">
        <x:v>18.52</x:v>
      </x:c>
      <x:c r="I860" s="87" t="n">
        <x:v>2</x:v>
      </x:c>
    </x:row>
    <x:row r="861">
      <x:c r="A861" s="85" t="n">
        <x:v>860</x:v>
      </x:c>
      <x:c r="B861" s="86" t="n">
        <x:v>138</x:v>
      </x:c>
      <x:c r="C861" s="95" t="n">
        <x:v>45378</x:v>
      </x:c>
      <x:c r="D861" s="95" t="n">
        <x:v>45378</x:v>
      </x:c>
      <x:c r="E861" s="86" t="str">
        <x:v>Falta não justificada</x:v>
      </x:c>
      <x:c r="F861" s="86" t="n">
        <x:v>2</x:v>
      </x:c>
      <x:c r="G861" s="86" t="n">
        <x:v>0</x:v>
      </x:c>
      <x:c r="H861" s="91" t="n">
        <x:v>52.77</x:v>
      </x:c>
      <x:c r="I861" s="87" t="n">
        <x:v>7</x:v>
      </x:c>
    </x:row>
    <x:row r="862">
      <x:c r="A862" s="85" t="n">
        <x:v>861</x:v>
      </x:c>
      <x:c r="B862" s="86" t="n">
        <x:v>359</x:v>
      </x:c>
      <x:c r="C862" s="95" t="n">
        <x:v>45729</x:v>
      </x:c>
      <x:c r="D862" s="95" t="n">
        <x:v>45729</x:v>
      </x:c>
      <x:c r="E862" s="86" t="str">
        <x:v>Atraso</x:v>
      </x:c>
      <x:c r="F862" s="86" t="n">
        <x:v>3</x:v>
      </x:c>
      <x:c r="G862" s="86" t="n">
        <x:v>1</x:v>
      </x:c>
      <x:c r="H862" s="91" t="n">
        <x:v>40.06</x:v>
      </x:c>
      <x:c r="I862" s="87" t="n">
        <x:v>1</x:v>
      </x:c>
    </x:row>
    <x:row r="863">
      <x:c r="A863" s="85" t="n">
        <x:v>862</x:v>
      </x:c>
      <x:c r="B863" s="86" t="n">
        <x:v>235</x:v>
      </x:c>
      <x:c r="C863" s="95" t="n">
        <x:v>45948</x:v>
      </x:c>
      <x:c r="D863" s="95" t="n">
        <x:v>45948</x:v>
      </x:c>
      <x:c r="E863" s="86" t="str">
        <x:v>Licença</x:v>
      </x:c>
      <x:c r="F863" s="86" t="n">
        <x:v>4</x:v>
      </x:c>
      <x:c r="G863" s="86" t="n">
        <x:v>1</x:v>
      </x:c>
      <x:c r="H863" s="91" t="n">
        <x:v>55.61</x:v>
      </x:c>
      <x:c r="I863" s="87" t="n">
        <x:v>1</x:v>
      </x:c>
    </x:row>
    <x:row r="864">
      <x:c r="A864" s="85" t="n">
        <x:v>863</x:v>
      </x:c>
      <x:c r="B864" s="86" t="n">
        <x:v>354</x:v>
      </x:c>
      <x:c r="C864" s="95" t="n">
        <x:v>46001</x:v>
      </x:c>
      <x:c r="D864" s="95" t="n">
        <x:v>46002</x:v>
      </x:c>
      <x:c r="E864" s="86" t="str">
        <x:v>Atestado médico</x:v>
      </x:c>
      <x:c r="F864" s="86" t="n">
        <x:v>16</x:v>
      </x:c>
      <x:c r="G864" s="86" t="n">
        <x:v>1</x:v>
      </x:c>
      <x:c r="H864" s="91" t="n">
        <x:v>1091.62</x:v>
      </x:c>
      <x:c r="I864" s="87" t="n">
        <x:v>9</x:v>
      </x:c>
    </x:row>
    <x:row r="865">
      <x:c r="A865" s="85" t="n">
        <x:v>864</x:v>
      </x:c>
      <x:c r="B865" s="86" t="n">
        <x:v>399</x:v>
      </x:c>
      <x:c r="C865" s="95" t="n">
        <x:v>45670</x:v>
      </x:c>
      <x:c r="D865" s="95" t="n">
        <x:v>45670</x:v>
      </x:c>
      <x:c r="E865" s="86" t="str">
        <x:v>Atraso</x:v>
      </x:c>
      <x:c r="F865" s="86" t="n">
        <x:v>2</x:v>
      </x:c>
      <x:c r="G865" s="86" t="n">
        <x:v>1</x:v>
      </x:c>
      <x:c r="H865" s="91" t="n">
        <x:v>30.85</x:v>
      </x:c>
      <x:c r="I865" s="87" t="n">
        <x:v>1</x:v>
      </x:c>
    </x:row>
    <x:row r="866">
      <x:c r="A866" s="85" t="n">
        <x:v>865</x:v>
      </x:c>
      <x:c r="B866" s="86" t="n">
        <x:v>387</x:v>
      </x:c>
      <x:c r="C866" s="95" t="n">
        <x:v>45802</x:v>
      </x:c>
      <x:c r="D866" s="95" t="n">
        <x:v>45802</x:v>
      </x:c>
      <x:c r="E866" s="86" t="str">
        <x:v>Atraso</x:v>
      </x:c>
      <x:c r="F866" s="86" t="n">
        <x:v>1</x:v>
      </x:c>
      <x:c r="G866" s="86" t="n">
        <x:v>1</x:v>
      </x:c>
      <x:c r="H866" s="91" t="n">
        <x:v>31.67</x:v>
      </x:c>
      <x:c r="I866" s="87" t="n">
        <x:v>5</x:v>
      </x:c>
    </x:row>
    <x:row r="867">
      <x:c r="A867" s="85" t="n">
        <x:v>866</x:v>
      </x:c>
      <x:c r="B867" s="86" t="n">
        <x:v>289</x:v>
      </x:c>
      <x:c r="C867" s="95" t="n">
        <x:v>45917</x:v>
      </x:c>
      <x:c r="D867" s="95" t="n">
        <x:v>45917</x:v>
      </x:c>
      <x:c r="E867" s="86" t="str">
        <x:v>Atraso</x:v>
      </x:c>
      <x:c r="F867" s="86" t="n">
        <x:v>2</x:v>
      </x:c>
      <x:c r="G867" s="86" t="n">
        <x:v>1</x:v>
      </x:c>
      <x:c r="H867" s="91" t="n">
        <x:v>24.94</x:v>
      </x:c>
      <x:c r="I867" s="87" t="n">
        <x:v>1</x:v>
      </x:c>
    </x:row>
    <x:row r="868">
      <x:c r="A868" s="85" t="n">
        <x:v>867</x:v>
      </x:c>
      <x:c r="B868" s="86" t="n">
        <x:v>344</x:v>
      </x:c>
      <x:c r="C868" s="95" t="n">
        <x:v>45840</x:v>
      </x:c>
      <x:c r="D868" s="95" t="n">
        <x:v>45840</x:v>
      </x:c>
      <x:c r="E868" s="86" t="str">
        <x:v>Consulta médica</x:v>
      </x:c>
      <x:c r="F868" s="86" t="n">
        <x:v>2</x:v>
      </x:c>
      <x:c r="G868" s="86" t="n">
        <x:v>1</x:v>
      </x:c>
      <x:c r="H868" s="91" t="n">
        <x:v>23.2</x:v>
      </x:c>
      <x:c r="I868" s="87" t="n">
        <x:v>1</x:v>
      </x:c>
    </x:row>
    <x:row r="869">
      <x:c r="A869" s="85" t="n">
        <x:v>868</x:v>
      </x:c>
      <x:c r="B869" s="86" t="n">
        <x:v>158</x:v>
      </x:c>
      <x:c r="C869" s="95" t="n">
        <x:v>45520</x:v>
      </x:c>
      <x:c r="D869" s="95" t="n">
        <x:v>45520</x:v>
      </x:c>
      <x:c r="E869" s="86" t="str">
        <x:v>Atestado médico</x:v>
      </x:c>
      <x:c r="F869" s="86" t="n">
        <x:v>4</x:v>
      </x:c>
      <x:c r="G869" s="86" t="n">
        <x:v>1</x:v>
      </x:c>
      <x:c r="H869" s="91" t="n">
        <x:v>115.5</x:v>
      </x:c>
      <x:c r="I869" s="87" t="n">
        <x:v>10</x:v>
      </x:c>
    </x:row>
    <x:row r="870">
      <x:c r="A870" s="85" t="n">
        <x:v>869</x:v>
      </x:c>
      <x:c r="B870" s="86" t="n">
        <x:v>97</x:v>
      </x:c>
      <x:c r="C870" s="95" t="n">
        <x:v>45532</x:v>
      </x:c>
      <x:c r="D870" s="95" t="n">
        <x:v>45532</x:v>
      </x:c>
      <x:c r="E870" s="86" t="str">
        <x:v>Falta não justificada</x:v>
      </x:c>
      <x:c r="F870" s="86" t="n">
        <x:v>2</x:v>
      </x:c>
      <x:c r="G870" s="86" t="n">
        <x:v>0</x:v>
      </x:c>
      <x:c r="H870" s="91" t="n">
        <x:v>51.45</x:v>
      </x:c>
      <x:c r="I870" s="87" t="n">
        <x:v>7</x:v>
      </x:c>
    </x:row>
    <x:row r="871">
      <x:c r="A871" s="85" t="n">
        <x:v>870</x:v>
      </x:c>
      <x:c r="B871" s="86" t="n">
        <x:v>320</x:v>
      </x:c>
      <x:c r="C871" s="95" t="n">
        <x:v>45814</x:v>
      </x:c>
      <x:c r="D871" s="95" t="n">
        <x:v>45816</x:v>
      </x:c>
      <x:c r="E871" s="86" t="str">
        <x:v>Atestado médico</x:v>
      </x:c>
      <x:c r="F871" s="86" t="n">
        <x:v>24</x:v>
      </x:c>
      <x:c r="G871" s="86" t="n">
        <x:v>1</x:v>
      </x:c>
      <x:c r="H871" s="91" t="n">
        <x:v>353.81</x:v>
      </x:c>
      <x:c r="I871" s="87" t="n">
        <x:v>1</x:v>
      </x:c>
    </x:row>
    <x:row r="872">
      <x:c r="A872" s="85" t="n">
        <x:v>871</x:v>
      </x:c>
      <x:c r="B872" s="86" t="n">
        <x:v>137</x:v>
      </x:c>
      <x:c r="C872" s="95" t="n">
        <x:v>45994</x:v>
      </x:c>
      <x:c r="D872" s="95" t="n">
        <x:v>45994</x:v>
      </x:c>
      <x:c r="E872" s="86" t="str">
        <x:v>Atraso</x:v>
      </x:c>
      <x:c r="F872" s="86" t="n">
        <x:v>2</x:v>
      </x:c>
      <x:c r="G872" s="86" t="n">
        <x:v>1</x:v>
      </x:c>
      <x:c r="H872" s="91" t="n">
        <x:v>69.88</x:v>
      </x:c>
      <x:c r="I872" s="87" t="n">
        <x:v>10</x:v>
      </x:c>
    </x:row>
    <x:row r="873">
      <x:c r="A873" s="85" t="n">
        <x:v>872</x:v>
      </x:c>
      <x:c r="B873" s="86" t="n">
        <x:v>229</x:v>
      </x:c>
      <x:c r="C873" s="95" t="n">
        <x:v>45461</x:v>
      </x:c>
      <x:c r="D873" s="95" t="n">
        <x:v>45461</x:v>
      </x:c>
      <x:c r="E873" s="86" t="str">
        <x:v>Atraso</x:v>
      </x:c>
      <x:c r="F873" s="86" t="n">
        <x:v>2</x:v>
      </x:c>
      <x:c r="G873" s="86" t="n">
        <x:v>1</x:v>
      </x:c>
      <x:c r="H873" s="91" t="n">
        <x:v>44.89</x:v>
      </x:c>
      <x:c r="I873" s="87" t="n">
        <x:v>10</x:v>
      </x:c>
    </x:row>
    <x:row r="874">
      <x:c r="A874" s="85" t="n">
        <x:v>873</x:v>
      </x:c>
      <x:c r="B874" s="86" t="n">
        <x:v>313</x:v>
      </x:c>
      <x:c r="C874" s="95" t="n">
        <x:v>45991</x:v>
      </x:c>
      <x:c r="D874" s="95" t="n">
        <x:v>45991</x:v>
      </x:c>
      <x:c r="E874" s="86" t="str">
        <x:v>Atestado médico</x:v>
      </x:c>
      <x:c r="F874" s="86" t="n">
        <x:v>2</x:v>
      </x:c>
      <x:c r="G874" s="86" t="n">
        <x:v>1</x:v>
      </x:c>
      <x:c r="H874" s="91" t="n">
        <x:v>23.22</x:v>
      </x:c>
      <x:c r="I874" s="87" t="n">
        <x:v>1</x:v>
      </x:c>
    </x:row>
    <x:row r="875">
      <x:c r="A875" s="85" t="n">
        <x:v>874</x:v>
      </x:c>
      <x:c r="B875" s="86" t="n">
        <x:v>419</x:v>
      </x:c>
      <x:c r="C875" s="95" t="n">
        <x:v>45447</x:v>
      </x:c>
      <x:c r="D875" s="95" t="n">
        <x:v>45447</x:v>
      </x:c>
      <x:c r="E875" s="86" t="str">
        <x:v>Atraso</x:v>
      </x:c>
      <x:c r="F875" s="86" t="n">
        <x:v>3</x:v>
      </x:c>
      <x:c r="G875" s="86" t="n">
        <x:v>1</x:v>
      </x:c>
      <x:c r="H875" s="91" t="n">
        <x:v>45.69</x:v>
      </x:c>
      <x:c r="I875" s="87" t="n">
        <x:v>1</x:v>
      </x:c>
    </x:row>
    <x:row r="876">
      <x:c r="A876" s="85" t="n">
        <x:v>875</x:v>
      </x:c>
      <x:c r="B876" s="86" t="n">
        <x:v>216</x:v>
      </x:c>
      <x:c r="C876" s="95" t="n">
        <x:v>45680</x:v>
      </x:c>
      <x:c r="D876" s="95" t="n">
        <x:v>45684</x:v>
      </x:c>
      <x:c r="E876" s="86" t="str">
        <x:v>Atestado médico</x:v>
      </x:c>
      <x:c r="F876" s="86" t="n">
        <x:v>40</x:v>
      </x:c>
      <x:c r="G876" s="86" t="n">
        <x:v>1</x:v>
      </x:c>
      <x:c r="H876" s="91" t="n">
        <x:v>1174.13</x:v>
      </x:c>
      <x:c r="I876" s="87" t="n">
        <x:v>8</x:v>
      </x:c>
    </x:row>
    <x:row r="877">
      <x:c r="A877" s="85" t="n">
        <x:v>876</x:v>
      </x:c>
      <x:c r="B877" s="86" t="n">
        <x:v>381</x:v>
      </x:c>
      <x:c r="C877" s="95" t="n">
        <x:v>45426</x:v>
      </x:c>
      <x:c r="D877" s="95" t="n">
        <x:v>45430</x:v>
      </x:c>
      <x:c r="E877" s="86" t="str">
        <x:v>Atestado médico</x:v>
      </x:c>
      <x:c r="F877" s="86" t="n">
        <x:v>40</x:v>
      </x:c>
      <x:c r="G877" s="86" t="n">
        <x:v>1</x:v>
      </x:c>
      <x:c r="H877" s="91" t="n">
        <x:v>1711.23</x:v>
      </x:c>
      <x:c r="I877" s="87" t="n">
        <x:v>5</x:v>
      </x:c>
    </x:row>
    <x:row r="878">
      <x:c r="A878" s="85" t="n">
        <x:v>877</x:v>
      </x:c>
      <x:c r="B878" s="86" t="n">
        <x:v>216</x:v>
      </x:c>
      <x:c r="C878" s="95" t="n">
        <x:v>45815</x:v>
      </x:c>
      <x:c r="D878" s="95" t="n">
        <x:v>45815</x:v>
      </x:c>
      <x:c r="E878" s="86" t="str">
        <x:v>Licença</x:v>
      </x:c>
      <x:c r="F878" s="86" t="n">
        <x:v>8</x:v>
      </x:c>
      <x:c r="G878" s="86" t="n">
        <x:v>1</x:v>
      </x:c>
      <x:c r="H878" s="91" t="n">
        <x:v>234.83</x:v>
      </x:c>
      <x:c r="I878" s="87" t="n">
        <x:v>8</x:v>
      </x:c>
    </x:row>
    <x:row r="879">
      <x:c r="A879" s="85" t="n">
        <x:v>878</x:v>
      </x:c>
      <x:c r="B879" s="86" t="n">
        <x:v>396</x:v>
      </x:c>
      <x:c r="C879" s="95" t="n">
        <x:v>45897</x:v>
      </x:c>
      <x:c r="D879" s="95" t="n">
        <x:v>45901</x:v>
      </x:c>
      <x:c r="E879" s="86" t="str">
        <x:v>Licença</x:v>
      </x:c>
      <x:c r="F879" s="86" t="n">
        <x:v>40</x:v>
      </x:c>
      <x:c r="G879" s="86" t="n">
        <x:v>1</x:v>
      </x:c>
      <x:c r="H879" s="91" t="n">
        <x:v>1359.64</x:v>
      </x:c>
      <x:c r="I879" s="87" t="n">
        <x:v>1</x:v>
      </x:c>
    </x:row>
    <x:row r="880">
      <x:c r="A880" s="85" t="n">
        <x:v>879</x:v>
      </x:c>
      <x:c r="B880" s="86" t="n">
        <x:v>118</x:v>
      </x:c>
      <x:c r="C880" s="95" t="n">
        <x:v>45780</x:v>
      </x:c>
      <x:c r="D880" s="95" t="n">
        <x:v>45780</x:v>
      </x:c>
      <x:c r="E880" s="86" t="str">
        <x:v>Atestado médico</x:v>
      </x:c>
      <x:c r="F880" s="86" t="n">
        <x:v>1</x:v>
      </x:c>
      <x:c r="G880" s="86" t="n">
        <x:v>1</x:v>
      </x:c>
      <x:c r="H880" s="91" t="n">
        <x:v>12.56</x:v>
      </x:c>
      <x:c r="I880" s="87" t="n">
        <x:v>1</x:v>
      </x:c>
    </x:row>
    <x:row r="881">
      <x:c r="A881" s="85" t="n">
        <x:v>880</x:v>
      </x:c>
      <x:c r="B881" s="86" t="n">
        <x:v>31</x:v>
      </x:c>
      <x:c r="C881" s="95" t="n">
        <x:v>45681</x:v>
      </x:c>
      <x:c r="D881" s="95" t="n">
        <x:v>45681</x:v>
      </x:c>
      <x:c r="E881" s="86" t="str">
        <x:v>Consulta médica</x:v>
      </x:c>
      <x:c r="F881" s="86" t="n">
        <x:v>1</x:v>
      </x:c>
      <x:c r="G881" s="86" t="n">
        <x:v>1</x:v>
      </x:c>
      <x:c r="H881" s="91" t="n">
        <x:v>19.96</x:v>
      </x:c>
      <x:c r="I881" s="87" t="n">
        <x:v>2</x:v>
      </x:c>
    </x:row>
    <x:row r="882">
      <x:c r="A882" s="85" t="n">
        <x:v>881</x:v>
      </x:c>
      <x:c r="B882" s="86" t="n">
        <x:v>334</x:v>
      </x:c>
      <x:c r="C882" s="95" t="n">
        <x:v>45577</x:v>
      </x:c>
      <x:c r="D882" s="95" t="n">
        <x:v>45577</x:v>
      </x:c>
      <x:c r="E882" s="86" t="str">
        <x:v>Atestado médico</x:v>
      </x:c>
      <x:c r="F882" s="86" t="n">
        <x:v>1</x:v>
      </x:c>
      <x:c r="G882" s="86" t="n">
        <x:v>1</x:v>
      </x:c>
      <x:c r="H882" s="91" t="n">
        <x:v>33.4</x:v>
      </x:c>
      <x:c r="I882" s="87" t="n">
        <x:v>5</x:v>
      </x:c>
    </x:row>
    <x:row r="883">
      <x:c r="A883" s="85" t="n">
        <x:v>882</x:v>
      </x:c>
      <x:c r="B883" s="86" t="n">
        <x:v>193</x:v>
      </x:c>
      <x:c r="C883" s="95" t="n">
        <x:v>45907</x:v>
      </x:c>
      <x:c r="D883" s="95" t="n">
        <x:v>45911</x:v>
      </x:c>
      <x:c r="E883" s="86" t="str">
        <x:v>Falta não justificada</x:v>
      </x:c>
      <x:c r="F883" s="86" t="n">
        <x:v>40</x:v>
      </x:c>
      <x:c r="G883" s="86" t="n">
        <x:v>0</x:v>
      </x:c>
      <x:c r="H883" s="91" t="n">
        <x:v>1113.08</x:v>
      </x:c>
      <x:c r="I883" s="87" t="n">
        <x:v>6</x:v>
      </x:c>
    </x:row>
    <x:row r="884">
      <x:c r="A884" s="85" t="n">
        <x:v>883</x:v>
      </x:c>
      <x:c r="B884" s="86" t="n">
        <x:v>355</x:v>
      </x:c>
      <x:c r="C884" s="95" t="n">
        <x:v>45554</x:v>
      </x:c>
      <x:c r="D884" s="95" t="n">
        <x:v>45554</x:v>
      </x:c>
      <x:c r="E884" s="86" t="str">
        <x:v>Atraso</x:v>
      </x:c>
      <x:c r="F884" s="86" t="n">
        <x:v>1</x:v>
      </x:c>
      <x:c r="G884" s="86" t="n">
        <x:v>1</x:v>
      </x:c>
      <x:c r="H884" s="91" t="n">
        <x:v>12.02</x:v>
      </x:c>
      <x:c r="I884" s="87" t="n">
        <x:v>1</x:v>
      </x:c>
    </x:row>
    <x:row r="885">
      <x:c r="A885" s="85" t="n">
        <x:v>884</x:v>
      </x:c>
      <x:c r="B885" s="86" t="n">
        <x:v>202</x:v>
      </x:c>
      <x:c r="C885" s="95" t="n">
        <x:v>45622</x:v>
      </x:c>
      <x:c r="D885" s="95" t="n">
        <x:v>45622</x:v>
      </x:c>
      <x:c r="E885" s="86" t="str">
        <x:v>Atraso</x:v>
      </x:c>
      <x:c r="F885" s="86" t="n">
        <x:v>1</x:v>
      </x:c>
      <x:c r="G885" s="86" t="n">
        <x:v>1</x:v>
      </x:c>
      <x:c r="H885" s="91" t="n">
        <x:v>35.2</x:v>
      </x:c>
      <x:c r="I885" s="87" t="n">
        <x:v>1</x:v>
      </x:c>
    </x:row>
    <x:row r="886">
      <x:c r="A886" s="85" t="n">
        <x:v>885</x:v>
      </x:c>
      <x:c r="B886" s="86" t="n">
        <x:v>22</x:v>
      </x:c>
      <x:c r="C886" s="95" t="n">
        <x:v>45984</x:v>
      </x:c>
      <x:c r="D886" s="95" t="n">
        <x:v>45984</x:v>
      </x:c>
      <x:c r="E886" s="86" t="str">
        <x:v>Atestado médico</x:v>
      </x:c>
      <x:c r="F886" s="86" t="n">
        <x:v>4</x:v>
      </x:c>
      <x:c r="G886" s="86" t="n">
        <x:v>1</x:v>
      </x:c>
      <x:c r="H886" s="91" t="n">
        <x:v>165.43</x:v>
      </x:c>
      <x:c r="I886" s="87" t="n">
        <x:v>9</x:v>
      </x:c>
    </x:row>
    <x:row r="887">
      <x:c r="A887" s="85" t="n">
        <x:v>886</x:v>
      </x:c>
      <x:c r="B887" s="86" t="n">
        <x:v>244</x:v>
      </x:c>
      <x:c r="C887" s="95" t="n">
        <x:v>45861</x:v>
      </x:c>
      <x:c r="D887" s="95" t="n">
        <x:v>45861</x:v>
      </x:c>
      <x:c r="E887" s="86" t="str">
        <x:v>Licença</x:v>
      </x:c>
      <x:c r="F887" s="86" t="n">
        <x:v>2</x:v>
      </x:c>
      <x:c r="G887" s="86" t="n">
        <x:v>1</x:v>
      </x:c>
      <x:c r="H887" s="91" t="n">
        <x:v>30.75</x:v>
      </x:c>
      <x:c r="I887" s="87" t="n">
        <x:v>1</x:v>
      </x:c>
    </x:row>
    <x:row r="888">
      <x:c r="A888" s="85" t="n">
        <x:v>887</x:v>
      </x:c>
      <x:c r="B888" s="86" t="n">
        <x:v>386</x:v>
      </x:c>
      <x:c r="C888" s="95" t="n">
        <x:v>45387</x:v>
      </x:c>
      <x:c r="D888" s="95" t="n">
        <x:v>45389</x:v>
      </x:c>
      <x:c r="E888" s="86" t="str">
        <x:v>Licença</x:v>
      </x:c>
      <x:c r="F888" s="86" t="n">
        <x:v>24</x:v>
      </x:c>
      <x:c r="G888" s="86" t="n">
        <x:v>1</x:v>
      </x:c>
      <x:c r="H888" s="91" t="n">
        <x:v>260.33</x:v>
      </x:c>
      <x:c r="I888" s="87" t="n">
        <x:v>1</x:v>
      </x:c>
    </x:row>
    <x:row r="889">
      <x:c r="A889" s="85" t="n">
        <x:v>888</x:v>
      </x:c>
      <x:c r="B889" s="86" t="n">
        <x:v>253</x:v>
      </x:c>
      <x:c r="C889" s="95" t="n">
        <x:v>45587</x:v>
      </x:c>
      <x:c r="D889" s="95" t="n">
        <x:v>45591</x:v>
      </x:c>
      <x:c r="E889" s="86" t="str">
        <x:v>Atestado médico</x:v>
      </x:c>
      <x:c r="F889" s="86" t="n">
        <x:v>40</x:v>
      </x:c>
      <x:c r="G889" s="86" t="n">
        <x:v>1</x:v>
      </x:c>
      <x:c r="H889" s="91" t="n">
        <x:v>597.68</x:v>
      </x:c>
      <x:c r="I889" s="87" t="n">
        <x:v>2</x:v>
      </x:c>
    </x:row>
    <x:row r="890">
      <x:c r="A890" s="85" t="n">
        <x:v>889</x:v>
      </x:c>
      <x:c r="B890" s="86" t="n">
        <x:v>183</x:v>
      </x:c>
      <x:c r="C890" s="95" t="n">
        <x:v>45762</x:v>
      </x:c>
      <x:c r="D890" s="95" t="n">
        <x:v>45762</x:v>
      </x:c>
      <x:c r="E890" s="86" t="str">
        <x:v>Atraso</x:v>
      </x:c>
      <x:c r="F890" s="86" t="n">
        <x:v>2</x:v>
      </x:c>
      <x:c r="G890" s="86" t="n">
        <x:v>1</x:v>
      </x:c>
      <x:c r="H890" s="91" t="n">
        <x:v>25.34</x:v>
      </x:c>
      <x:c r="I890" s="87" t="n">
        <x:v>1</x:v>
      </x:c>
    </x:row>
    <x:row r="891">
      <x:c r="A891" s="85" t="n">
        <x:v>890</x:v>
      </x:c>
      <x:c r="B891" s="86" t="n">
        <x:v>301</x:v>
      </x:c>
      <x:c r="C891" s="95" t="n">
        <x:v>46017</x:v>
      </x:c>
      <x:c r="D891" s="95" t="n">
        <x:v>46017</x:v>
      </x:c>
      <x:c r="E891" s="86" t="str">
        <x:v>Licença</x:v>
      </x:c>
      <x:c r="F891" s="86" t="n">
        <x:v>1</x:v>
      </x:c>
      <x:c r="G891" s="86" t="n">
        <x:v>1</x:v>
      </x:c>
      <x:c r="H891" s="91" t="n">
        <x:v>29.85</x:v>
      </x:c>
      <x:c r="I891" s="87" t="n">
        <x:v>6</x:v>
      </x:c>
    </x:row>
    <x:row r="892">
      <x:c r="A892" s="85" t="n">
        <x:v>891</x:v>
      </x:c>
      <x:c r="B892" s="86" t="n">
        <x:v>54</x:v>
      </x:c>
      <x:c r="C892" s="95" t="n">
        <x:v>46005</x:v>
      </x:c>
      <x:c r="D892" s="95" t="n">
        <x:v>46005</x:v>
      </x:c>
      <x:c r="E892" s="86" t="str">
        <x:v>Atestado médico</x:v>
      </x:c>
      <x:c r="F892" s="86" t="n">
        <x:v>8</x:v>
      </x:c>
      <x:c r="G892" s="86" t="n">
        <x:v>1</x:v>
      </x:c>
      <x:c r="H892" s="91" t="n">
        <x:v>133.6</x:v>
      </x:c>
      <x:c r="I892" s="87" t="n">
        <x:v>10</x:v>
      </x:c>
    </x:row>
    <x:row r="893">
      <x:c r="A893" s="85" t="n">
        <x:v>892</x:v>
      </x:c>
      <x:c r="B893" s="86" t="n">
        <x:v>319</x:v>
      </x:c>
      <x:c r="C893" s="95" t="n">
        <x:v>45885</x:v>
      </x:c>
      <x:c r="D893" s="95" t="n">
        <x:v>45889</x:v>
      </x:c>
      <x:c r="E893" s="86" t="str">
        <x:v>Atestado médico</x:v>
      </x:c>
      <x:c r="F893" s="86" t="n">
        <x:v>40</x:v>
      </x:c>
      <x:c r="G893" s="86" t="n">
        <x:v>1</x:v>
      </x:c>
      <x:c r="H893" s="91" t="n">
        <x:v>1142.62</x:v>
      </x:c>
      <x:c r="I893" s="87" t="n">
        <x:v>8</x:v>
      </x:c>
    </x:row>
    <x:row r="894">
      <x:c r="A894" s="85" t="n">
        <x:v>893</x:v>
      </x:c>
      <x:c r="B894" s="86" t="n">
        <x:v>313</x:v>
      </x:c>
      <x:c r="C894" s="95" t="n">
        <x:v>45630</x:v>
      </x:c>
      <x:c r="D894" s="95" t="n">
        <x:v>45630</x:v>
      </x:c>
      <x:c r="E894" s="86" t="str">
        <x:v>Licença</x:v>
      </x:c>
      <x:c r="F894" s="86" t="n">
        <x:v>2</x:v>
      </x:c>
      <x:c r="G894" s="86" t="n">
        <x:v>1</x:v>
      </x:c>
      <x:c r="H894" s="91" t="n">
        <x:v>23.22</x:v>
      </x:c>
      <x:c r="I894" s="87" t="n">
        <x:v>1</x:v>
      </x:c>
    </x:row>
    <x:row r="895">
      <x:c r="A895" s="85" t="n">
        <x:v>894</x:v>
      </x:c>
      <x:c r="B895" s="86" t="n">
        <x:v>91</x:v>
      </x:c>
      <x:c r="C895" s="95" t="n">
        <x:v>45746</x:v>
      </x:c>
      <x:c r="D895" s="95" t="n">
        <x:v>45746</x:v>
      </x:c>
      <x:c r="E895" s="86" t="str">
        <x:v>Atestado médico</x:v>
      </x:c>
      <x:c r="F895" s="86" t="n">
        <x:v>8</x:v>
      </x:c>
      <x:c r="G895" s="86" t="n">
        <x:v>1</x:v>
      </x:c>
      <x:c r="H895" s="91" t="n">
        <x:v>286.4</x:v>
      </x:c>
      <x:c r="I895" s="87" t="n">
        <x:v>1</x:v>
      </x:c>
    </x:row>
    <x:row r="896">
      <x:c r="A896" s="85" t="n">
        <x:v>895</x:v>
      </x:c>
      <x:c r="B896" s="86" t="n">
        <x:v>171</x:v>
      </x:c>
      <x:c r="C896" s="95" t="n">
        <x:v>45691</x:v>
      </x:c>
      <x:c r="D896" s="95" t="n">
        <x:v>45691</x:v>
      </x:c>
      <x:c r="E896" s="86" t="str">
        <x:v>Consulta médica</x:v>
      </x:c>
      <x:c r="F896" s="86" t="n">
        <x:v>8</x:v>
      </x:c>
      <x:c r="G896" s="86" t="n">
        <x:v>1</x:v>
      </x:c>
      <x:c r="H896" s="91" t="n">
        <x:v>247.18</x:v>
      </x:c>
      <x:c r="I896" s="87" t="n">
        <x:v>10</x:v>
      </x:c>
    </x:row>
    <x:row r="897">
      <x:c r="A897" s="85" t="n">
        <x:v>896</x:v>
      </x:c>
      <x:c r="B897" s="86" t="n">
        <x:v>256</x:v>
      </x:c>
      <x:c r="C897" s="95" t="n">
        <x:v>45996</x:v>
      </x:c>
      <x:c r="D897" s="95" t="n">
        <x:v>46000</x:v>
      </x:c>
      <x:c r="E897" s="86" t="str">
        <x:v>Atestado médico</x:v>
      </x:c>
      <x:c r="F897" s="86" t="n">
        <x:v>40</x:v>
      </x:c>
      <x:c r="G897" s="86" t="n">
        <x:v>1</x:v>
      </x:c>
      <x:c r="H897" s="91" t="n">
        <x:v>487.54</x:v>
      </x:c>
      <x:c r="I897" s="87" t="n">
        <x:v>1</x:v>
      </x:c>
    </x:row>
    <x:row r="898">
      <x:c r="A898" s="85" t="n">
        <x:v>897</x:v>
      </x:c>
      <x:c r="B898" s="86" t="n">
        <x:v>301</x:v>
      </x:c>
      <x:c r="C898" s="95" t="n">
        <x:v>45981</x:v>
      </x:c>
      <x:c r="D898" s="95" t="n">
        <x:v>45981</x:v>
      </x:c>
      <x:c r="E898" s="86" t="str">
        <x:v>Consulta médica</x:v>
      </x:c>
      <x:c r="F898" s="86" t="n">
        <x:v>2</x:v>
      </x:c>
      <x:c r="G898" s="86" t="n">
        <x:v>1</x:v>
      </x:c>
      <x:c r="H898" s="91" t="n">
        <x:v>59.71</x:v>
      </x:c>
      <x:c r="I898" s="87" t="n">
        <x:v>6</x:v>
      </x:c>
    </x:row>
    <x:row r="899">
      <x:c r="A899" s="85" t="n">
        <x:v>898</x:v>
      </x:c>
      <x:c r="B899" s="86" t="n">
        <x:v>201</x:v>
      </x:c>
      <x:c r="C899" s="95" t="n">
        <x:v>45593</x:v>
      </x:c>
      <x:c r="D899" s="95" t="n">
        <x:v>45593</x:v>
      </x:c>
      <x:c r="E899" s="86" t="str">
        <x:v>Atraso</x:v>
      </x:c>
      <x:c r="F899" s="86" t="n">
        <x:v>1</x:v>
      </x:c>
      <x:c r="G899" s="86" t="n">
        <x:v>1</x:v>
      </x:c>
      <x:c r="H899" s="91" t="n">
        <x:v>10.32</x:v>
      </x:c>
      <x:c r="I899" s="87" t="n">
        <x:v>1</x:v>
      </x:c>
    </x:row>
    <x:row r="900">
      <x:c r="A900" s="85" t="n">
        <x:v>899</x:v>
      </x:c>
      <x:c r="B900" s="86" t="n">
        <x:v>399</x:v>
      </x:c>
      <x:c r="C900" s="95" t="n">
        <x:v>45536</x:v>
      </x:c>
      <x:c r="D900" s="95" t="n">
        <x:v>45536</x:v>
      </x:c>
      <x:c r="E900" s="86" t="str">
        <x:v>Atestado médico</x:v>
      </x:c>
      <x:c r="F900" s="86" t="n">
        <x:v>4</x:v>
      </x:c>
      <x:c r="G900" s="86" t="n">
        <x:v>1</x:v>
      </x:c>
      <x:c r="H900" s="91" t="n">
        <x:v>61.7</x:v>
      </x:c>
      <x:c r="I900" s="87" t="n">
        <x:v>1</x:v>
      </x:c>
    </x:row>
    <x:row r="901">
      <x:c r="A901" s="85" t="n">
        <x:v>900</x:v>
      </x:c>
      <x:c r="B901" s="86" t="n">
        <x:v>198</x:v>
      </x:c>
      <x:c r="C901" s="95" t="n">
        <x:v>45888</x:v>
      </x:c>
      <x:c r="D901" s="95" t="n">
        <x:v>45888</x:v>
      </x:c>
      <x:c r="E901" s="86" t="str">
        <x:v>Atraso</x:v>
      </x:c>
      <x:c r="F901" s="86" t="n">
        <x:v>3</x:v>
      </x:c>
      <x:c r="G901" s="86" t="n">
        <x:v>1</x:v>
      </x:c>
      <x:c r="H901" s="91" t="n">
        <x:v>125.01</x:v>
      </x:c>
      <x:c r="I901" s="87" t="n">
        <x:v>5</x:v>
      </x:c>
    </x:row>
    <x:row r="902">
      <x:c r="A902" s="85" t="n">
        <x:v>901</x:v>
      </x:c>
      <x:c r="B902" s="86" t="n">
        <x:v>113</x:v>
      </x:c>
      <x:c r="C902" s="95" t="n">
        <x:v>45882</x:v>
      </x:c>
      <x:c r="D902" s="95" t="n">
        <x:v>45882</x:v>
      </x:c>
      <x:c r="E902" s="86" t="str">
        <x:v>Atraso</x:v>
      </x:c>
      <x:c r="F902" s="86" t="n">
        <x:v>1</x:v>
      </x:c>
      <x:c r="G902" s="86" t="n">
        <x:v>1</x:v>
      </x:c>
      <x:c r="H902" s="91" t="n">
        <x:v>14.9</x:v>
      </x:c>
      <x:c r="I902" s="87" t="n">
        <x:v>1</x:v>
      </x:c>
    </x:row>
    <x:row r="903">
      <x:c r="A903" s="85" t="n">
        <x:v>902</x:v>
      </x:c>
      <x:c r="B903" s="86" t="n">
        <x:v>75</x:v>
      </x:c>
      <x:c r="C903" s="95" t="n">
        <x:v>45735</x:v>
      </x:c>
      <x:c r="D903" s="95" t="n">
        <x:v>45735</x:v>
      </x:c>
      <x:c r="E903" s="86" t="str">
        <x:v>Consulta médica</x:v>
      </x:c>
      <x:c r="F903" s="86" t="n">
        <x:v>8</x:v>
      </x:c>
      <x:c r="G903" s="86" t="n">
        <x:v>1</x:v>
      </x:c>
      <x:c r="H903" s="91" t="n">
        <x:v>282.3</x:v>
      </x:c>
      <x:c r="I903" s="87" t="n">
        <x:v>10</x:v>
      </x:c>
    </x:row>
    <x:row r="904">
      <x:c r="A904" s="85" t="n">
        <x:v>903</x:v>
      </x:c>
      <x:c r="B904" s="86" t="n">
        <x:v>51</x:v>
      </x:c>
      <x:c r="C904" s="95" t="n">
        <x:v>45925</x:v>
      </x:c>
      <x:c r="D904" s="95" t="n">
        <x:v>45929</x:v>
      </x:c>
      <x:c r="E904" s="86" t="str">
        <x:v>Atestado médico</x:v>
      </x:c>
      <x:c r="F904" s="86" t="n">
        <x:v>40</x:v>
      </x:c>
      <x:c r="G904" s="86" t="n">
        <x:v>1</x:v>
      </x:c>
      <x:c r="H904" s="91" t="n">
        <x:v>533.79</x:v>
      </x:c>
      <x:c r="I904" s="87" t="n">
        <x:v>1</x:v>
      </x:c>
    </x:row>
    <x:row r="905">
      <x:c r="A905" s="85" t="n">
        <x:v>904</x:v>
      </x:c>
      <x:c r="B905" s="86" t="n">
        <x:v>163</x:v>
      </x:c>
      <x:c r="C905" s="95" t="n">
        <x:v>45882</x:v>
      </x:c>
      <x:c r="D905" s="95" t="n">
        <x:v>45882</x:v>
      </x:c>
      <x:c r="E905" s="86" t="str">
        <x:v>Consulta médica</x:v>
      </x:c>
      <x:c r="F905" s="86" t="n">
        <x:v>4</x:v>
      </x:c>
      <x:c r="G905" s="86" t="n">
        <x:v>1</x:v>
      </x:c>
      <x:c r="H905" s="91" t="n">
        <x:v>72.29</x:v>
      </x:c>
      <x:c r="I905" s="87" t="n">
        <x:v>3</x:v>
      </x:c>
    </x:row>
    <x:row r="906">
      <x:c r="A906" s="85" t="n">
        <x:v>905</x:v>
      </x:c>
      <x:c r="B906" s="86" t="n">
        <x:v>32</x:v>
      </x:c>
      <x:c r="C906" s="95" t="n">
        <x:v>45916</x:v>
      </x:c>
      <x:c r="D906" s="95" t="n">
        <x:v>45916</x:v>
      </x:c>
      <x:c r="E906" s="86" t="str">
        <x:v>Atestado médico</x:v>
      </x:c>
      <x:c r="F906" s="86" t="n">
        <x:v>2</x:v>
      </x:c>
      <x:c r="G906" s="86" t="n">
        <x:v>1</x:v>
      </x:c>
      <x:c r="H906" s="91" t="n">
        <x:v>60.11</x:v>
      </x:c>
      <x:c r="I906" s="87" t="n">
        <x:v>6</x:v>
      </x:c>
    </x:row>
    <x:row r="907">
      <x:c r="A907" s="85" t="n">
        <x:v>906</x:v>
      </x:c>
      <x:c r="B907" s="86" t="n">
        <x:v>341</x:v>
      </x:c>
      <x:c r="C907" s="95" t="n">
        <x:v>45685</x:v>
      </x:c>
      <x:c r="D907" s="95" t="n">
        <x:v>45685</x:v>
      </x:c>
      <x:c r="E907" s="86" t="str">
        <x:v>Atraso</x:v>
      </x:c>
      <x:c r="F907" s="86" t="n">
        <x:v>3</x:v>
      </x:c>
      <x:c r="G907" s="86" t="n">
        <x:v>1</x:v>
      </x:c>
      <x:c r="H907" s="91" t="n">
        <x:v>38.74</x:v>
      </x:c>
      <x:c r="I907" s="87" t="n">
        <x:v>1</x:v>
      </x:c>
    </x:row>
    <x:row r="908">
      <x:c r="A908" s="85" t="n">
        <x:v>907</x:v>
      </x:c>
      <x:c r="B908" s="86" t="n">
        <x:v>114</x:v>
      </x:c>
      <x:c r="C908" s="95" t="n">
        <x:v>45901</x:v>
      </x:c>
      <x:c r="D908" s="95" t="n">
        <x:v>45902</x:v>
      </x:c>
      <x:c r="E908" s="86" t="str">
        <x:v>Consulta médica</x:v>
      </x:c>
      <x:c r="F908" s="86" t="n">
        <x:v>16</x:v>
      </x:c>
      <x:c r="G908" s="86" t="n">
        <x:v>1</x:v>
      </x:c>
      <x:c r="H908" s="91" t="n">
        <x:v>356.33</x:v>
      </x:c>
      <x:c r="I908" s="87" t="n">
        <x:v>7</x:v>
      </x:c>
    </x:row>
    <x:row r="909">
      <x:c r="A909" s="85" t="n">
        <x:v>908</x:v>
      </x:c>
      <x:c r="B909" s="86" t="n">
        <x:v>246</x:v>
      </x:c>
      <x:c r="C909" s="95" t="n">
        <x:v>45945</x:v>
      </x:c>
      <x:c r="D909" s="95" t="n">
        <x:v>45945</x:v>
      </x:c>
      <x:c r="E909" s="86" t="str">
        <x:v>Atraso</x:v>
      </x:c>
      <x:c r="F909" s="86" t="n">
        <x:v>2</x:v>
      </x:c>
      <x:c r="G909" s="86" t="n">
        <x:v>1</x:v>
      </x:c>
      <x:c r="H909" s="91" t="n">
        <x:v>67.52</x:v>
      </x:c>
      <x:c r="I909" s="87" t="n">
        <x:v>8</x:v>
      </x:c>
    </x:row>
    <x:row r="910">
      <x:c r="A910" s="85" t="n">
        <x:v>909</x:v>
      </x:c>
      <x:c r="B910" s="86" t="n">
        <x:v>18</x:v>
      </x:c>
      <x:c r="C910" s="95" t="n">
        <x:v>45835</x:v>
      </x:c>
      <x:c r="D910" s="95" t="n">
        <x:v>45839</x:v>
      </x:c>
      <x:c r="E910" s="86" t="str">
        <x:v>Atestado médico</x:v>
      </x:c>
      <x:c r="F910" s="86" t="n">
        <x:v>40</x:v>
      </x:c>
      <x:c r="G910" s="86" t="n">
        <x:v>1</x:v>
      </x:c>
      <x:c r="H910" s="91" t="n">
        <x:v>496.78</x:v>
      </x:c>
      <x:c r="I910" s="87" t="n">
        <x:v>1</x:v>
      </x:c>
    </x:row>
    <x:row r="911">
      <x:c r="A911" s="85" t="n">
        <x:v>910</x:v>
      </x:c>
      <x:c r="B911" s="86" t="n">
        <x:v>400</x:v>
      </x:c>
      <x:c r="C911" s="95" t="n">
        <x:v>45709</x:v>
      </x:c>
      <x:c r="D911" s="95" t="n">
        <x:v>45709</x:v>
      </x:c>
      <x:c r="E911" s="86" t="str">
        <x:v>Atestado médico</x:v>
      </x:c>
      <x:c r="F911" s="86" t="n">
        <x:v>1</x:v>
      </x:c>
      <x:c r="G911" s="86" t="n">
        <x:v>1</x:v>
      </x:c>
      <x:c r="H911" s="91" t="n">
        <x:v>10.55</x:v>
      </x:c>
      <x:c r="I911" s="87" t="n">
        <x:v>1</x:v>
      </x:c>
    </x:row>
    <x:row r="912">
      <x:c r="A912" s="85" t="n">
        <x:v>911</x:v>
      </x:c>
      <x:c r="B912" s="86" t="n">
        <x:v>334</x:v>
      </x:c>
      <x:c r="C912" s="95" t="n">
        <x:v>45611</x:v>
      </x:c>
      <x:c r="D912" s="95" t="n">
        <x:v>45613</x:v>
      </x:c>
      <x:c r="E912" s="86" t="str">
        <x:v>Consulta médica</x:v>
      </x:c>
      <x:c r="F912" s="86" t="n">
        <x:v>24</x:v>
      </x:c>
      <x:c r="G912" s="86" t="n">
        <x:v>1</x:v>
      </x:c>
      <x:c r="H912" s="91" t="n">
        <x:v>801.68</x:v>
      </x:c>
      <x:c r="I912" s="87" t="n">
        <x:v>5</x:v>
      </x:c>
    </x:row>
    <x:row r="913">
      <x:c r="A913" s="85" t="n">
        <x:v>912</x:v>
      </x:c>
      <x:c r="B913" s="86" t="n">
        <x:v>39</x:v>
      </x:c>
      <x:c r="C913" s="95" t="n">
        <x:v>45690</x:v>
      </x:c>
      <x:c r="D913" s="95" t="n">
        <x:v>45690</x:v>
      </x:c>
      <x:c r="E913" s="86" t="str">
        <x:v>Licença</x:v>
      </x:c>
      <x:c r="F913" s="86" t="n">
        <x:v>2</x:v>
      </x:c>
      <x:c r="G913" s="86" t="n">
        <x:v>1</x:v>
      </x:c>
      <x:c r="H913" s="91" t="n">
        <x:v>121.8</x:v>
      </x:c>
      <x:c r="I913" s="87" t="n">
        <x:v>5</x:v>
      </x:c>
    </x:row>
    <x:row r="914">
      <x:c r="A914" s="85" t="n">
        <x:v>913</x:v>
      </x:c>
      <x:c r="B914" s="86" t="n">
        <x:v>76</x:v>
      </x:c>
      <x:c r="C914" s="95" t="n">
        <x:v>45788</x:v>
      </x:c>
      <x:c r="D914" s="95" t="n">
        <x:v>45788</x:v>
      </x:c>
      <x:c r="E914" s="86" t="str">
        <x:v>Falta não justificada</x:v>
      </x:c>
      <x:c r="F914" s="86" t="n">
        <x:v>8</x:v>
      </x:c>
      <x:c r="G914" s="86" t="n">
        <x:v>0</x:v>
      </x:c>
      <x:c r="H914" s="91" t="n">
        <x:v>236.37</x:v>
      </x:c>
      <x:c r="I914" s="87" t="n">
        <x:v>7</x:v>
      </x:c>
    </x:row>
    <x:row r="915">
      <x:c r="A915" s="85" t="n">
        <x:v>914</x:v>
      </x:c>
      <x:c r="B915" s="86" t="n">
        <x:v>189</x:v>
      </x:c>
      <x:c r="C915" s="95" t="n">
        <x:v>45984</x:v>
      </x:c>
      <x:c r="D915" s="95" t="n">
        <x:v>45984</x:v>
      </x:c>
      <x:c r="E915" s="86" t="str">
        <x:v>Atraso</x:v>
      </x:c>
      <x:c r="F915" s="86" t="n">
        <x:v>2</x:v>
      </x:c>
      <x:c r="G915" s="86" t="n">
        <x:v>1</x:v>
      </x:c>
      <x:c r="H915" s="91" t="n">
        <x:v>167.67</x:v>
      </x:c>
      <x:c r="I915" s="87" t="n">
        <x:v>9</x:v>
      </x:c>
    </x:row>
    <x:row r="916">
      <x:c r="A916" s="85" t="n">
        <x:v>915</x:v>
      </x:c>
      <x:c r="B916" s="86" t="n">
        <x:v>369</x:v>
      </x:c>
      <x:c r="C916" s="95" t="n">
        <x:v>45620</x:v>
      </x:c>
      <x:c r="D916" s="95" t="n">
        <x:v>45622</x:v>
      </x:c>
      <x:c r="E916" s="86" t="str">
        <x:v>Consulta médica</x:v>
      </x:c>
      <x:c r="F916" s="86" t="n">
        <x:v>24</x:v>
      </x:c>
      <x:c r="G916" s="86" t="n">
        <x:v>1</x:v>
      </x:c>
      <x:c r="H916" s="91" t="n">
        <x:v>382.99</x:v>
      </x:c>
      <x:c r="I916" s="87" t="n">
        <x:v>1</x:v>
      </x:c>
    </x:row>
    <x:row r="917">
      <x:c r="A917" s="85" t="n">
        <x:v>916</x:v>
      </x:c>
      <x:c r="B917" s="86" t="n">
        <x:v>378</x:v>
      </x:c>
      <x:c r="C917" s="95" t="n">
        <x:v>45798</x:v>
      </x:c>
      <x:c r="D917" s="95" t="n">
        <x:v>45798</x:v>
      </x:c>
      <x:c r="E917" s="86" t="str">
        <x:v>Atraso</x:v>
      </x:c>
      <x:c r="F917" s="86" t="n">
        <x:v>2</x:v>
      </x:c>
      <x:c r="G917" s="86" t="n">
        <x:v>1</x:v>
      </x:c>
      <x:c r="H917" s="91" t="n">
        <x:v>89.26</x:v>
      </x:c>
      <x:c r="I917" s="87" t="n">
        <x:v>5</x:v>
      </x:c>
    </x:row>
    <x:row r="918">
      <x:c r="A918" s="85" t="n">
        <x:v>917</x:v>
      </x:c>
      <x:c r="B918" s="86" t="n">
        <x:v>409</x:v>
      </x:c>
      <x:c r="C918" s="95" t="n">
        <x:v>45813</x:v>
      </x:c>
      <x:c r="D918" s="95" t="n">
        <x:v>45813</x:v>
      </x:c>
      <x:c r="E918" s="86" t="str">
        <x:v>Atestado médico</x:v>
      </x:c>
      <x:c r="F918" s="86" t="n">
        <x:v>1</x:v>
      </x:c>
      <x:c r="G918" s="86" t="n">
        <x:v>1</x:v>
      </x:c>
      <x:c r="H918" s="91" t="n">
        <x:v>32.21</x:v>
      </x:c>
      <x:c r="I918" s="87" t="n">
        <x:v>6</x:v>
      </x:c>
    </x:row>
    <x:row r="919">
      <x:c r="A919" s="85" t="n">
        <x:v>918</x:v>
      </x:c>
      <x:c r="B919" s="86" t="n">
        <x:v>191</x:v>
      </x:c>
      <x:c r="C919" s="95" t="n">
        <x:v>45750</x:v>
      </x:c>
      <x:c r="D919" s="95" t="n">
        <x:v>45750</x:v>
      </x:c>
      <x:c r="E919" s="86" t="str">
        <x:v>Atraso</x:v>
      </x:c>
      <x:c r="F919" s="86" t="n">
        <x:v>2</x:v>
      </x:c>
      <x:c r="G919" s="86" t="n">
        <x:v>1</x:v>
      </x:c>
      <x:c r="H919" s="91" t="n">
        <x:v>45.64</x:v>
      </x:c>
      <x:c r="I919" s="87" t="n">
        <x:v>10</x:v>
      </x:c>
    </x:row>
    <x:row r="920">
      <x:c r="A920" s="85" t="n">
        <x:v>919</x:v>
      </x:c>
      <x:c r="B920" s="86" t="n">
        <x:v>213</x:v>
      </x:c>
      <x:c r="C920" s="95" t="n">
        <x:v>45926</x:v>
      </x:c>
      <x:c r="D920" s="95" t="n">
        <x:v>45926</x:v>
      </x:c>
      <x:c r="E920" s="86" t="str">
        <x:v>Falta não justificada</x:v>
      </x:c>
      <x:c r="F920" s="86" t="n">
        <x:v>2</x:v>
      </x:c>
      <x:c r="G920" s="86" t="n">
        <x:v>0</x:v>
      </x:c>
      <x:c r="H920" s="91" t="n">
        <x:v>32.37</x:v>
      </x:c>
      <x:c r="I920" s="87" t="n">
        <x:v>2</x:v>
      </x:c>
    </x:row>
    <x:row r="921">
      <x:c r="A921" s="85" t="n">
        <x:v>920</x:v>
      </x:c>
      <x:c r="B921" s="86" t="n">
        <x:v>298</x:v>
      </x:c>
      <x:c r="C921" s="95" t="n">
        <x:v>45551</x:v>
      </x:c>
      <x:c r="D921" s="95" t="n">
        <x:v>45555</x:v>
      </x:c>
      <x:c r="E921" s="86" t="str">
        <x:v>Consulta médica</x:v>
      </x:c>
      <x:c r="F921" s="86" t="n">
        <x:v>40</x:v>
      </x:c>
      <x:c r="G921" s="86" t="n">
        <x:v>1</x:v>
      </x:c>
      <x:c r="H921" s="91" t="n">
        <x:v>541.05</x:v>
      </x:c>
      <x:c r="I921" s="87" t="n">
        <x:v>8</x:v>
      </x:c>
    </x:row>
    <x:row r="922">
      <x:c r="A922" s="85" t="n">
        <x:v>921</x:v>
      </x:c>
      <x:c r="B922" s="86" t="n">
        <x:v>155</x:v>
      </x:c>
      <x:c r="C922" s="95" t="n">
        <x:v>45932</x:v>
      </x:c>
      <x:c r="D922" s="95" t="n">
        <x:v>45932</x:v>
      </x:c>
      <x:c r="E922" s="86" t="str">
        <x:v>Atraso</x:v>
      </x:c>
      <x:c r="F922" s="86" t="n">
        <x:v>2</x:v>
      </x:c>
      <x:c r="G922" s="86" t="n">
        <x:v>1</x:v>
      </x:c>
      <x:c r="H922" s="91" t="n">
        <x:v>26.63</x:v>
      </x:c>
      <x:c r="I922" s="87" t="n">
        <x:v>1</x:v>
      </x:c>
    </x:row>
    <x:row r="923">
      <x:c r="A923" s="85" t="n">
        <x:v>922</x:v>
      </x:c>
      <x:c r="B923" s="86" t="n">
        <x:v>402</x:v>
      </x:c>
      <x:c r="C923" s="95" t="n">
        <x:v>45639</x:v>
      </x:c>
      <x:c r="D923" s="95" t="n">
        <x:v>45639</x:v>
      </x:c>
      <x:c r="E923" s="86" t="str">
        <x:v>Consulta médica</x:v>
      </x:c>
      <x:c r="F923" s="86" t="n">
        <x:v>4</x:v>
      </x:c>
      <x:c r="G923" s="86" t="n">
        <x:v>1</x:v>
      </x:c>
      <x:c r="H923" s="91" t="n">
        <x:v>63.78</x:v>
      </x:c>
      <x:c r="I923" s="87" t="n">
        <x:v>1</x:v>
      </x:c>
    </x:row>
    <x:row r="924">
      <x:c r="A924" s="85" t="n">
        <x:v>923</x:v>
      </x:c>
      <x:c r="B924" s="86" t="n">
        <x:v>258</x:v>
      </x:c>
      <x:c r="C924" s="95" t="n">
        <x:v>45461</x:v>
      </x:c>
      <x:c r="D924" s="95" t="n">
        <x:v>45461</x:v>
      </x:c>
      <x:c r="E924" s="86" t="str">
        <x:v>Falta não justificada</x:v>
      </x:c>
      <x:c r="F924" s="86" t="n">
        <x:v>2</x:v>
      </x:c>
      <x:c r="G924" s="86" t="n">
        <x:v>0</x:v>
      </x:c>
      <x:c r="H924" s="91" t="n">
        <x:v>31.5</x:v>
      </x:c>
      <x:c r="I924" s="87" t="n">
        <x:v>1</x:v>
      </x:c>
    </x:row>
    <x:row r="925">
      <x:c r="A925" s="85" t="n">
        <x:v>924</x:v>
      </x:c>
      <x:c r="B925" s="86" t="n">
        <x:v>80</x:v>
      </x:c>
      <x:c r="C925" s="95" t="n">
        <x:v>45864</x:v>
      </x:c>
      <x:c r="D925" s="95" t="n">
        <x:v>45864</x:v>
      </x:c>
      <x:c r="E925" s="86" t="str">
        <x:v>Consulta médica</x:v>
      </x:c>
      <x:c r="F925" s="86" t="n">
        <x:v>8</x:v>
      </x:c>
      <x:c r="G925" s="86" t="n">
        <x:v>1</x:v>
      </x:c>
      <x:c r="H925" s="91" t="n">
        <x:v>233.51</x:v>
      </x:c>
      <x:c r="I925" s="87" t="n">
        <x:v>9</x:v>
      </x:c>
    </x:row>
    <x:row r="926">
      <x:c r="A926" s="85" t="n">
        <x:v>925</x:v>
      </x:c>
      <x:c r="B926" s="86" t="n">
        <x:v>216</x:v>
      </x:c>
      <x:c r="C926" s="95" t="n">
        <x:v>45850</x:v>
      </x:c>
      <x:c r="D926" s="95" t="n">
        <x:v>45852</x:v>
      </x:c>
      <x:c r="E926" s="86" t="str">
        <x:v>Atestado médico</x:v>
      </x:c>
      <x:c r="F926" s="86" t="n">
        <x:v>24</x:v>
      </x:c>
      <x:c r="G926" s="86" t="n">
        <x:v>1</x:v>
      </x:c>
      <x:c r="H926" s="91" t="n">
        <x:v>704.48</x:v>
      </x:c>
      <x:c r="I926" s="87" t="n">
        <x:v>8</x:v>
      </x:c>
    </x:row>
    <x:row r="927">
      <x:c r="A927" s="85" t="n">
        <x:v>926</x:v>
      </x:c>
      <x:c r="B927" s="86" t="n">
        <x:v>2</x:v>
      </x:c>
      <x:c r="C927" s="95" t="n">
        <x:v>45600</x:v>
      </x:c>
      <x:c r="D927" s="95" t="n">
        <x:v>45601</x:v>
      </x:c>
      <x:c r="E927" s="86" t="str">
        <x:v>Licença</x:v>
      </x:c>
      <x:c r="F927" s="86" t="n">
        <x:v>16</x:v>
      </x:c>
      <x:c r="G927" s="86" t="n">
        <x:v>1</x:v>
      </x:c>
      <x:c r="H927" s="91" t="n">
        <x:v>238.7</x:v>
      </x:c>
      <x:c r="I927" s="87" t="n">
        <x:v>3</x:v>
      </x:c>
    </x:row>
    <x:row r="928">
      <x:c r="A928" s="85" t="n">
        <x:v>927</x:v>
      </x:c>
      <x:c r="B928" s="86" t="n">
        <x:v>389</x:v>
      </x:c>
      <x:c r="C928" s="95" t="n">
        <x:v>45913</x:v>
      </x:c>
      <x:c r="D928" s="95" t="n">
        <x:v>45913</x:v>
      </x:c>
      <x:c r="E928" s="86" t="str">
        <x:v>Atraso</x:v>
      </x:c>
      <x:c r="F928" s="86" t="n">
        <x:v>2</x:v>
      </x:c>
      <x:c r="G928" s="86" t="n">
        <x:v>1</x:v>
      </x:c>
      <x:c r="H928" s="91" t="n">
        <x:v>36.05</x:v>
      </x:c>
      <x:c r="I928" s="87" t="n">
        <x:v>3</x:v>
      </x:c>
    </x:row>
    <x:row r="929">
      <x:c r="A929" s="85" t="n">
        <x:v>928</x:v>
      </x:c>
      <x:c r="B929" s="86" t="n">
        <x:v>139</x:v>
      </x:c>
      <x:c r="C929" s="95" t="n">
        <x:v>45854</x:v>
      </x:c>
      <x:c r="D929" s="95" t="n">
        <x:v>45854</x:v>
      </x:c>
      <x:c r="E929" s="86" t="str">
        <x:v>Falta não justificada</x:v>
      </x:c>
      <x:c r="F929" s="86" t="n">
        <x:v>2</x:v>
      </x:c>
      <x:c r="G929" s="86" t="n">
        <x:v>0</x:v>
      </x:c>
      <x:c r="H929" s="91" t="n">
        <x:v>64.99</x:v>
      </x:c>
      <x:c r="I929" s="87" t="n">
        <x:v>10</x:v>
      </x:c>
    </x:row>
    <x:row r="930">
      <x:c r="A930" s="85" t="n">
        <x:v>929</x:v>
      </x:c>
      <x:c r="B930" s="86" t="n">
        <x:v>314</x:v>
      </x:c>
      <x:c r="C930" s="95" t="n">
        <x:v>46017</x:v>
      </x:c>
      <x:c r="D930" s="95" t="n">
        <x:v>46021</x:v>
      </x:c>
      <x:c r="E930" s="86" t="str">
        <x:v>Atestado médico</x:v>
      </x:c>
      <x:c r="F930" s="86" t="n">
        <x:v>40</x:v>
      </x:c>
      <x:c r="G930" s="86" t="n">
        <x:v>1</x:v>
      </x:c>
      <x:c r="H930" s="91" t="n">
        <x:v>848.44</x:v>
      </x:c>
      <x:c r="I930" s="87" t="n">
        <x:v>8</x:v>
      </x:c>
    </x:row>
    <x:row r="931">
      <x:c r="A931" s="85" t="n">
        <x:v>930</x:v>
      </x:c>
      <x:c r="B931" s="86" t="n">
        <x:v>288</x:v>
      </x:c>
      <x:c r="C931" s="95" t="n">
        <x:v>45583</x:v>
      </x:c>
      <x:c r="D931" s="95" t="n">
        <x:v>45583</x:v>
      </x:c>
      <x:c r="E931" s="86" t="str">
        <x:v>Falta não justificada</x:v>
      </x:c>
      <x:c r="F931" s="86" t="n">
        <x:v>4</x:v>
      </x:c>
      <x:c r="G931" s="86" t="n">
        <x:v>0</x:v>
      </x:c>
      <x:c r="H931" s="91" t="n">
        <x:v>163.99</x:v>
      </x:c>
      <x:c r="I931" s="87" t="n">
        <x:v>5</x:v>
      </x:c>
    </x:row>
    <x:row r="932">
      <x:c r="A932" s="85" t="n">
        <x:v>931</x:v>
      </x:c>
      <x:c r="B932" s="86" t="n">
        <x:v>12</x:v>
      </x:c>
      <x:c r="C932" s="95" t="n">
        <x:v>45708</x:v>
      </x:c>
      <x:c r="D932" s="95" t="n">
        <x:v>45708</x:v>
      </x:c>
      <x:c r="E932" s="86" t="str">
        <x:v>Consulta médica</x:v>
      </x:c>
      <x:c r="F932" s="86" t="n">
        <x:v>1</x:v>
      </x:c>
      <x:c r="G932" s="86" t="n">
        <x:v>1</x:v>
      </x:c>
      <x:c r="H932" s="91" t="n">
        <x:v>11.19</x:v>
      </x:c>
      <x:c r="I932" s="87" t="n">
        <x:v>1</x:v>
      </x:c>
    </x:row>
    <x:row r="933">
      <x:c r="A933" s="85" t="n">
        <x:v>932</x:v>
      </x:c>
      <x:c r="B933" s="86" t="n">
        <x:v>337</x:v>
      </x:c>
      <x:c r="C933" s="95" t="n">
        <x:v>45886</x:v>
      </x:c>
      <x:c r="D933" s="95" t="n">
        <x:v>45886</x:v>
      </x:c>
      <x:c r="E933" s="86" t="str">
        <x:v>Atraso</x:v>
      </x:c>
      <x:c r="F933" s="86" t="n">
        <x:v>3</x:v>
      </x:c>
      <x:c r="G933" s="86" t="n">
        <x:v>1</x:v>
      </x:c>
      <x:c r="H933" s="91" t="n">
        <x:v>108.96</x:v>
      </x:c>
      <x:c r="I933" s="87" t="n">
        <x:v>6</x:v>
      </x:c>
    </x:row>
    <x:row r="934">
      <x:c r="A934" s="85" t="n">
        <x:v>933</x:v>
      </x:c>
      <x:c r="B934" s="86" t="n">
        <x:v>360</x:v>
      </x:c>
      <x:c r="C934" s="95" t="n">
        <x:v>45721</x:v>
      </x:c>
      <x:c r="D934" s="95" t="n">
        <x:v>45721</x:v>
      </x:c>
      <x:c r="E934" s="86" t="str">
        <x:v>Atraso</x:v>
      </x:c>
      <x:c r="F934" s="86" t="n">
        <x:v>2</x:v>
      </x:c>
      <x:c r="G934" s="86" t="n">
        <x:v>1</x:v>
      </x:c>
      <x:c r="H934" s="91" t="n">
        <x:v>40.88</x:v>
      </x:c>
      <x:c r="I934" s="87" t="n">
        <x:v>2</x:v>
      </x:c>
    </x:row>
    <x:row r="935">
      <x:c r="A935" s="85" t="n">
        <x:v>934</x:v>
      </x:c>
      <x:c r="B935" s="86" t="n">
        <x:v>225</x:v>
      </x:c>
      <x:c r="C935" s="95" t="n">
        <x:v>45951</x:v>
      </x:c>
      <x:c r="D935" s="95" t="n">
        <x:v>45951</x:v>
      </x:c>
      <x:c r="E935" s="86" t="str">
        <x:v>Atestado médico</x:v>
      </x:c>
      <x:c r="F935" s="86" t="n">
        <x:v>8</x:v>
      </x:c>
      <x:c r="G935" s="86" t="n">
        <x:v>1</x:v>
      </x:c>
      <x:c r="H935" s="91" t="n">
        <x:v>118.11</x:v>
      </x:c>
      <x:c r="I935" s="87" t="n">
        <x:v>1</x:v>
      </x:c>
    </x:row>
    <x:row r="936">
      <x:c r="A936" s="85" t="n">
        <x:v>935</x:v>
      </x:c>
      <x:c r="B936" s="86" t="n">
        <x:v>165</x:v>
      </x:c>
      <x:c r="C936" s="95" t="n">
        <x:v>45971</x:v>
      </x:c>
      <x:c r="D936" s="95" t="n">
        <x:v>45973</x:v>
      </x:c>
      <x:c r="E936" s="86" t="str">
        <x:v>Atestado médico</x:v>
      </x:c>
      <x:c r="F936" s="86" t="n">
        <x:v>24</x:v>
      </x:c>
      <x:c r="G936" s="86" t="n">
        <x:v>1</x:v>
      </x:c>
      <x:c r="H936" s="91" t="n">
        <x:v>525.38</x:v>
      </x:c>
      <x:c r="I936" s="87" t="n">
        <x:v>4</x:v>
      </x:c>
    </x:row>
    <x:row r="937">
      <x:c r="A937" s="85" t="n">
        <x:v>936</x:v>
      </x:c>
      <x:c r="B937" s="86" t="n">
        <x:v>364</x:v>
      </x:c>
      <x:c r="C937" s="95" t="n">
        <x:v>45724</x:v>
      </x:c>
      <x:c r="D937" s="95" t="n">
        <x:v>45724</x:v>
      </x:c>
      <x:c r="E937" s="86" t="str">
        <x:v>Consulta médica</x:v>
      </x:c>
      <x:c r="F937" s="86" t="n">
        <x:v>1</x:v>
      </x:c>
      <x:c r="G937" s="86" t="n">
        <x:v>1</x:v>
      </x:c>
      <x:c r="H937" s="91" t="n">
        <x:v>39.24</x:v>
      </x:c>
      <x:c r="I937" s="87" t="n">
        <x:v>5</x:v>
      </x:c>
    </x:row>
    <x:row r="938">
      <x:c r="A938" s="85" t="n">
        <x:v>937</x:v>
      </x:c>
      <x:c r="B938" s="86" t="n">
        <x:v>377</x:v>
      </x:c>
      <x:c r="C938" s="95" t="n">
        <x:v>45931</x:v>
      </x:c>
      <x:c r="D938" s="95" t="n">
        <x:v>45931</x:v>
      </x:c>
      <x:c r="E938" s="86" t="str">
        <x:v>Atestado médico</x:v>
      </x:c>
      <x:c r="F938" s="86" t="n">
        <x:v>1</x:v>
      </x:c>
      <x:c r="G938" s="86" t="n">
        <x:v>1</x:v>
      </x:c>
      <x:c r="H938" s="91" t="n">
        <x:v>29.65</x:v>
      </x:c>
      <x:c r="I938" s="87" t="n">
        <x:v>7</x:v>
      </x:c>
    </x:row>
    <x:row r="939">
      <x:c r="A939" s="85" t="n">
        <x:v>938</x:v>
      </x:c>
      <x:c r="B939" s="86" t="n">
        <x:v>302</x:v>
      </x:c>
      <x:c r="C939" s="95" t="n">
        <x:v>45695</x:v>
      </x:c>
      <x:c r="D939" s="95" t="n">
        <x:v>45695</x:v>
      </x:c>
      <x:c r="E939" s="86" t="str">
        <x:v>Atraso</x:v>
      </x:c>
      <x:c r="F939" s="86" t="n">
        <x:v>3</x:v>
      </x:c>
      <x:c r="G939" s="86" t="n">
        <x:v>1</x:v>
      </x:c>
      <x:c r="H939" s="91" t="n">
        <x:v>54.81</x:v>
      </x:c>
      <x:c r="I939" s="87" t="n">
        <x:v>3</x:v>
      </x:c>
    </x:row>
    <x:row r="940">
      <x:c r="A940" s="85" t="n">
        <x:v>939</x:v>
      </x:c>
      <x:c r="B940" s="86" t="n">
        <x:v>20</x:v>
      </x:c>
      <x:c r="C940" s="95" t="n">
        <x:v>45858</x:v>
      </x:c>
      <x:c r="D940" s="95" t="n">
        <x:v>45858</x:v>
      </x:c>
      <x:c r="E940" s="86" t="str">
        <x:v>Atraso</x:v>
      </x:c>
      <x:c r="F940" s="86" t="n">
        <x:v>2</x:v>
      </x:c>
      <x:c r="G940" s="86" t="n">
        <x:v>1</x:v>
      </x:c>
      <x:c r="H940" s="91" t="n">
        <x:v>76.57</x:v>
      </x:c>
      <x:c r="I940" s="87" t="n">
        <x:v>4</x:v>
      </x:c>
    </x:row>
    <x:row r="941">
      <x:c r="A941" s="85" t="n">
        <x:v>940</x:v>
      </x:c>
      <x:c r="B941" s="86" t="n">
        <x:v>260</x:v>
      </x:c>
      <x:c r="C941" s="95" t="n">
        <x:v>45367</x:v>
      </x:c>
      <x:c r="D941" s="95" t="n">
        <x:v>45367</x:v>
      </x:c>
      <x:c r="E941" s="86" t="str">
        <x:v>Atraso</x:v>
      </x:c>
      <x:c r="F941" s="86" t="n">
        <x:v>2</x:v>
      </x:c>
      <x:c r="G941" s="86" t="n">
        <x:v>1</x:v>
      </x:c>
      <x:c r="H941" s="91" t="n">
        <x:v>23.69</x:v>
      </x:c>
      <x:c r="I941" s="87" t="n">
        <x:v>1</x:v>
      </x:c>
    </x:row>
    <x:row r="942">
      <x:c r="A942" s="85" t="n">
        <x:v>941</x:v>
      </x:c>
      <x:c r="B942" s="86" t="n">
        <x:v>68</x:v>
      </x:c>
      <x:c r="C942" s="95" t="n">
        <x:v>45829</x:v>
      </x:c>
      <x:c r="D942" s="95" t="n">
        <x:v>45829</x:v>
      </x:c>
      <x:c r="E942" s="86" t="str">
        <x:v>Atestado médico</x:v>
      </x:c>
      <x:c r="F942" s="86" t="n">
        <x:v>4</x:v>
      </x:c>
      <x:c r="G942" s="86" t="n">
        <x:v>1</x:v>
      </x:c>
      <x:c r="H942" s="91" t="n">
        <x:v>80.04</x:v>
      </x:c>
      <x:c r="I942" s="87" t="n">
        <x:v>4</x:v>
      </x:c>
    </x:row>
    <x:row r="943">
      <x:c r="A943" s="85" t="n">
        <x:v>942</x:v>
      </x:c>
      <x:c r="B943" s="86" t="n">
        <x:v>367</x:v>
      </x:c>
      <x:c r="C943" s="95" t="n">
        <x:v>45955</x:v>
      </x:c>
      <x:c r="D943" s="95" t="n">
        <x:v>45955</x:v>
      </x:c>
      <x:c r="E943" s="86" t="str">
        <x:v>Atraso</x:v>
      </x:c>
      <x:c r="F943" s="86" t="n">
        <x:v>2</x:v>
      </x:c>
      <x:c r="G943" s="86" t="n">
        <x:v>1</x:v>
      </x:c>
      <x:c r="H943" s="91" t="n">
        <x:v>33.71</x:v>
      </x:c>
      <x:c r="I943" s="87" t="n">
        <x:v>3</x:v>
      </x:c>
    </x:row>
    <x:row r="944">
      <x:c r="A944" s="85" t="n">
        <x:v>943</x:v>
      </x:c>
      <x:c r="B944" s="86" t="n">
        <x:v>213</x:v>
      </x:c>
      <x:c r="C944" s="95" t="n">
        <x:v>45590</x:v>
      </x:c>
      <x:c r="D944" s="95" t="n">
        <x:v>45592</x:v>
      </x:c>
      <x:c r="E944" s="86" t="str">
        <x:v>Atestado médico</x:v>
      </x:c>
      <x:c r="F944" s="86" t="n">
        <x:v>24</x:v>
      </x:c>
      <x:c r="G944" s="86" t="n">
        <x:v>1</x:v>
      </x:c>
      <x:c r="H944" s="91" t="n">
        <x:v>388.49</x:v>
      </x:c>
      <x:c r="I944" s="87" t="n">
        <x:v>2</x:v>
      </x:c>
    </x:row>
    <x:row r="945">
      <x:c r="A945" s="85" t="n">
        <x:v>944</x:v>
      </x:c>
      <x:c r="B945" s="86" t="n">
        <x:v>280</x:v>
      </x:c>
      <x:c r="C945" s="95" t="n">
        <x:v>45372</x:v>
      </x:c>
      <x:c r="D945" s="95" t="n">
        <x:v>45376</x:v>
      </x:c>
      <x:c r="E945" s="86" t="str">
        <x:v>Consulta médica</x:v>
      </x:c>
      <x:c r="F945" s="86" t="n">
        <x:v>40</x:v>
      </x:c>
      <x:c r="G945" s="86" t="n">
        <x:v>1</x:v>
      </x:c>
      <x:c r="H945" s="91" t="n">
        <x:v>552.9</x:v>
      </x:c>
      <x:c r="I945" s="87" t="n">
        <x:v>1</x:v>
      </x:c>
    </x:row>
    <x:row r="946">
      <x:c r="A946" s="85" t="n">
        <x:v>945</x:v>
      </x:c>
      <x:c r="B946" s="86" t="n">
        <x:v>214</x:v>
      </x:c>
      <x:c r="C946" s="95" t="n">
        <x:v>45931</x:v>
      </x:c>
      <x:c r="D946" s="95" t="n">
        <x:v>45931</x:v>
      </x:c>
      <x:c r="E946" s="86" t="str">
        <x:v>Atraso</x:v>
      </x:c>
      <x:c r="F946" s="86" t="n">
        <x:v>2</x:v>
      </x:c>
      <x:c r="G946" s="86" t="n">
        <x:v>1</x:v>
      </x:c>
      <x:c r="H946" s="91" t="n">
        <x:v>54.35</x:v>
      </x:c>
      <x:c r="I946" s="87" t="n">
        <x:v>8</x:v>
      </x:c>
    </x:row>
    <x:row r="947">
      <x:c r="A947" s="85" t="n">
        <x:v>946</x:v>
      </x:c>
      <x:c r="B947" s="86" t="n">
        <x:v>359</x:v>
      </x:c>
      <x:c r="C947" s="95" t="n">
        <x:v>45692</x:v>
      </x:c>
      <x:c r="D947" s="95" t="n">
        <x:v>45693</x:v>
      </x:c>
      <x:c r="E947" s="86" t="str">
        <x:v>Falta não justificada</x:v>
      </x:c>
      <x:c r="F947" s="86" t="n">
        <x:v>16</x:v>
      </x:c>
      <x:c r="G947" s="86" t="n">
        <x:v>0</x:v>
      </x:c>
      <x:c r="H947" s="91" t="n">
        <x:v>213.67</x:v>
      </x:c>
      <x:c r="I947" s="87" t="n">
        <x:v>1</x:v>
      </x:c>
    </x:row>
    <x:row r="948">
      <x:c r="A948" s="85" t="n">
        <x:v>947</x:v>
      </x:c>
      <x:c r="B948" s="86" t="n">
        <x:v>35</x:v>
      </x:c>
      <x:c r="C948" s="95" t="n">
        <x:v>45966</x:v>
      </x:c>
      <x:c r="D948" s="95" t="n">
        <x:v>45968</x:v>
      </x:c>
      <x:c r="E948" s="86" t="str">
        <x:v>Consulta médica</x:v>
      </x:c>
      <x:c r="F948" s="86" t="n">
        <x:v>24</x:v>
      </x:c>
      <x:c r="G948" s="86" t="n">
        <x:v>1</x:v>
      </x:c>
      <x:c r="H948" s="91" t="n">
        <x:v>802.7</x:v>
      </x:c>
      <x:c r="I948" s="87" t="n">
        <x:v>6</x:v>
      </x:c>
    </x:row>
    <x:row r="949">
      <x:c r="A949" s="85" t="n">
        <x:v>948</x:v>
      </x:c>
      <x:c r="B949" s="86" t="n">
        <x:v>188</x:v>
      </x:c>
      <x:c r="C949" s="95" t="n">
        <x:v>45847</x:v>
      </x:c>
      <x:c r="D949" s="95" t="n">
        <x:v>45847</x:v>
      </x:c>
      <x:c r="E949" s="86" t="str">
        <x:v>Falta não justificada</x:v>
      </x:c>
      <x:c r="F949" s="86" t="n">
        <x:v>1</x:v>
      </x:c>
      <x:c r="G949" s="86" t="n">
        <x:v>0</x:v>
      </x:c>
      <x:c r="H949" s="91" t="n">
        <x:v>14</x:v>
      </x:c>
      <x:c r="I949" s="87" t="n">
        <x:v>1</x:v>
      </x:c>
    </x:row>
    <x:row r="950">
      <x:c r="A950" s="85" t="n">
        <x:v>949</x:v>
      </x:c>
      <x:c r="B950" s="86" t="n">
        <x:v>418</x:v>
      </x:c>
      <x:c r="C950" s="95" t="n">
        <x:v>45811</x:v>
      </x:c>
      <x:c r="D950" s="95" t="n">
        <x:v>45811</x:v>
      </x:c>
      <x:c r="E950" s="86" t="str">
        <x:v>Atraso</x:v>
      </x:c>
      <x:c r="F950" s="86" t="n">
        <x:v>1</x:v>
      </x:c>
      <x:c r="G950" s="86" t="n">
        <x:v>1</x:v>
      </x:c>
      <x:c r="H950" s="91" t="n">
        <x:v>28.19</x:v>
      </x:c>
      <x:c r="I950" s="87" t="n">
        <x:v>10</x:v>
      </x:c>
    </x:row>
    <x:row r="951">
      <x:c r="A951" s="85" t="n">
        <x:v>950</x:v>
      </x:c>
      <x:c r="B951" s="86" t="n">
        <x:v>330</x:v>
      </x:c>
      <x:c r="C951" s="95" t="n">
        <x:v>45596</x:v>
      </x:c>
      <x:c r="D951" s="95" t="n">
        <x:v>45597</x:v>
      </x:c>
      <x:c r="E951" s="86" t="str">
        <x:v>Consulta médica</x:v>
      </x:c>
      <x:c r="F951" s="86" t="n">
        <x:v>16</x:v>
      </x:c>
      <x:c r="G951" s="86" t="n">
        <x:v>1</x:v>
      </x:c>
      <x:c r="H951" s="91" t="n">
        <x:v>220.76</x:v>
      </x:c>
      <x:c r="I951" s="87" t="n">
        <x:v>1</x:v>
      </x:c>
    </x:row>
    <x:row r="952">
      <x:c r="A952" s="85" t="n">
        <x:v>951</x:v>
      </x:c>
      <x:c r="B952" s="86" t="n">
        <x:v>372</x:v>
      </x:c>
      <x:c r="C952" s="95" t="n">
        <x:v>45866</x:v>
      </x:c>
      <x:c r="D952" s="95" t="n">
        <x:v>45866</x:v>
      </x:c>
      <x:c r="E952" s="86" t="str">
        <x:v>Falta não justificada</x:v>
      </x:c>
      <x:c r="F952" s="86" t="n">
        <x:v>2</x:v>
      </x:c>
      <x:c r="G952" s="86" t="n">
        <x:v>0</x:v>
      </x:c>
      <x:c r="H952" s="91" t="n">
        <x:v>33.62</x:v>
      </x:c>
      <x:c r="I952" s="87" t="n">
        <x:v>2</x:v>
      </x:c>
    </x:row>
    <x:row r="953">
      <x:c r="A953" s="85" t="n">
        <x:v>952</x:v>
      </x:c>
      <x:c r="B953" s="86" t="n">
        <x:v>373</x:v>
      </x:c>
      <x:c r="C953" s="95" t="n">
        <x:v>45999</x:v>
      </x:c>
      <x:c r="D953" s="95" t="n">
        <x:v>45999</x:v>
      </x:c>
      <x:c r="E953" s="86" t="str">
        <x:v>Atestado médico</x:v>
      </x:c>
      <x:c r="F953" s="86" t="n">
        <x:v>4</x:v>
      </x:c>
      <x:c r="G953" s="86" t="n">
        <x:v>1</x:v>
      </x:c>
      <x:c r="H953" s="91" t="n">
        <x:v>59.24</x:v>
      </x:c>
      <x:c r="I953" s="87" t="n">
        <x:v>1</x:v>
      </x:c>
    </x:row>
    <x:row r="954">
      <x:c r="A954" s="85" t="n">
        <x:v>953</x:v>
      </x:c>
      <x:c r="B954" s="86" t="n">
        <x:v>254</x:v>
      </x:c>
      <x:c r="C954" s="95" t="n">
        <x:v>45624</x:v>
      </x:c>
      <x:c r="D954" s="95" t="n">
        <x:v>45624</x:v>
      </x:c>
      <x:c r="E954" s="86" t="str">
        <x:v>Atraso</x:v>
      </x:c>
      <x:c r="F954" s="86" t="n">
        <x:v>3</x:v>
      </x:c>
      <x:c r="G954" s="86" t="n">
        <x:v>1</x:v>
      </x:c>
      <x:c r="H954" s="91" t="n">
        <x:v>38.21</x:v>
      </x:c>
      <x:c r="I954" s="87" t="n">
        <x:v>1</x:v>
      </x:c>
    </x:row>
    <x:row r="955">
      <x:c r="A955" s="85" t="n">
        <x:v>954</x:v>
      </x:c>
      <x:c r="B955" s="86" t="n">
        <x:v>385</x:v>
      </x:c>
      <x:c r="C955" s="95" t="n">
        <x:v>45946</x:v>
      </x:c>
      <x:c r="D955" s="95" t="n">
        <x:v>45946</x:v>
      </x:c>
      <x:c r="E955" s="86" t="str">
        <x:v>Atraso</x:v>
      </x:c>
      <x:c r="F955" s="86" t="n">
        <x:v>1</x:v>
      </x:c>
      <x:c r="G955" s="86" t="n">
        <x:v>1</x:v>
      </x:c>
      <x:c r="H955" s="91" t="n">
        <x:v>15.01</x:v>
      </x:c>
      <x:c r="I955" s="87" t="n">
        <x:v>3</x:v>
      </x:c>
    </x:row>
    <x:row r="956">
      <x:c r="A956" s="85" t="n">
        <x:v>955</x:v>
      </x:c>
      <x:c r="B956" s="86" t="n">
        <x:v>356</x:v>
      </x:c>
      <x:c r="C956" s="95" t="n">
        <x:v>45545</x:v>
      </x:c>
      <x:c r="D956" s="95" t="n">
        <x:v>45545</x:v>
      </x:c>
      <x:c r="E956" s="86" t="str">
        <x:v>Consulta médica</x:v>
      </x:c>
      <x:c r="F956" s="86" t="n">
        <x:v>2</x:v>
      </x:c>
      <x:c r="G956" s="86" t="n">
        <x:v>1</x:v>
      </x:c>
      <x:c r="H956" s="91" t="n">
        <x:v>61.11</x:v>
      </x:c>
      <x:c r="I956" s="87" t="n">
        <x:v>8</x:v>
      </x:c>
    </x:row>
    <x:row r="957">
      <x:c r="A957" s="85" t="n">
        <x:v>956</x:v>
      </x:c>
      <x:c r="B957" s="86" t="n">
        <x:v>341</x:v>
      </x:c>
      <x:c r="C957" s="95" t="n">
        <x:v>45571</x:v>
      </x:c>
      <x:c r="D957" s="95" t="n">
        <x:v>45571</x:v>
      </x:c>
      <x:c r="E957" s="86" t="str">
        <x:v>Licença</x:v>
      </x:c>
      <x:c r="F957" s="86" t="n">
        <x:v>8</x:v>
      </x:c>
      <x:c r="G957" s="86" t="n">
        <x:v>1</x:v>
      </x:c>
      <x:c r="H957" s="91" t="n">
        <x:v>103.31</x:v>
      </x:c>
      <x:c r="I957" s="87" t="n">
        <x:v>1</x:v>
      </x:c>
    </x:row>
    <x:row r="958">
      <x:c r="A958" s="85" t="n">
        <x:v>957</x:v>
      </x:c>
      <x:c r="B958" s="86" t="n">
        <x:v>240</x:v>
      </x:c>
      <x:c r="C958" s="95" t="n">
        <x:v>45972</x:v>
      </x:c>
      <x:c r="D958" s="95" t="n">
        <x:v>45972</x:v>
      </x:c>
      <x:c r="E958" s="86" t="str">
        <x:v>Consulta médica</x:v>
      </x:c>
      <x:c r="F958" s="86" t="n">
        <x:v>8</x:v>
      </x:c>
      <x:c r="G958" s="86" t="n">
        <x:v>1</x:v>
      </x:c>
      <x:c r="H958" s="91" t="n">
        <x:v>337.3</x:v>
      </x:c>
      <x:c r="I958" s="87" t="n">
        <x:v>9</x:v>
      </x:c>
    </x:row>
    <x:row r="959">
      <x:c r="A959" s="85" t="n">
        <x:v>958</x:v>
      </x:c>
      <x:c r="B959" s="86" t="n">
        <x:v>256</x:v>
      </x:c>
      <x:c r="C959" s="95" t="n">
        <x:v>46008</x:v>
      </x:c>
      <x:c r="D959" s="95" t="n">
        <x:v>46012</x:v>
      </x:c>
      <x:c r="E959" s="86" t="str">
        <x:v>Consulta médica</x:v>
      </x:c>
      <x:c r="F959" s="86" t="n">
        <x:v>40</x:v>
      </x:c>
      <x:c r="G959" s="86" t="n">
        <x:v>1</x:v>
      </x:c>
      <x:c r="H959" s="91" t="n">
        <x:v>487.54</x:v>
      </x:c>
      <x:c r="I959" s="87" t="n">
        <x:v>1</x:v>
      </x:c>
    </x:row>
    <x:row r="960">
      <x:c r="A960" s="85" t="n">
        <x:v>959</x:v>
      </x:c>
      <x:c r="B960" s="86" t="n">
        <x:v>245</x:v>
      </x:c>
      <x:c r="C960" s="95" t="n">
        <x:v>45660</x:v>
      </x:c>
      <x:c r="D960" s="95" t="n">
        <x:v>45660</x:v>
      </x:c>
      <x:c r="E960" s="86" t="str">
        <x:v>Atraso</x:v>
      </x:c>
      <x:c r="F960" s="86" t="n">
        <x:v>3</x:v>
      </x:c>
      <x:c r="G960" s="86" t="n">
        <x:v>1</x:v>
      </x:c>
      <x:c r="H960" s="91" t="n">
        <x:v>54.89</x:v>
      </x:c>
      <x:c r="I960" s="87" t="n">
        <x:v>3</x:v>
      </x:c>
    </x:row>
    <x:row r="961">
      <x:c r="A961" s="85" t="n">
        <x:v>960</x:v>
      </x:c>
      <x:c r="B961" s="86" t="n">
        <x:v>394</x:v>
      </x:c>
      <x:c r="C961" s="95" t="n">
        <x:v>45867</x:v>
      </x:c>
      <x:c r="D961" s="95" t="n">
        <x:v>45867</x:v>
      </x:c>
      <x:c r="E961" s="86" t="str">
        <x:v>Atestado médico</x:v>
      </x:c>
      <x:c r="F961" s="86" t="n">
        <x:v>2</x:v>
      </x:c>
      <x:c r="G961" s="86" t="n">
        <x:v>1</x:v>
      </x:c>
      <x:c r="H961" s="91" t="n">
        <x:v>56.1</x:v>
      </x:c>
      <x:c r="I961" s="87" t="n">
        <x:v>9</x:v>
      </x:c>
    </x:row>
    <x:row r="962">
      <x:c r="A962" s="85" t="n">
        <x:v>961</x:v>
      </x:c>
      <x:c r="B962" s="86" t="n">
        <x:v>136</x:v>
      </x:c>
      <x:c r="C962" s="95" t="n">
        <x:v>45763</x:v>
      </x:c>
      <x:c r="D962" s="95" t="n">
        <x:v>45763</x:v>
      </x:c>
      <x:c r="E962" s="86" t="str">
        <x:v>Atestado médico</x:v>
      </x:c>
      <x:c r="F962" s="86" t="n">
        <x:v>8</x:v>
      </x:c>
      <x:c r="G962" s="86" t="n">
        <x:v>1</x:v>
      </x:c>
      <x:c r="H962" s="91" t="n">
        <x:v>83.58</x:v>
      </x:c>
      <x:c r="I962" s="87" t="n">
        <x:v>1</x:v>
      </x:c>
    </x:row>
    <x:row r="963">
      <x:c r="A963" s="85" t="n">
        <x:v>962</x:v>
      </x:c>
      <x:c r="B963" s="86" t="n">
        <x:v>144</x:v>
      </x:c>
      <x:c r="C963" s="95" t="n">
        <x:v>45943</x:v>
      </x:c>
      <x:c r="D963" s="95" t="n">
        <x:v>45943</x:v>
      </x:c>
      <x:c r="E963" s="86" t="str">
        <x:v>Atestado médico</x:v>
      </x:c>
      <x:c r="F963" s="86" t="n">
        <x:v>2</x:v>
      </x:c>
      <x:c r="G963" s="86" t="n">
        <x:v>1</x:v>
      </x:c>
      <x:c r="H963" s="91" t="n">
        <x:v>55.77</x:v>
      </x:c>
      <x:c r="I963" s="87" t="n">
        <x:v>4</x:v>
      </x:c>
    </x:row>
    <x:row r="964">
      <x:c r="A964" s="85" t="n">
        <x:v>963</x:v>
      </x:c>
      <x:c r="B964" s="86" t="n">
        <x:v>75</x:v>
      </x:c>
      <x:c r="C964" s="95" t="n">
        <x:v>45968</x:v>
      </x:c>
      <x:c r="D964" s="95" t="n">
        <x:v>45968</x:v>
      </x:c>
      <x:c r="E964" s="86" t="str">
        <x:v>Atestado médico</x:v>
      </x:c>
      <x:c r="F964" s="86" t="n">
        <x:v>4</x:v>
      </x:c>
      <x:c r="G964" s="86" t="n">
        <x:v>1</x:v>
      </x:c>
      <x:c r="H964" s="91" t="n">
        <x:v>141.15</x:v>
      </x:c>
      <x:c r="I964" s="87" t="n">
        <x:v>10</x:v>
      </x:c>
    </x:row>
    <x:row r="965">
      <x:c r="A965" s="85" t="n">
        <x:v>964</x:v>
      </x:c>
      <x:c r="B965" s="86" t="n">
        <x:v>285</x:v>
      </x:c>
      <x:c r="C965" s="95" t="n">
        <x:v>45950</x:v>
      </x:c>
      <x:c r="D965" s="95" t="n">
        <x:v>45950</x:v>
      </x:c>
      <x:c r="E965" s="86" t="str">
        <x:v>Atestado médico</x:v>
      </x:c>
      <x:c r="F965" s="86" t="n">
        <x:v>1</x:v>
      </x:c>
      <x:c r="G965" s="86" t="n">
        <x:v>1</x:v>
      </x:c>
      <x:c r="H965" s="91" t="n">
        <x:v>14.21</x:v>
      </x:c>
      <x:c r="I965" s="87" t="n">
        <x:v>1</x:v>
      </x:c>
    </x:row>
    <x:row r="966">
      <x:c r="A966" s="85" t="n">
        <x:v>965</x:v>
      </x:c>
      <x:c r="B966" s="86" t="n">
        <x:v>51</x:v>
      </x:c>
      <x:c r="C966" s="95" t="n">
        <x:v>45775</x:v>
      </x:c>
      <x:c r="D966" s="95" t="n">
        <x:v>45776</x:v>
      </x:c>
      <x:c r="E966" s="86" t="str">
        <x:v>Atestado médico</x:v>
      </x:c>
      <x:c r="F966" s="86" t="n">
        <x:v>16</x:v>
      </x:c>
      <x:c r="G966" s="86" t="n">
        <x:v>1</x:v>
      </x:c>
      <x:c r="H966" s="91" t="n">
        <x:v>213.52</x:v>
      </x:c>
      <x:c r="I966" s="87" t="n">
        <x:v>1</x:v>
      </x:c>
    </x:row>
    <x:row r="967">
      <x:c r="A967" s="85" t="n">
        <x:v>966</x:v>
      </x:c>
      <x:c r="B967" s="86" t="n">
        <x:v>318</x:v>
      </x:c>
      <x:c r="C967" s="95" t="n">
        <x:v>45618</x:v>
      </x:c>
      <x:c r="D967" s="95" t="n">
        <x:v>45618</x:v>
      </x:c>
      <x:c r="E967" s="86" t="str">
        <x:v>Atraso</x:v>
      </x:c>
      <x:c r="F967" s="86" t="n">
        <x:v>3</x:v>
      </x:c>
      <x:c r="G967" s="86" t="n">
        <x:v>1</x:v>
      </x:c>
      <x:c r="H967" s="91" t="n">
        <x:v>94.4</x:v>
      </x:c>
      <x:c r="I967" s="87" t="n">
        <x:v>5</x:v>
      </x:c>
    </x:row>
    <x:row r="968">
      <x:c r="A968" s="85" t="n">
        <x:v>967</x:v>
      </x:c>
      <x:c r="B968" s="86" t="n">
        <x:v>331</x:v>
      </x:c>
      <x:c r="C968" s="95" t="n">
        <x:v>45671</x:v>
      </x:c>
      <x:c r="D968" s="95" t="n">
        <x:v>45675</x:v>
      </x:c>
      <x:c r="E968" s="86" t="str">
        <x:v>Atestado médico</x:v>
      </x:c>
      <x:c r="F968" s="86" t="n">
        <x:v>40</x:v>
      </x:c>
      <x:c r="G968" s="86" t="n">
        <x:v>1</x:v>
      </x:c>
      <x:c r="H968" s="91" t="n">
        <x:v>714.01</x:v>
      </x:c>
      <x:c r="I968" s="87" t="n">
        <x:v>3</x:v>
      </x:c>
    </x:row>
    <x:row r="969">
      <x:c r="A969" s="85" t="n">
        <x:v>968</x:v>
      </x:c>
      <x:c r="B969" s="86" t="n">
        <x:v>86</x:v>
      </x:c>
      <x:c r="C969" s="95" t="n">
        <x:v>45814</x:v>
      </x:c>
      <x:c r="D969" s="95" t="n">
        <x:v>45814</x:v>
      </x:c>
      <x:c r="E969" s="86" t="str">
        <x:v>Atestado médico</x:v>
      </x:c>
      <x:c r="F969" s="86" t="n">
        <x:v>2</x:v>
      </x:c>
      <x:c r="G969" s="86" t="n">
        <x:v>1</x:v>
      </x:c>
      <x:c r="H969" s="91" t="n">
        <x:v>160.12</x:v>
      </x:c>
      <x:c r="I969" s="87" t="n">
        <x:v>8</x:v>
      </x:c>
    </x:row>
    <x:row r="970">
      <x:c r="A970" s="85" t="n">
        <x:v>969</x:v>
      </x:c>
      <x:c r="B970" s="86" t="n">
        <x:v>166</x:v>
      </x:c>
      <x:c r="C970" s="95" t="n">
        <x:v>46008</x:v>
      </x:c>
      <x:c r="D970" s="95" t="n">
        <x:v>46009</x:v>
      </x:c>
      <x:c r="E970" s="86" t="str">
        <x:v>Consulta médica</x:v>
      </x:c>
      <x:c r="F970" s="86" t="n">
        <x:v>16</x:v>
      </x:c>
      <x:c r="G970" s="86" t="n">
        <x:v>1</x:v>
      </x:c>
      <x:c r="H970" s="91" t="n">
        <x:v>164.82</x:v>
      </x:c>
      <x:c r="I970" s="87" t="n">
        <x:v>1</x:v>
      </x:c>
    </x:row>
    <x:row r="971">
      <x:c r="A971" s="85" t="n">
        <x:v>970</x:v>
      </x:c>
      <x:c r="B971" s="86" t="n">
        <x:v>387</x:v>
      </x:c>
      <x:c r="C971" s="95" t="n">
        <x:v>45826</x:v>
      </x:c>
      <x:c r="D971" s="95" t="n">
        <x:v>45826</x:v>
      </x:c>
      <x:c r="E971" s="86" t="str">
        <x:v>Atestado médico</x:v>
      </x:c>
      <x:c r="F971" s="86" t="n">
        <x:v>1</x:v>
      </x:c>
      <x:c r="G971" s="86" t="n">
        <x:v>1</x:v>
      </x:c>
      <x:c r="H971" s="91" t="n">
        <x:v>31.67</x:v>
      </x:c>
      <x:c r="I971" s="87" t="n">
        <x:v>5</x:v>
      </x:c>
    </x:row>
    <x:row r="972">
      <x:c r="A972" s="85" t="n">
        <x:v>971</x:v>
      </x:c>
      <x:c r="B972" s="86" t="n">
        <x:v>11</x:v>
      </x:c>
      <x:c r="C972" s="95" t="n">
        <x:v>45763</x:v>
      </x:c>
      <x:c r="D972" s="95" t="n">
        <x:v>45763</x:v>
      </x:c>
      <x:c r="E972" s="86" t="str">
        <x:v>Licença</x:v>
      </x:c>
      <x:c r="F972" s="86" t="n">
        <x:v>2</x:v>
      </x:c>
      <x:c r="G972" s="86" t="n">
        <x:v>1</x:v>
      </x:c>
      <x:c r="H972" s="91" t="n">
        <x:v>72.56</x:v>
      </x:c>
      <x:c r="I972" s="87" t="n">
        <x:v>9</x:v>
      </x:c>
    </x:row>
    <x:row r="973">
      <x:c r="A973" s="85" t="n">
        <x:v>972</x:v>
      </x:c>
      <x:c r="B973" s="86" t="n">
        <x:v>26</x:v>
      </x:c>
      <x:c r="C973" s="95" t="n">
        <x:v>45639</x:v>
      </x:c>
      <x:c r="D973" s="95" t="n">
        <x:v>45641</x:v>
      </x:c>
      <x:c r="E973" s="86" t="str">
        <x:v>Falta não justificada</x:v>
      </x:c>
      <x:c r="F973" s="86" t="n">
        <x:v>24</x:v>
      </x:c>
      <x:c r="G973" s="86" t="n">
        <x:v>0</x:v>
      </x:c>
      <x:c r="H973" s="91" t="n">
        <x:v>926.01</x:v>
      </x:c>
      <x:c r="I973" s="87" t="n">
        <x:v>3</x:v>
      </x:c>
    </x:row>
    <x:row r="974">
      <x:c r="A974" s="85" t="n">
        <x:v>973</x:v>
      </x:c>
      <x:c r="B974" s="86" t="n">
        <x:v>169</x:v>
      </x:c>
      <x:c r="C974" s="95" t="n">
        <x:v>45972</x:v>
      </x:c>
      <x:c r="D974" s="95" t="n">
        <x:v>45972</x:v>
      </x:c>
      <x:c r="E974" s="86" t="str">
        <x:v>Atestado médico</x:v>
      </x:c>
      <x:c r="F974" s="86" t="n">
        <x:v>4</x:v>
      </x:c>
      <x:c r="G974" s="86" t="n">
        <x:v>1</x:v>
      </x:c>
      <x:c r="H974" s="91" t="n">
        <x:v>131.17</x:v>
      </x:c>
      <x:c r="I974" s="87" t="n">
        <x:v>10</x:v>
      </x:c>
    </x:row>
    <x:row r="975">
      <x:c r="A975" s="85" t="n">
        <x:v>974</x:v>
      </x:c>
      <x:c r="B975" s="86" t="n">
        <x:v>89</x:v>
      </x:c>
      <x:c r="C975" s="95" t="n">
        <x:v>45640</x:v>
      </x:c>
      <x:c r="D975" s="95" t="n">
        <x:v>45640</x:v>
      </x:c>
      <x:c r="E975" s="86" t="str">
        <x:v>Consulta médica</x:v>
      </x:c>
      <x:c r="F975" s="86" t="n">
        <x:v>4</x:v>
      </x:c>
      <x:c r="G975" s="86" t="n">
        <x:v>1</x:v>
      </x:c>
      <x:c r="H975" s="91" t="n">
        <x:v>57.26</x:v>
      </x:c>
      <x:c r="I975" s="87" t="n">
        <x:v>3</x:v>
      </x:c>
    </x:row>
    <x:row r="976">
      <x:c r="A976" s="85" t="n">
        <x:v>975</x:v>
      </x:c>
      <x:c r="B976" s="86" t="n">
        <x:v>321</x:v>
      </x:c>
      <x:c r="C976" s="95" t="n">
        <x:v>45351</x:v>
      </x:c>
      <x:c r="D976" s="95" t="n">
        <x:v>45352</x:v>
      </x:c>
      <x:c r="E976" s="86" t="str">
        <x:v>Licença</x:v>
      </x:c>
      <x:c r="F976" s="86" t="n">
        <x:v>16</x:v>
      </x:c>
      <x:c r="G976" s="86" t="n">
        <x:v>1</x:v>
      </x:c>
      <x:c r="H976" s="91" t="n">
        <x:v>229.16</x:v>
      </x:c>
      <x:c r="I976" s="87" t="n">
        <x:v>7</x:v>
      </x:c>
    </x:row>
    <x:row r="977">
      <x:c r="A977" s="85" t="n">
        <x:v>976</x:v>
      </x:c>
      <x:c r="B977" s="86" t="n">
        <x:v>251</x:v>
      </x:c>
      <x:c r="C977" s="95" t="n">
        <x:v>45916</x:v>
      </x:c>
      <x:c r="D977" s="95" t="n">
        <x:v>45916</x:v>
      </x:c>
      <x:c r="E977" s="86" t="str">
        <x:v>Atraso</x:v>
      </x:c>
      <x:c r="F977" s="86" t="n">
        <x:v>3</x:v>
      </x:c>
      <x:c r="G977" s="86" t="n">
        <x:v>1</x:v>
      </x:c>
      <x:c r="H977" s="91" t="n">
        <x:v>55.18</x:v>
      </x:c>
      <x:c r="I977" s="87" t="n">
        <x:v>4</x:v>
      </x:c>
    </x:row>
    <x:row r="978">
      <x:c r="A978" s="85" t="n">
        <x:v>977</x:v>
      </x:c>
      <x:c r="B978" s="86" t="n">
        <x:v>304</x:v>
      </x:c>
      <x:c r="C978" s="95" t="n">
        <x:v>45300</x:v>
      </x:c>
      <x:c r="D978" s="95" t="n">
        <x:v>45300</x:v>
      </x:c>
      <x:c r="E978" s="86" t="str">
        <x:v>Licença</x:v>
      </x:c>
      <x:c r="F978" s="86" t="n">
        <x:v>1</x:v>
      </x:c>
      <x:c r="G978" s="86" t="n">
        <x:v>1</x:v>
      </x:c>
      <x:c r="H978" s="91" t="n">
        <x:v>10.61</x:v>
      </x:c>
      <x:c r="I978" s="87" t="n">
        <x:v>1</x:v>
      </x:c>
    </x:row>
    <x:row r="979">
      <x:c r="A979" s="85" t="n">
        <x:v>978</x:v>
      </x:c>
      <x:c r="B979" s="86" t="n">
        <x:v>417</x:v>
      </x:c>
      <x:c r="C979" s="95" t="n">
        <x:v>45940</x:v>
      </x:c>
      <x:c r="D979" s="95" t="n">
        <x:v>45940</x:v>
      </x:c>
      <x:c r="E979" s="86" t="str">
        <x:v>Atestado médico</x:v>
      </x:c>
      <x:c r="F979" s="86" t="n">
        <x:v>8</x:v>
      </x:c>
      <x:c r="G979" s="86" t="n">
        <x:v>1</x:v>
      </x:c>
      <x:c r="H979" s="91" t="n">
        <x:v>162.89</x:v>
      </x:c>
      <x:c r="I979" s="87" t="n">
        <x:v>3</x:v>
      </x:c>
    </x:row>
    <x:row r="980">
      <x:c r="A980" s="85" t="n">
        <x:v>979</x:v>
      </x:c>
      <x:c r="B980" s="86" t="n">
        <x:v>207</x:v>
      </x:c>
      <x:c r="C980" s="95" t="n">
        <x:v>45547</x:v>
      </x:c>
      <x:c r="D980" s="95" t="n">
        <x:v>45547</x:v>
      </x:c>
      <x:c r="E980" s="86" t="str">
        <x:v>Atestado médico</x:v>
      </x:c>
      <x:c r="F980" s="86" t="n">
        <x:v>2</x:v>
      </x:c>
      <x:c r="G980" s="86" t="n">
        <x:v>1</x:v>
      </x:c>
      <x:c r="H980" s="91" t="n">
        <x:v>27.49</x:v>
      </x:c>
      <x:c r="I980" s="87" t="n">
        <x:v>1</x:v>
      </x:c>
    </x:row>
    <x:row r="981">
      <x:c r="A981" s="85" t="n">
        <x:v>980</x:v>
      </x:c>
      <x:c r="B981" s="86" t="n">
        <x:v>343</x:v>
      </x:c>
      <x:c r="C981" s="95" t="n">
        <x:v>45926</x:v>
      </x:c>
      <x:c r="D981" s="95" t="n">
        <x:v>45927</x:v>
      </x:c>
      <x:c r="E981" s="86" t="str">
        <x:v>Licença</x:v>
      </x:c>
      <x:c r="F981" s="86" t="n">
        <x:v>16</x:v>
      </x:c>
      <x:c r="G981" s="86" t="n">
        <x:v>1</x:v>
      </x:c>
      <x:c r="H981" s="91" t="n">
        <x:v>485.41</x:v>
      </x:c>
      <x:c r="I981" s="87" t="n">
        <x:v>8</x:v>
      </x:c>
    </x:row>
    <x:row r="982">
      <x:c r="A982" s="85" t="n">
        <x:v>981</x:v>
      </x:c>
      <x:c r="B982" s="86" t="n">
        <x:v>96</x:v>
      </x:c>
      <x:c r="C982" s="95" t="n">
        <x:v>45841</x:v>
      </x:c>
      <x:c r="D982" s="95" t="n">
        <x:v>45841</x:v>
      </x:c>
      <x:c r="E982" s="86" t="str">
        <x:v>Atraso</x:v>
      </x:c>
      <x:c r="F982" s="86" t="n">
        <x:v>3</x:v>
      </x:c>
      <x:c r="G982" s="86" t="n">
        <x:v>1</x:v>
      </x:c>
      <x:c r="H982" s="91" t="n">
        <x:v>35.96</x:v>
      </x:c>
      <x:c r="I982" s="87" t="n">
        <x:v>1</x:v>
      </x:c>
    </x:row>
    <x:row r="983">
      <x:c r="A983" s="85" t="n">
        <x:v>982</x:v>
      </x:c>
      <x:c r="B983" s="86" t="n">
        <x:v>61</x:v>
      </x:c>
      <x:c r="C983" s="95" t="n">
        <x:v>45541</x:v>
      </x:c>
      <x:c r="D983" s="95" t="n">
        <x:v>45541</x:v>
      </x:c>
      <x:c r="E983" s="86" t="str">
        <x:v>Atestado médico</x:v>
      </x:c>
      <x:c r="F983" s="86" t="n">
        <x:v>8</x:v>
      </x:c>
      <x:c r="G983" s="86" t="n">
        <x:v>1</x:v>
      </x:c>
      <x:c r="H983" s="91" t="n">
        <x:v>341.5</x:v>
      </x:c>
      <x:c r="I983" s="87" t="n">
        <x:v>4</x:v>
      </x:c>
    </x:row>
    <x:row r="984">
      <x:c r="A984" s="85" t="n">
        <x:v>983</x:v>
      </x:c>
      <x:c r="B984" s="86" t="n">
        <x:v>1</x:v>
      </x:c>
      <x:c r="C984" s="95" t="n">
        <x:v>46007</x:v>
      </x:c>
      <x:c r="D984" s="95" t="n">
        <x:v>46007</x:v>
      </x:c>
      <x:c r="E984" s="86" t="str">
        <x:v>Falta não justificada</x:v>
      </x:c>
      <x:c r="F984" s="86" t="n">
        <x:v>2</x:v>
      </x:c>
      <x:c r="G984" s="86" t="n">
        <x:v>0</x:v>
      </x:c>
      <x:c r="H984" s="91" t="n">
        <x:v>43.84</x:v>
      </x:c>
      <x:c r="I984" s="87" t="n">
        <x:v>2</x:v>
      </x:c>
    </x:row>
    <x:row r="985">
      <x:c r="A985" s="85" t="n">
        <x:v>984</x:v>
      </x:c>
      <x:c r="B985" s="86" t="n">
        <x:v>155</x:v>
      </x:c>
      <x:c r="C985" s="95" t="n">
        <x:v>45665</x:v>
      </x:c>
      <x:c r="D985" s="95" t="n">
        <x:v>45666</x:v>
      </x:c>
      <x:c r="E985" s="86" t="str">
        <x:v>Atestado médico</x:v>
      </x:c>
      <x:c r="F985" s="86" t="n">
        <x:v>16</x:v>
      </x:c>
      <x:c r="G985" s="86" t="n">
        <x:v>1</x:v>
      </x:c>
      <x:c r="H985" s="91" t="n">
        <x:v>213.07</x:v>
      </x:c>
      <x:c r="I985" s="87" t="n">
        <x:v>1</x:v>
      </x:c>
    </x:row>
    <x:row r="986">
      <x:c r="A986" s="85" t="n">
        <x:v>985</x:v>
      </x:c>
      <x:c r="B986" s="86" t="n">
        <x:v>255</x:v>
      </x:c>
      <x:c r="C986" s="95" t="n">
        <x:v>45375</x:v>
      </x:c>
      <x:c r="D986" s="95" t="n">
        <x:v>45377</x:v>
      </x:c>
      <x:c r="E986" s="86" t="str">
        <x:v>Atestado médico</x:v>
      </x:c>
      <x:c r="F986" s="86" t="n">
        <x:v>24</x:v>
      </x:c>
      <x:c r="G986" s="86" t="n">
        <x:v>1</x:v>
      </x:c>
      <x:c r="H986" s="91" t="n">
        <x:v>355.61</x:v>
      </x:c>
      <x:c r="I986" s="87" t="n">
        <x:v>1</x:v>
      </x:c>
    </x:row>
    <x:row r="987">
      <x:c r="A987" s="85" t="n">
        <x:v>986</x:v>
      </x:c>
      <x:c r="B987" s="86" t="n">
        <x:v>174</x:v>
      </x:c>
      <x:c r="C987" s="95" t="n">
        <x:v>45561</x:v>
      </x:c>
      <x:c r="D987" s="95" t="n">
        <x:v>45561</x:v>
      </x:c>
      <x:c r="E987" s="86" t="str">
        <x:v>Atestado médico</x:v>
      </x:c>
      <x:c r="F987" s="86" t="n">
        <x:v>1</x:v>
      </x:c>
      <x:c r="G987" s="86" t="n">
        <x:v>1</x:v>
      </x:c>
      <x:c r="H987" s="91" t="n">
        <x:v>23.05</x:v>
      </x:c>
      <x:c r="I987" s="87" t="n">
        <x:v>2</x:v>
      </x:c>
    </x:row>
    <x:row r="988">
      <x:c r="A988" s="85" t="n">
        <x:v>987</x:v>
      </x:c>
      <x:c r="B988" s="86" t="n">
        <x:v>33</x:v>
      </x:c>
      <x:c r="C988" s="95" t="n">
        <x:v>45722</x:v>
      </x:c>
      <x:c r="D988" s="95" t="n">
        <x:v>45722</x:v>
      </x:c>
      <x:c r="E988" s="86" t="str">
        <x:v>Atestado médico</x:v>
      </x:c>
      <x:c r="F988" s="86" t="n">
        <x:v>8</x:v>
      </x:c>
      <x:c r="G988" s="86" t="n">
        <x:v>1</x:v>
      </x:c>
      <x:c r="H988" s="91" t="n">
        <x:v>221.65</x:v>
      </x:c>
      <x:c r="I988" s="87" t="n">
        <x:v>9</x:v>
      </x:c>
    </x:row>
    <x:row r="989">
      <x:c r="A989" s="85" t="n">
        <x:v>988</x:v>
      </x:c>
      <x:c r="B989" s="86" t="n">
        <x:v>277</x:v>
      </x:c>
      <x:c r="C989" s="95" t="n">
        <x:v>45756</x:v>
      </x:c>
      <x:c r="D989" s="95" t="n">
        <x:v>45756</x:v>
      </x:c>
      <x:c r="E989" s="86" t="str">
        <x:v>Atestado médico</x:v>
      </x:c>
      <x:c r="F989" s="86" t="n">
        <x:v>8</x:v>
      </x:c>
      <x:c r="G989" s="86" t="n">
        <x:v>1</x:v>
      </x:c>
      <x:c r="H989" s="91" t="n">
        <x:v>196.16</x:v>
      </x:c>
      <x:c r="I989" s="87" t="n">
        <x:v>8</x:v>
      </x:c>
    </x:row>
    <x:row r="990">
      <x:c r="A990" s="85" t="n">
        <x:v>989</x:v>
      </x:c>
      <x:c r="B990" s="86" t="n">
        <x:v>86</x:v>
      </x:c>
      <x:c r="C990" s="95" t="n">
        <x:v>45953</x:v>
      </x:c>
      <x:c r="D990" s="95" t="n">
        <x:v>45953</x:v>
      </x:c>
      <x:c r="E990" s="86" t="str">
        <x:v>Atestado médico</x:v>
      </x:c>
      <x:c r="F990" s="86" t="n">
        <x:v>2</x:v>
      </x:c>
      <x:c r="G990" s="86" t="n">
        <x:v>1</x:v>
      </x:c>
      <x:c r="H990" s="91" t="n">
        <x:v>160.12</x:v>
      </x:c>
      <x:c r="I990" s="87" t="n">
        <x:v>8</x:v>
      </x:c>
    </x:row>
    <x:row r="991">
      <x:c r="A991" s="85" t="n">
        <x:v>990</x:v>
      </x:c>
      <x:c r="B991" s="86" t="n">
        <x:v>263</x:v>
      </x:c>
      <x:c r="C991" s="95" t="n">
        <x:v>45586</x:v>
      </x:c>
      <x:c r="D991" s="95" t="n">
        <x:v>45586</x:v>
      </x:c>
      <x:c r="E991" s="86" t="str">
        <x:v>Consulta médica</x:v>
      </x:c>
      <x:c r="F991" s="86" t="n">
        <x:v>1</x:v>
      </x:c>
      <x:c r="G991" s="86" t="n">
        <x:v>1</x:v>
      </x:c>
      <x:c r="H991" s="91" t="n">
        <x:v>25.59</x:v>
      </x:c>
      <x:c r="I991" s="87" t="n">
        <x:v>10</x:v>
      </x:c>
    </x:row>
    <x:row r="992">
      <x:c r="A992" s="85" t="n">
        <x:v>991</x:v>
      </x:c>
      <x:c r="B992" s="86" t="n">
        <x:v>205</x:v>
      </x:c>
      <x:c r="C992" s="95" t="n">
        <x:v>45976</x:v>
      </x:c>
      <x:c r="D992" s="95" t="n">
        <x:v>45976</x:v>
      </x:c>
      <x:c r="E992" s="86" t="str">
        <x:v>Atestado médico</x:v>
      </x:c>
      <x:c r="F992" s="86" t="n">
        <x:v>1</x:v>
      </x:c>
      <x:c r="G992" s="86" t="n">
        <x:v>1</x:v>
      </x:c>
      <x:c r="H992" s="91" t="n">
        <x:v>19.47</x:v>
      </x:c>
      <x:c r="I992" s="87" t="n">
        <x:v>4</x:v>
      </x:c>
    </x:row>
    <x:row r="993">
      <x:c r="A993" s="85" t="n">
        <x:v>992</x:v>
      </x:c>
      <x:c r="B993" s="86" t="n">
        <x:v>56</x:v>
      </x:c>
      <x:c r="C993" s="95" t="n">
        <x:v>45897</x:v>
      </x:c>
      <x:c r="D993" s="95" t="n">
        <x:v>45901</x:v>
      </x:c>
      <x:c r="E993" s="86" t="str">
        <x:v>Consulta médica</x:v>
      </x:c>
      <x:c r="F993" s="86" t="n">
        <x:v>40</x:v>
      </x:c>
      <x:c r="G993" s="86" t="n">
        <x:v>1</x:v>
      </x:c>
      <x:c r="H993" s="91" t="n">
        <x:v>629.65</x:v>
      </x:c>
      <x:c r="I993" s="87" t="n">
        <x:v>1</x:v>
      </x:c>
    </x:row>
    <x:row r="994">
      <x:c r="A994" s="85" t="n">
        <x:v>993</x:v>
      </x:c>
      <x:c r="B994" s="86" t="n">
        <x:v>392</x:v>
      </x:c>
      <x:c r="C994" s="95" t="n">
        <x:v>45344</x:v>
      </x:c>
      <x:c r="D994" s="95" t="n">
        <x:v>45344</x:v>
      </x:c>
      <x:c r="E994" s="86" t="str">
        <x:v>Atestado médico</x:v>
      </x:c>
      <x:c r="F994" s="86" t="n">
        <x:v>8</x:v>
      </x:c>
      <x:c r="G994" s="86" t="n">
        <x:v>1</x:v>
      </x:c>
      <x:c r="H994" s="91" t="n">
        <x:v>237.83</x:v>
      </x:c>
      <x:c r="I994" s="87" t="n">
        <x:v>7</x:v>
      </x:c>
    </x:row>
    <x:row r="995">
      <x:c r="A995" s="85" t="n">
        <x:v>994</x:v>
      </x:c>
      <x:c r="B995" s="86" t="n">
        <x:v>372</x:v>
      </x:c>
      <x:c r="C995" s="95" t="n">
        <x:v>45888</x:v>
      </x:c>
      <x:c r="D995" s="95" t="n">
        <x:v>45888</x:v>
      </x:c>
      <x:c r="E995" s="86" t="str">
        <x:v>Licença</x:v>
      </x:c>
      <x:c r="F995" s="86" t="n">
        <x:v>8</x:v>
      </x:c>
      <x:c r="G995" s="86" t="n">
        <x:v>1</x:v>
      </x:c>
      <x:c r="H995" s="91" t="n">
        <x:v>134.5</x:v>
      </x:c>
      <x:c r="I995" s="87" t="n">
        <x:v>2</x:v>
      </x:c>
    </x:row>
    <x:row r="996">
      <x:c r="A996" s="85" t="n">
        <x:v>995</x:v>
      </x:c>
      <x:c r="B996" s="86" t="n">
        <x:v>123</x:v>
      </x:c>
      <x:c r="C996" s="95" t="n">
        <x:v>45375</x:v>
      </x:c>
      <x:c r="D996" s="95" t="n">
        <x:v>45375</x:v>
      </x:c>
      <x:c r="E996" s="86" t="str">
        <x:v>Atestado médico</x:v>
      </x:c>
      <x:c r="F996" s="86" t="n">
        <x:v>8</x:v>
      </x:c>
      <x:c r="G996" s="86" t="n">
        <x:v>1</x:v>
      </x:c>
      <x:c r="H996" s="91" t="n">
        <x:v>107.73</x:v>
      </x:c>
      <x:c r="I996" s="87" t="n">
        <x:v>1</x:v>
      </x:c>
    </x:row>
    <x:row r="997">
      <x:c r="A997" s="85" t="n">
        <x:v>996</x:v>
      </x:c>
      <x:c r="B997" s="86" t="n">
        <x:v>3</x:v>
      </x:c>
      <x:c r="C997" s="95" t="n">
        <x:v>45874</x:v>
      </x:c>
      <x:c r="D997" s="95" t="n">
        <x:v>45874</x:v>
      </x:c>
      <x:c r="E997" s="86" t="str">
        <x:v>Consulta médica</x:v>
      </x:c>
      <x:c r="F997" s="86" t="n">
        <x:v>4</x:v>
      </x:c>
      <x:c r="G997" s="86" t="n">
        <x:v>1</x:v>
      </x:c>
      <x:c r="H997" s="91" t="n">
        <x:v>59.58</x:v>
      </x:c>
      <x:c r="I997" s="87" t="n">
        <x:v>1</x:v>
      </x:c>
    </x:row>
    <x:row r="998">
      <x:c r="A998" s="85" t="n">
        <x:v>997</x:v>
      </x:c>
      <x:c r="B998" s="86" t="n">
        <x:v>234</x:v>
      </x:c>
      <x:c r="C998" s="95" t="n">
        <x:v>45366</x:v>
      </x:c>
      <x:c r="D998" s="95" t="n">
        <x:v>45366</x:v>
      </x:c>
      <x:c r="E998" s="86" t="str">
        <x:v>Atestado médico</x:v>
      </x:c>
      <x:c r="F998" s="86" t="n">
        <x:v>1</x:v>
      </x:c>
      <x:c r="G998" s="86" t="n">
        <x:v>1</x:v>
      </x:c>
      <x:c r="H998" s="91" t="n">
        <x:v>11.07</x:v>
      </x:c>
      <x:c r="I998" s="87" t="n">
        <x:v>1</x:v>
      </x:c>
    </x:row>
    <x:row r="999">
      <x:c r="A999" s="85" t="n">
        <x:v>998</x:v>
      </x:c>
      <x:c r="B999" s="86" t="n">
        <x:v>222</x:v>
      </x:c>
      <x:c r="C999" s="95" t="n">
        <x:v>45963</x:v>
      </x:c>
      <x:c r="D999" s="95" t="n">
        <x:v>45964</x:v>
      </x:c>
      <x:c r="E999" s="86" t="str">
        <x:v>Consulta médica</x:v>
      </x:c>
      <x:c r="F999" s="86" t="n">
        <x:v>16</x:v>
      </x:c>
      <x:c r="G999" s="86" t="n">
        <x:v>1</x:v>
      </x:c>
      <x:c r="H999" s="91" t="n">
        <x:v>510.99</x:v>
      </x:c>
      <x:c r="I999" s="87" t="n">
        <x:v>6</x:v>
      </x:c>
    </x:row>
    <x:row r="1000">
      <x:c r="A1000" s="85" t="n">
        <x:v>999</x:v>
      </x:c>
      <x:c r="B1000" s="86" t="n">
        <x:v>113</x:v>
      </x:c>
      <x:c r="C1000" s="95" t="n">
        <x:v>45605</x:v>
      </x:c>
      <x:c r="D1000" s="95" t="n">
        <x:v>45605</x:v>
      </x:c>
      <x:c r="E1000" s="86" t="str">
        <x:v>Atraso</x:v>
      </x:c>
      <x:c r="F1000" s="86" t="n">
        <x:v>2</x:v>
      </x:c>
      <x:c r="G1000" s="86" t="n">
        <x:v>1</x:v>
      </x:c>
      <x:c r="H1000" s="91" t="n">
        <x:v>29.8</x:v>
      </x:c>
      <x:c r="I1000" s="87" t="n">
        <x:v>1</x:v>
      </x:c>
    </x:row>
    <x:row r="1001">
      <x:c r="A1001" s="85" t="n">
        <x:v>1000</x:v>
      </x:c>
      <x:c r="B1001" s="86" t="n">
        <x:v>219</x:v>
      </x:c>
      <x:c r="C1001" s="95" t="n">
        <x:v>45351</x:v>
      </x:c>
      <x:c r="D1001" s="95" t="n">
        <x:v>45351</x:v>
      </x:c>
      <x:c r="E1001" s="86" t="str">
        <x:v>Atraso</x:v>
      </x:c>
      <x:c r="F1001" s="86" t="n">
        <x:v>1</x:v>
      </x:c>
      <x:c r="G1001" s="86" t="n">
        <x:v>1</x:v>
      </x:c>
      <x:c r="H1001" s="91" t="n">
        <x:v>42.88</x:v>
      </x:c>
      <x:c r="I1001" s="87" t="n">
        <x:v>5</x:v>
      </x:c>
    </x:row>
    <x:row r="1002">
      <x:c r="A1002" s="85" t="n">
        <x:v>1001</x:v>
      </x:c>
      <x:c r="B1002" s="86" t="n">
        <x:v>146</x:v>
      </x:c>
      <x:c r="C1002" s="95" t="n">
        <x:v>45923</x:v>
      </x:c>
      <x:c r="D1002" s="95" t="n">
        <x:v>45924</x:v>
      </x:c>
      <x:c r="E1002" s="86" t="str">
        <x:v>Atestado médico</x:v>
      </x:c>
      <x:c r="F1002" s="86" t="n">
        <x:v>16</x:v>
      </x:c>
      <x:c r="G1002" s="86" t="n">
        <x:v>1</x:v>
      </x:c>
      <x:c r="H1002" s="91" t="n">
        <x:v>677.47</x:v>
      </x:c>
      <x:c r="I1002" s="87" t="n">
        <x:v>9</x:v>
      </x:c>
    </x:row>
    <x:row r="1003">
      <x:c r="A1003" s="85" t="n">
        <x:v>1002</x:v>
      </x:c>
      <x:c r="B1003" s="86" t="n">
        <x:v>129</x:v>
      </x:c>
      <x:c r="C1003" s="95" t="n">
        <x:v>45955</x:v>
      </x:c>
      <x:c r="D1003" s="95" t="n">
        <x:v>45955</x:v>
      </x:c>
      <x:c r="E1003" s="86" t="str">
        <x:v>Falta não justificada</x:v>
      </x:c>
      <x:c r="F1003" s="86" t="n">
        <x:v>8</x:v>
      </x:c>
      <x:c r="G1003" s="86" t="n">
        <x:v>0</x:v>
      </x:c>
      <x:c r="H1003" s="91" t="n">
        <x:v>126.05</x:v>
      </x:c>
      <x:c r="I1003" s="87" t="n">
        <x:v>1</x:v>
      </x:c>
    </x:row>
    <x:row r="1004">
      <x:c r="A1004" s="85" t="n">
        <x:v>1003</x:v>
      </x:c>
      <x:c r="B1004" s="86" t="n">
        <x:v>74</x:v>
      </x:c>
      <x:c r="C1004" s="95" t="n">
        <x:v>45862</x:v>
      </x:c>
      <x:c r="D1004" s="95" t="n">
        <x:v>45862</x:v>
      </x:c>
      <x:c r="E1004" s="86" t="str">
        <x:v>Atestado médico</x:v>
      </x:c>
      <x:c r="F1004" s="86" t="n">
        <x:v>4</x:v>
      </x:c>
      <x:c r="G1004" s="86" t="n">
        <x:v>1</x:v>
      </x:c>
      <x:c r="H1004" s="91" t="n">
        <x:v>43.45</x:v>
      </x:c>
      <x:c r="I1004" s="87" t="n">
        <x:v>1</x:v>
      </x:c>
    </x:row>
    <x:row r="1005">
      <x:c r="A1005" s="85" t="n">
        <x:v>1004</x:v>
      </x:c>
      <x:c r="B1005" s="86" t="n">
        <x:v>180</x:v>
      </x:c>
      <x:c r="C1005" s="95" t="n">
        <x:v>45883</x:v>
      </x:c>
      <x:c r="D1005" s="95" t="n">
        <x:v>45883</x:v>
      </x:c>
      <x:c r="E1005" s="86" t="str">
        <x:v>Atraso</x:v>
      </x:c>
      <x:c r="F1005" s="86" t="n">
        <x:v>1</x:v>
      </x:c>
      <x:c r="G1005" s="86" t="n">
        <x:v>1</x:v>
      </x:c>
      <x:c r="H1005" s="91" t="n">
        <x:v>29.37</x:v>
      </x:c>
      <x:c r="I1005" s="87" t="n">
        <x:v>10</x:v>
      </x:c>
    </x:row>
    <x:row r="1006">
      <x:c r="A1006" s="85" t="n">
        <x:v>1005</x:v>
      </x:c>
      <x:c r="B1006" s="86" t="n">
        <x:v>407</x:v>
      </x:c>
      <x:c r="C1006" s="95" t="n">
        <x:v>45743</x:v>
      </x:c>
      <x:c r="D1006" s="95" t="n">
        <x:v>45743</x:v>
      </x:c>
      <x:c r="E1006" s="86" t="str">
        <x:v>Atestado médico</x:v>
      </x:c>
      <x:c r="F1006" s="86" t="n">
        <x:v>8</x:v>
      </x:c>
      <x:c r="G1006" s="86" t="n">
        <x:v>1</x:v>
      </x:c>
      <x:c r="H1006" s="91" t="n">
        <x:v>350.82</x:v>
      </x:c>
      <x:c r="I1006" s="87" t="n">
        <x:v>5</x:v>
      </x:c>
    </x:row>
    <x:row r="1007">
      <x:c r="A1007" s="85" t="n">
        <x:v>1006</x:v>
      </x:c>
      <x:c r="B1007" s="86" t="n">
        <x:v>133</x:v>
      </x:c>
      <x:c r="C1007" s="95" t="n">
        <x:v>45821</x:v>
      </x:c>
      <x:c r="D1007" s="95" t="n">
        <x:v>45823</x:v>
      </x:c>
      <x:c r="E1007" s="86" t="str">
        <x:v>Consulta médica</x:v>
      </x:c>
      <x:c r="F1007" s="86" t="n">
        <x:v>24</x:v>
      </x:c>
      <x:c r="G1007" s="86" t="n">
        <x:v>1</x:v>
      </x:c>
      <x:c r="H1007" s="91" t="n">
        <x:v>899.88</x:v>
      </x:c>
      <x:c r="I1007" s="87" t="n">
        <x:v>6</x:v>
      </x:c>
    </x:row>
    <x:row r="1008">
      <x:c r="A1008" s="85" t="n">
        <x:v>1007</x:v>
      </x:c>
      <x:c r="B1008" s="86" t="n">
        <x:v>86</x:v>
      </x:c>
      <x:c r="C1008" s="95" t="n">
        <x:v>45850</x:v>
      </x:c>
      <x:c r="D1008" s="95" t="n">
        <x:v>45850</x:v>
      </x:c>
      <x:c r="E1008" s="86" t="str">
        <x:v>Consulta médica</x:v>
      </x:c>
      <x:c r="F1008" s="86" t="n">
        <x:v>8</x:v>
      </x:c>
      <x:c r="G1008" s="86" t="n">
        <x:v>1</x:v>
      </x:c>
      <x:c r="H1008" s="91" t="n">
        <x:v>640.47</x:v>
      </x:c>
      <x:c r="I1008" s="87" t="n">
        <x:v>8</x:v>
      </x:c>
    </x:row>
    <x:row r="1009">
      <x:c r="A1009" s="85" t="n">
        <x:v>1008</x:v>
      </x:c>
      <x:c r="B1009" s="86" t="n">
        <x:v>389</x:v>
      </x:c>
      <x:c r="C1009" s="95" t="n">
        <x:v>45409</x:v>
      </x:c>
      <x:c r="D1009" s="95" t="n">
        <x:v>45413</x:v>
      </x:c>
      <x:c r="E1009" s="86" t="str">
        <x:v>Atestado médico</x:v>
      </x:c>
      <x:c r="F1009" s="86" t="n">
        <x:v>40</x:v>
      </x:c>
      <x:c r="G1009" s="86" t="n">
        <x:v>1</x:v>
      </x:c>
      <x:c r="H1009" s="91" t="n">
        <x:v>720.94</x:v>
      </x:c>
      <x:c r="I1009" s="87" t="n">
        <x:v>3</x:v>
      </x:c>
    </x:row>
    <x:row r="1010">
      <x:c r="A1010" s="85" t="n">
        <x:v>1009</x:v>
      </x:c>
      <x:c r="B1010" s="86" t="n">
        <x:v>299</x:v>
      </x:c>
      <x:c r="C1010" s="95" t="n">
        <x:v>45531</x:v>
      </x:c>
      <x:c r="D1010" s="95" t="n">
        <x:v>45531</x:v>
      </x:c>
      <x:c r="E1010" s="86" t="str">
        <x:v>Atraso</x:v>
      </x:c>
      <x:c r="F1010" s="86" t="n">
        <x:v>3</x:v>
      </x:c>
      <x:c r="G1010" s="86" t="n">
        <x:v>1</x:v>
      </x:c>
      <x:c r="H1010" s="91" t="n">
        <x:v>38.7</x:v>
      </x:c>
      <x:c r="I1010" s="87" t="n">
        <x:v>1</x:v>
      </x:c>
    </x:row>
    <x:row r="1011">
      <x:c r="A1011" s="85" t="n">
        <x:v>1010</x:v>
      </x:c>
      <x:c r="B1011" s="86" t="n">
        <x:v>99</x:v>
      </x:c>
      <x:c r="C1011" s="95" t="n">
        <x:v>45607</x:v>
      </x:c>
      <x:c r="D1011" s="95" t="n">
        <x:v>45607</x:v>
      </x:c>
      <x:c r="E1011" s="86" t="str">
        <x:v>Atraso</x:v>
      </x:c>
      <x:c r="F1011" s="86" t="n">
        <x:v>2</x:v>
      </x:c>
      <x:c r="G1011" s="86" t="n">
        <x:v>1</x:v>
      </x:c>
      <x:c r="H1011" s="91" t="n">
        <x:v>29.79</x:v>
      </x:c>
      <x:c r="I1011" s="87" t="n">
        <x:v>2</x:v>
      </x:c>
    </x:row>
    <x:row r="1012">
      <x:c r="A1012" s="85" t="n">
        <x:v>1011</x:v>
      </x:c>
      <x:c r="B1012" s="86" t="n">
        <x:v>165</x:v>
      </x:c>
      <x:c r="C1012" s="95" t="n">
        <x:v>45985</x:v>
      </x:c>
      <x:c r="D1012" s="95" t="n">
        <x:v>45985</x:v>
      </x:c>
      <x:c r="E1012" s="86" t="str">
        <x:v>Falta não justificada</x:v>
      </x:c>
      <x:c r="F1012" s="86" t="n">
        <x:v>8</x:v>
      </x:c>
      <x:c r="G1012" s="86" t="n">
        <x:v>0</x:v>
      </x:c>
      <x:c r="H1012" s="91" t="n">
        <x:v>175.13</x:v>
      </x:c>
      <x:c r="I1012" s="87" t="n">
        <x:v>4</x:v>
      </x:c>
    </x:row>
    <x:row r="1013">
      <x:c r="A1013" s="85" t="n">
        <x:v>1012</x:v>
      </x:c>
      <x:c r="B1013" s="86" t="n">
        <x:v>344</x:v>
      </x:c>
      <x:c r="C1013" s="95" t="n">
        <x:v>45822</x:v>
      </x:c>
      <x:c r="D1013" s="95" t="n">
        <x:v>45822</x:v>
      </x:c>
      <x:c r="E1013" s="86" t="str">
        <x:v>Consulta médica</x:v>
      </x:c>
      <x:c r="F1013" s="86" t="n">
        <x:v>1</x:v>
      </x:c>
      <x:c r="G1013" s="86" t="n">
        <x:v>1</x:v>
      </x:c>
      <x:c r="H1013" s="91" t="n">
        <x:v>11.6</x:v>
      </x:c>
      <x:c r="I1013" s="87" t="n">
        <x:v>1</x:v>
      </x:c>
    </x:row>
    <x:row r="1014">
      <x:c r="A1014" s="85" t="n">
        <x:v>1013</x:v>
      </x:c>
      <x:c r="B1014" s="86" t="n">
        <x:v>352</x:v>
      </x:c>
      <x:c r="C1014" s="95" t="n">
        <x:v>45420</x:v>
      </x:c>
      <x:c r="D1014" s="95" t="n">
        <x:v>45420</x:v>
      </x:c>
      <x:c r="E1014" s="86" t="str">
        <x:v>Licença</x:v>
      </x:c>
      <x:c r="F1014" s="86" t="n">
        <x:v>1</x:v>
      </x:c>
      <x:c r="G1014" s="86" t="n">
        <x:v>1</x:v>
      </x:c>
      <x:c r="H1014" s="91" t="n">
        <x:v>22.31</x:v>
      </x:c>
      <x:c r="I1014" s="87" t="n">
        <x:v>6</x:v>
      </x:c>
    </x:row>
    <x:row r="1015">
      <x:c r="A1015" s="85" t="n">
        <x:v>1014</x:v>
      </x:c>
      <x:c r="B1015" s="86" t="n">
        <x:v>156</x:v>
      </x:c>
      <x:c r="C1015" s="95" t="n">
        <x:v>45912</x:v>
      </x:c>
      <x:c r="D1015" s="95" t="n">
        <x:v>45914</x:v>
      </x:c>
      <x:c r="E1015" s="86" t="str">
        <x:v>Consulta médica</x:v>
      </x:c>
      <x:c r="F1015" s="86" t="n">
        <x:v>24</x:v>
      </x:c>
      <x:c r="G1015" s="86" t="n">
        <x:v>1</x:v>
      </x:c>
      <x:c r="H1015" s="91" t="n">
        <x:v>1827.87</x:v>
      </x:c>
      <x:c r="I1015" s="87" t="n">
        <x:v>7</x:v>
      </x:c>
    </x:row>
    <x:row r="1016">
      <x:c r="A1016" s="85" t="n">
        <x:v>1015</x:v>
      </x:c>
      <x:c r="B1016" s="86" t="n">
        <x:v>386</x:v>
      </x:c>
      <x:c r="C1016" s="95" t="n">
        <x:v>45724</x:v>
      </x:c>
      <x:c r="D1016" s="95" t="n">
        <x:v>45724</x:v>
      </x:c>
      <x:c r="E1016" s="86" t="str">
        <x:v>Consulta médica</x:v>
      </x:c>
      <x:c r="F1016" s="86" t="n">
        <x:v>8</x:v>
      </x:c>
      <x:c r="G1016" s="86" t="n">
        <x:v>1</x:v>
      </x:c>
      <x:c r="H1016" s="91" t="n">
        <x:v>86.78</x:v>
      </x:c>
      <x:c r="I1016" s="87" t="n">
        <x:v>1</x:v>
      </x:c>
    </x:row>
    <x:row r="1017">
      <x:c r="A1017" s="85" t="n">
        <x:v>1016</x:v>
      </x:c>
      <x:c r="B1017" s="86" t="n">
        <x:v>326</x:v>
      </x:c>
      <x:c r="C1017" s="95" t="n">
        <x:v>45821</x:v>
      </x:c>
      <x:c r="D1017" s="95" t="n">
        <x:v>45821</x:v>
      </x:c>
      <x:c r="E1017" s="86" t="str">
        <x:v>Consulta médica</x:v>
      </x:c>
      <x:c r="F1017" s="86" t="n">
        <x:v>2</x:v>
      </x:c>
      <x:c r="G1017" s="86" t="n">
        <x:v>1</x:v>
      </x:c>
      <x:c r="H1017" s="91" t="n">
        <x:v>152.55</x:v>
      </x:c>
      <x:c r="I1017" s="87" t="n">
        <x:v>5</x:v>
      </x:c>
    </x:row>
    <x:row r="1018">
      <x:c r="A1018" s="85" t="n">
        <x:v>1017</x:v>
      </x:c>
      <x:c r="B1018" s="86" t="n">
        <x:v>24</x:v>
      </x:c>
      <x:c r="C1018" s="95" t="n">
        <x:v>45803</x:v>
      </x:c>
      <x:c r="D1018" s="95" t="n">
        <x:v>45803</x:v>
      </x:c>
      <x:c r="E1018" s="86" t="str">
        <x:v>Atraso</x:v>
      </x:c>
      <x:c r="F1018" s="86" t="n">
        <x:v>3</x:v>
      </x:c>
      <x:c r="G1018" s="86" t="n">
        <x:v>1</x:v>
      </x:c>
      <x:c r="H1018" s="91" t="n">
        <x:v>47.31</x:v>
      </x:c>
      <x:c r="I1018" s="87" t="n">
        <x:v>10</x:v>
      </x:c>
    </x:row>
    <x:row r="1019">
      <x:c r="A1019" s="85" t="n">
        <x:v>1018</x:v>
      </x:c>
      <x:c r="B1019" s="86" t="n">
        <x:v>329</x:v>
      </x:c>
      <x:c r="C1019" s="95" t="n">
        <x:v>45744</x:v>
      </x:c>
      <x:c r="D1019" s="95" t="n">
        <x:v>45744</x:v>
      </x:c>
      <x:c r="E1019" s="86" t="str">
        <x:v>Atraso</x:v>
      </x:c>
      <x:c r="F1019" s="86" t="n">
        <x:v>3</x:v>
      </x:c>
      <x:c r="G1019" s="86" t="n">
        <x:v>1</x:v>
      </x:c>
      <x:c r="H1019" s="91" t="n">
        <x:v>97.93</x:v>
      </x:c>
      <x:c r="I1019" s="87" t="n">
        <x:v>7</x:v>
      </x:c>
    </x:row>
    <x:row r="1020">
      <x:c r="A1020" s="85" t="n">
        <x:v>1019</x:v>
      </x:c>
      <x:c r="B1020" s="86" t="n">
        <x:v>127</x:v>
      </x:c>
      <x:c r="C1020" s="95" t="n">
        <x:v>45984</x:v>
      </x:c>
      <x:c r="D1020" s="95" t="n">
        <x:v>45985</x:v>
      </x:c>
      <x:c r="E1020" s="86" t="str">
        <x:v>Falta não justificada</x:v>
      </x:c>
      <x:c r="F1020" s="86" t="n">
        <x:v>16</x:v>
      </x:c>
      <x:c r="G1020" s="86" t="n">
        <x:v>0</x:v>
      </x:c>
      <x:c r="H1020" s="91" t="n">
        <x:v>751.02</x:v>
      </x:c>
      <x:c r="I1020" s="87" t="n">
        <x:v>5</x:v>
      </x:c>
    </x:row>
    <x:row r="1021">
      <x:c r="A1021" s="85" t="n">
        <x:v>1020</x:v>
      </x:c>
      <x:c r="B1021" s="86" t="n">
        <x:v>143</x:v>
      </x:c>
      <x:c r="C1021" s="95" t="n">
        <x:v>45784</x:v>
      </x:c>
      <x:c r="D1021" s="95" t="n">
        <x:v>45786</x:v>
      </x:c>
      <x:c r="E1021" s="86" t="str">
        <x:v>Consulta médica</x:v>
      </x:c>
      <x:c r="F1021" s="86" t="n">
        <x:v>24</x:v>
      </x:c>
      <x:c r="G1021" s="86" t="n">
        <x:v>1</x:v>
      </x:c>
      <x:c r="H1021" s="91" t="n">
        <x:v>731.21</x:v>
      </x:c>
      <x:c r="I1021" s="87" t="n">
        <x:v>4</x:v>
      </x:c>
    </x:row>
    <x:row r="1022">
      <x:c r="A1022" s="85" t="n">
        <x:v>1021</x:v>
      </x:c>
      <x:c r="B1022" s="86" t="n">
        <x:v>264</x:v>
      </x:c>
      <x:c r="C1022" s="95" t="n">
        <x:v>45728</x:v>
      </x:c>
      <x:c r="D1022" s="95" t="n">
        <x:v>45728</x:v>
      </x:c>
      <x:c r="E1022" s="86" t="str">
        <x:v>Atraso</x:v>
      </x:c>
      <x:c r="F1022" s="86" t="n">
        <x:v>3</x:v>
      </x:c>
      <x:c r="G1022" s="86" t="n">
        <x:v>1</x:v>
      </x:c>
      <x:c r="H1022" s="91" t="n">
        <x:v>67.28</x:v>
      </x:c>
      <x:c r="I1022" s="87" t="n">
        <x:v>4</x:v>
      </x:c>
    </x:row>
    <x:row r="1023">
      <x:c r="A1023" s="85" t="n">
        <x:v>1022</x:v>
      </x:c>
      <x:c r="B1023" s="86" t="n">
        <x:v>34</x:v>
      </x:c>
      <x:c r="C1023" s="95" t="n">
        <x:v>45545</x:v>
      </x:c>
      <x:c r="D1023" s="95" t="n">
        <x:v>45545</x:v>
      </x:c>
      <x:c r="E1023" s="86" t="str">
        <x:v>Atraso</x:v>
      </x:c>
      <x:c r="F1023" s="86" t="n">
        <x:v>3</x:v>
      </x:c>
      <x:c r="G1023" s="86" t="n">
        <x:v>1</x:v>
      </x:c>
      <x:c r="H1023" s="91" t="n">
        <x:v>37.17</x:v>
      </x:c>
      <x:c r="I1023" s="87" t="n">
        <x:v>1</x:v>
      </x:c>
    </x:row>
    <x:row r="1024">
      <x:c r="A1024" s="85" t="n">
        <x:v>1023</x:v>
      </x:c>
      <x:c r="B1024" s="86" t="n">
        <x:v>120</x:v>
      </x:c>
      <x:c r="C1024" s="95" t="n">
        <x:v>45769</x:v>
      </x:c>
      <x:c r="D1024" s="95" t="n">
        <x:v>45769</x:v>
      </x:c>
      <x:c r="E1024" s="86" t="str">
        <x:v>Atraso</x:v>
      </x:c>
      <x:c r="F1024" s="86" t="n">
        <x:v>3</x:v>
      </x:c>
      <x:c r="G1024" s="86" t="n">
        <x:v>1</x:v>
      </x:c>
      <x:c r="H1024" s="91" t="n">
        <x:v>131.33</x:v>
      </x:c>
      <x:c r="I1024" s="87" t="n">
        <x:v>5</x:v>
      </x:c>
    </x:row>
    <x:row r="1025">
      <x:c r="A1025" s="85" t="n">
        <x:v>1024</x:v>
      </x:c>
      <x:c r="B1025" s="86" t="n">
        <x:v>395</x:v>
      </x:c>
      <x:c r="C1025" s="95" t="n">
        <x:v>46015</x:v>
      </x:c>
      <x:c r="D1025" s="95" t="n">
        <x:v>46016</x:v>
      </x:c>
      <x:c r="E1025" s="86" t="str">
        <x:v>Atestado médico</x:v>
      </x:c>
      <x:c r="F1025" s="86" t="n">
        <x:v>16</x:v>
      </x:c>
      <x:c r="G1025" s="86" t="n">
        <x:v>1</x:v>
      </x:c>
      <x:c r="H1025" s="91" t="n">
        <x:v>432.47</x:v>
      </x:c>
      <x:c r="I1025" s="87" t="n">
        <x:v>4</x:v>
      </x:c>
    </x:row>
    <x:row r="1026">
      <x:c r="A1026" s="85" t="n">
        <x:v>1025</x:v>
      </x:c>
      <x:c r="B1026" s="86" t="n">
        <x:v>108</x:v>
      </x:c>
      <x:c r="C1026" s="95" t="n">
        <x:v>45461</x:v>
      </x:c>
      <x:c r="D1026" s="95" t="n">
        <x:v>45463</x:v>
      </x:c>
      <x:c r="E1026" s="86" t="str">
        <x:v>Consulta médica</x:v>
      </x:c>
      <x:c r="F1026" s="86" t="n">
        <x:v>24</x:v>
      </x:c>
      <x:c r="G1026" s="86" t="n">
        <x:v>1</x:v>
      </x:c>
      <x:c r="H1026" s="91" t="n">
        <x:v>284.95</x:v>
      </x:c>
      <x:c r="I1026" s="87" t="n">
        <x:v>1</x:v>
      </x:c>
    </x:row>
    <x:row r="1027">
      <x:c r="A1027" s="85" t="n">
        <x:v>1026</x:v>
      </x:c>
      <x:c r="B1027" s="86" t="n">
        <x:v>354</x:v>
      </x:c>
      <x:c r="C1027" s="95" t="n">
        <x:v>45694</x:v>
      </x:c>
      <x:c r="D1027" s="95" t="n">
        <x:v>45694</x:v>
      </x:c>
      <x:c r="E1027" s="86" t="str">
        <x:v>Atraso</x:v>
      </x:c>
      <x:c r="F1027" s="86" t="n">
        <x:v>2</x:v>
      </x:c>
      <x:c r="G1027" s="86" t="n">
        <x:v>1</x:v>
      </x:c>
      <x:c r="H1027" s="91" t="n">
        <x:v>136.45</x:v>
      </x:c>
      <x:c r="I1027" s="87" t="n">
        <x:v>9</x:v>
      </x:c>
    </x:row>
    <x:row r="1028">
      <x:c r="A1028" s="85" t="n">
        <x:v>1027</x:v>
      </x:c>
      <x:c r="B1028" s="86" t="n">
        <x:v>304</x:v>
      </x:c>
      <x:c r="C1028" s="95" t="n">
        <x:v>45551</x:v>
      </x:c>
      <x:c r="D1028" s="95" t="n">
        <x:v>45551</x:v>
      </x:c>
      <x:c r="E1028" s="86" t="str">
        <x:v>Consulta médica</x:v>
      </x:c>
      <x:c r="F1028" s="86" t="n">
        <x:v>2</x:v>
      </x:c>
      <x:c r="G1028" s="86" t="n">
        <x:v>1</x:v>
      </x:c>
      <x:c r="H1028" s="91" t="n">
        <x:v>21.22</x:v>
      </x:c>
      <x:c r="I1028" s="87" t="n">
        <x:v>1</x:v>
      </x:c>
    </x:row>
    <x:row r="1029">
      <x:c r="A1029" s="85" t="n">
        <x:v>1028</x:v>
      </x:c>
      <x:c r="B1029" s="86" t="n">
        <x:v>90</x:v>
      </x:c>
      <x:c r="C1029" s="95" t="n">
        <x:v>45522</x:v>
      </x:c>
      <x:c r="D1029" s="95" t="n">
        <x:v>45522</x:v>
      </x:c>
      <x:c r="E1029" s="86" t="str">
        <x:v>Consulta médica</x:v>
      </x:c>
      <x:c r="F1029" s="86" t="n">
        <x:v>4</x:v>
      </x:c>
      <x:c r="G1029" s="86" t="n">
        <x:v>1</x:v>
      </x:c>
      <x:c r="H1029" s="91" t="n">
        <x:v>96.83</x:v>
      </x:c>
      <x:c r="I1029" s="87" t="n">
        <x:v>6</x:v>
      </x:c>
    </x:row>
    <x:row r="1030">
      <x:c r="A1030" s="85" t="n">
        <x:v>1029</x:v>
      </x:c>
      <x:c r="B1030" s="86" t="n">
        <x:v>382</x:v>
      </x:c>
      <x:c r="C1030" s="95" t="n">
        <x:v>45588</x:v>
      </x:c>
      <x:c r="D1030" s="95" t="n">
        <x:v>45590</x:v>
      </x:c>
      <x:c r="E1030" s="86" t="str">
        <x:v>Atestado médico</x:v>
      </x:c>
      <x:c r="F1030" s="86" t="n">
        <x:v>24</x:v>
      </x:c>
      <x:c r="G1030" s="86" t="n">
        <x:v>1</x:v>
      </x:c>
      <x:c r="H1030" s="91" t="n">
        <x:v>1014.37</x:v>
      </x:c>
      <x:c r="I1030" s="87" t="n">
        <x:v>5</x:v>
      </x:c>
    </x:row>
    <x:row r="1031">
      <x:c r="A1031" s="85" t="n">
        <x:v>1030</x:v>
      </x:c>
      <x:c r="B1031" s="86" t="n">
        <x:v>164</x:v>
      </x:c>
      <x:c r="C1031" s="95" t="n">
        <x:v>45945</x:v>
      </x:c>
      <x:c r="D1031" s="95" t="n">
        <x:v>45947</x:v>
      </x:c>
      <x:c r="E1031" s="86" t="str">
        <x:v>Falta não justificada</x:v>
      </x:c>
      <x:c r="F1031" s="86" t="n">
        <x:v>24</x:v>
      </x:c>
      <x:c r="G1031" s="86" t="n">
        <x:v>0</x:v>
      </x:c>
      <x:c r="H1031" s="91" t="n">
        <x:v>801.31</x:v>
      </x:c>
      <x:c r="I1031" s="87" t="n">
        <x:v>10</x:v>
      </x:c>
    </x:row>
    <x:row r="1032">
      <x:c r="A1032" s="85" t="n">
        <x:v>1031</x:v>
      </x:c>
      <x:c r="B1032" s="86" t="n">
        <x:v>134</x:v>
      </x:c>
      <x:c r="C1032" s="95" t="n">
        <x:v>46020</x:v>
      </x:c>
      <x:c r="D1032" s="95" t="n">
        <x:v>46020</x:v>
      </x:c>
      <x:c r="E1032" s="86" t="str">
        <x:v>Atestado médico</x:v>
      </x:c>
      <x:c r="F1032" s="86" t="n">
        <x:v>4</x:v>
      </x:c>
      <x:c r="G1032" s="86" t="n">
        <x:v>1</x:v>
      </x:c>
      <x:c r="H1032" s="91" t="n">
        <x:v>140.26</x:v>
      </x:c>
      <x:c r="I1032" s="87" t="n">
        <x:v>5</x:v>
      </x:c>
    </x:row>
    <x:row r="1033">
      <x:c r="A1033" s="85" t="n">
        <x:v>1032</x:v>
      </x:c>
      <x:c r="B1033" s="86" t="n">
        <x:v>304</x:v>
      </x:c>
      <x:c r="C1033" s="95" t="n">
        <x:v>45655</x:v>
      </x:c>
      <x:c r="D1033" s="95" t="n">
        <x:v>45655</x:v>
      </x:c>
      <x:c r="E1033" s="86" t="str">
        <x:v>Atestado médico</x:v>
      </x:c>
      <x:c r="F1033" s="86" t="n">
        <x:v>2</x:v>
      </x:c>
      <x:c r="G1033" s="86" t="n">
        <x:v>1</x:v>
      </x:c>
      <x:c r="H1033" s="91" t="n">
        <x:v>21.22</x:v>
      </x:c>
      <x:c r="I1033" s="87" t="n">
        <x:v>1</x:v>
      </x:c>
    </x:row>
    <x:row r="1034">
      <x:c r="A1034" s="85" t="n">
        <x:v>1033</x:v>
      </x:c>
      <x:c r="B1034" s="86" t="n">
        <x:v>165</x:v>
      </x:c>
      <x:c r="C1034" s="95" t="n">
        <x:v>46009</x:v>
      </x:c>
      <x:c r="D1034" s="95" t="n">
        <x:v>46011</x:v>
      </x:c>
      <x:c r="E1034" s="86" t="str">
        <x:v>Consulta médica</x:v>
      </x:c>
      <x:c r="F1034" s="86" t="n">
        <x:v>24</x:v>
      </x:c>
      <x:c r="G1034" s="86" t="n">
        <x:v>1</x:v>
      </x:c>
      <x:c r="H1034" s="91" t="n">
        <x:v>525.38</x:v>
      </x:c>
      <x:c r="I1034" s="87" t="n">
        <x:v>4</x:v>
      </x:c>
    </x:row>
    <x:row r="1035">
      <x:c r="A1035" s="85" t="n">
        <x:v>1034</x:v>
      </x:c>
      <x:c r="B1035" s="86" t="n">
        <x:v>396</x:v>
      </x:c>
      <x:c r="C1035" s="95" t="n">
        <x:v>45961</x:v>
      </x:c>
      <x:c r="D1035" s="95" t="n">
        <x:v>45961</x:v>
      </x:c>
      <x:c r="E1035" s="86" t="str">
        <x:v>Atraso</x:v>
      </x:c>
      <x:c r="F1035" s="86" t="n">
        <x:v>2</x:v>
      </x:c>
      <x:c r="G1035" s="86" t="n">
        <x:v>1</x:v>
      </x:c>
      <x:c r="H1035" s="91" t="n">
        <x:v>67.98</x:v>
      </x:c>
      <x:c r="I1035" s="87" t="n">
        <x:v>1</x:v>
      </x:c>
    </x:row>
    <x:row r="1036">
      <x:c r="A1036" s="85" t="n">
        <x:v>1035</x:v>
      </x:c>
      <x:c r="B1036" s="86" t="n">
        <x:v>35</x:v>
      </x:c>
      <x:c r="C1036" s="95" t="n">
        <x:v>45588</x:v>
      </x:c>
      <x:c r="D1036" s="95" t="n">
        <x:v>45588</x:v>
      </x:c>
      <x:c r="E1036" s="86" t="str">
        <x:v>Atestado médico</x:v>
      </x:c>
      <x:c r="F1036" s="86" t="n">
        <x:v>4</x:v>
      </x:c>
      <x:c r="G1036" s="86" t="n">
        <x:v>1</x:v>
      </x:c>
      <x:c r="H1036" s="91" t="n">
        <x:v>133.78</x:v>
      </x:c>
      <x:c r="I1036" s="87" t="n">
        <x:v>6</x:v>
      </x:c>
    </x:row>
    <x:row r="1037">
      <x:c r="A1037" s="85" t="n">
        <x:v>1036</x:v>
      </x:c>
      <x:c r="B1037" s="86" t="n">
        <x:v>85</x:v>
      </x:c>
      <x:c r="C1037" s="95" t="n">
        <x:v>45608</x:v>
      </x:c>
      <x:c r="D1037" s="95" t="n">
        <x:v>45608</x:v>
      </x:c>
      <x:c r="E1037" s="86" t="str">
        <x:v>Atraso</x:v>
      </x:c>
      <x:c r="F1037" s="86" t="n">
        <x:v>2</x:v>
      </x:c>
      <x:c r="G1037" s="86" t="n">
        <x:v>1</x:v>
      </x:c>
      <x:c r="H1037" s="91" t="n">
        <x:v>74.29</x:v>
      </x:c>
      <x:c r="I1037" s="87" t="n">
        <x:v>1</x:v>
      </x:c>
    </x:row>
    <x:row r="1038">
      <x:c r="A1038" s="85" t="n">
        <x:v>1037</x:v>
      </x:c>
      <x:c r="B1038" s="86" t="n">
        <x:v>417</x:v>
      </x:c>
      <x:c r="C1038" s="95" t="n">
        <x:v>45890</x:v>
      </x:c>
      <x:c r="D1038" s="95" t="n">
        <x:v>45890</x:v>
      </x:c>
      <x:c r="E1038" s="86" t="str">
        <x:v>Atestado médico</x:v>
      </x:c>
      <x:c r="F1038" s="86" t="n">
        <x:v>8</x:v>
      </x:c>
      <x:c r="G1038" s="86" t="n">
        <x:v>1</x:v>
      </x:c>
      <x:c r="H1038" s="91" t="n">
        <x:v>162.89</x:v>
      </x:c>
      <x:c r="I1038" s="87" t="n">
        <x:v>3</x:v>
      </x:c>
    </x:row>
    <x:row r="1039">
      <x:c r="A1039" s="85" t="n">
        <x:v>1038</x:v>
      </x:c>
      <x:c r="B1039" s="86" t="n">
        <x:v>164</x:v>
      </x:c>
      <x:c r="C1039" s="95" t="n">
        <x:v>45971</x:v>
      </x:c>
      <x:c r="D1039" s="95" t="n">
        <x:v>45971</x:v>
      </x:c>
      <x:c r="E1039" s="86" t="str">
        <x:v>Atestado médico</x:v>
      </x:c>
      <x:c r="F1039" s="86" t="n">
        <x:v>8</x:v>
      </x:c>
      <x:c r="G1039" s="86" t="n">
        <x:v>1</x:v>
      </x:c>
      <x:c r="H1039" s="91" t="n">
        <x:v>267.1</x:v>
      </x:c>
      <x:c r="I1039" s="87" t="n">
        <x:v>10</x:v>
      </x:c>
    </x:row>
    <x:row r="1040">
      <x:c r="A1040" s="85" t="n">
        <x:v>1039</x:v>
      </x:c>
      <x:c r="B1040" s="86" t="n">
        <x:v>217</x:v>
      </x:c>
      <x:c r="C1040" s="95" t="n">
        <x:v>45446</x:v>
      </x:c>
      <x:c r="D1040" s="95" t="n">
        <x:v>45448</x:v>
      </x:c>
      <x:c r="E1040" s="86" t="str">
        <x:v>Licença</x:v>
      </x:c>
      <x:c r="F1040" s="86" t="n">
        <x:v>24</x:v>
      </x:c>
      <x:c r="G1040" s="86" t="n">
        <x:v>1</x:v>
      </x:c>
      <x:c r="H1040" s="91" t="n">
        <x:v>686.02</x:v>
      </x:c>
      <x:c r="I1040" s="87" t="n">
        <x:v>9</x:v>
      </x:c>
    </x:row>
    <x:row r="1041">
      <x:c r="A1041" s="85" t="n">
        <x:v>1040</x:v>
      </x:c>
      <x:c r="B1041" s="86" t="n">
        <x:v>406</x:v>
      </x:c>
      <x:c r="C1041" s="95" t="n">
        <x:v>45701</x:v>
      </x:c>
      <x:c r="D1041" s="95" t="n">
        <x:v>45703</x:v>
      </x:c>
      <x:c r="E1041" s="86" t="str">
        <x:v>Consulta médica</x:v>
      </x:c>
      <x:c r="F1041" s="86" t="n">
        <x:v>24</x:v>
      </x:c>
      <x:c r="G1041" s="86" t="n">
        <x:v>1</x:v>
      </x:c>
      <x:c r="H1041" s="91" t="n">
        <x:v>500.05</x:v>
      </x:c>
      <x:c r="I1041" s="87" t="n">
        <x:v>10</x:v>
      </x:c>
    </x:row>
    <x:row r="1042">
      <x:c r="A1042" s="85" t="n">
        <x:v>1041</x:v>
      </x:c>
      <x:c r="B1042" s="86" t="n">
        <x:v>417</x:v>
      </x:c>
      <x:c r="C1042" s="95" t="n">
        <x:v>45887</x:v>
      </x:c>
      <x:c r="D1042" s="95" t="n">
        <x:v>45891</x:v>
      </x:c>
      <x:c r="E1042" s="86" t="str">
        <x:v>Atestado médico</x:v>
      </x:c>
      <x:c r="F1042" s="86" t="n">
        <x:v>40</x:v>
      </x:c>
      <x:c r="G1042" s="86" t="n">
        <x:v>1</x:v>
      </x:c>
      <x:c r="H1042" s="91" t="n">
        <x:v>814.44</x:v>
      </x:c>
      <x:c r="I1042" s="87" t="n">
        <x:v>3</x:v>
      </x:c>
    </x:row>
    <x:row r="1043">
      <x:c r="A1043" s="85" t="n">
        <x:v>1042</x:v>
      </x:c>
      <x:c r="B1043" s="86" t="n">
        <x:v>18</x:v>
      </x:c>
      <x:c r="C1043" s="95" t="n">
        <x:v>45850</x:v>
      </x:c>
      <x:c r="D1043" s="95" t="n">
        <x:v>45850</x:v>
      </x:c>
      <x:c r="E1043" s="86" t="str">
        <x:v>Consulta médica</x:v>
      </x:c>
      <x:c r="F1043" s="86" t="n">
        <x:v>8</x:v>
      </x:c>
      <x:c r="G1043" s="86" t="n">
        <x:v>1</x:v>
      </x:c>
      <x:c r="H1043" s="91" t="n">
        <x:v>99.36</x:v>
      </x:c>
      <x:c r="I1043" s="87" t="n">
        <x:v>1</x:v>
      </x:c>
    </x:row>
    <x:row r="1044">
      <x:c r="A1044" s="85" t="n">
        <x:v>1043</x:v>
      </x:c>
      <x:c r="B1044" s="86" t="n">
        <x:v>383</x:v>
      </x:c>
      <x:c r="C1044" s="95" t="n">
        <x:v>45969</x:v>
      </x:c>
      <x:c r="D1044" s="95" t="n">
        <x:v>45969</x:v>
      </x:c>
      <x:c r="E1044" s="86" t="str">
        <x:v>Atestado médico</x:v>
      </x:c>
      <x:c r="F1044" s="86" t="n">
        <x:v>1</x:v>
      </x:c>
      <x:c r="G1044" s="86" t="n">
        <x:v>1</x:v>
      </x:c>
      <x:c r="H1044" s="91" t="n">
        <x:v>20.9</x:v>
      </x:c>
      <x:c r="I1044" s="87" t="n">
        <x:v>3</x:v>
      </x:c>
    </x:row>
    <x:row r="1045">
      <x:c r="A1045" s="85" t="n">
        <x:v>1044</x:v>
      </x:c>
      <x:c r="B1045" s="86" t="n">
        <x:v>287</x:v>
      </x:c>
      <x:c r="C1045" s="95" t="n">
        <x:v>45430</x:v>
      </x:c>
      <x:c r="D1045" s="95" t="n">
        <x:v>45431</x:v>
      </x:c>
      <x:c r="E1045" s="86" t="str">
        <x:v>Atestado médico</x:v>
      </x:c>
      <x:c r="F1045" s="86" t="n">
        <x:v>16</x:v>
      </x:c>
      <x:c r="G1045" s="86" t="n">
        <x:v>1</x:v>
      </x:c>
      <x:c r="H1045" s="91" t="n">
        <x:v>706.19</x:v>
      </x:c>
      <x:c r="I1045" s="87" t="n">
        <x:v>5</x:v>
      </x:c>
    </x:row>
    <x:row r="1046">
      <x:c r="A1046" s="85" t="n">
        <x:v>1045</x:v>
      </x:c>
      <x:c r="B1046" s="86" t="n">
        <x:v>149</x:v>
      </x:c>
      <x:c r="C1046" s="95" t="n">
        <x:v>45542</x:v>
      </x:c>
      <x:c r="D1046" s="95" t="n">
        <x:v>45542</x:v>
      </x:c>
      <x:c r="E1046" s="86" t="str">
        <x:v>Atraso</x:v>
      </x:c>
      <x:c r="F1046" s="86" t="n">
        <x:v>1</x:v>
      </x:c>
      <x:c r="G1046" s="86" t="n">
        <x:v>1</x:v>
      </x:c>
      <x:c r="H1046" s="91" t="n">
        <x:v>33.32</x:v>
      </x:c>
      <x:c r="I1046" s="87" t="n">
        <x:v>6</x:v>
      </x:c>
    </x:row>
    <x:row r="1047">
      <x:c r="A1047" s="85" t="n">
        <x:v>1046</x:v>
      </x:c>
      <x:c r="B1047" s="86" t="n">
        <x:v>415</x:v>
      </x:c>
      <x:c r="C1047" s="95" t="n">
        <x:v>45979</x:v>
      </x:c>
      <x:c r="D1047" s="95" t="n">
        <x:v>45979</x:v>
      </x:c>
      <x:c r="E1047" s="86" t="str">
        <x:v>Consulta médica</x:v>
      </x:c>
      <x:c r="F1047" s="86" t="n">
        <x:v>2</x:v>
      </x:c>
      <x:c r="G1047" s="86" t="n">
        <x:v>1</x:v>
      </x:c>
      <x:c r="H1047" s="91" t="n">
        <x:v>26.25</x:v>
      </x:c>
      <x:c r="I1047" s="87" t="n">
        <x:v>1</x:v>
      </x:c>
    </x:row>
    <x:row r="1048">
      <x:c r="A1048" s="85" t="n">
        <x:v>1047</x:v>
      </x:c>
      <x:c r="B1048" s="86" t="n">
        <x:v>93</x:v>
      </x:c>
      <x:c r="C1048" s="95" t="n">
        <x:v>45658</x:v>
      </x:c>
      <x:c r="D1048" s="95" t="n">
        <x:v>45658</x:v>
      </x:c>
      <x:c r="E1048" s="86" t="str">
        <x:v>Atraso</x:v>
      </x:c>
      <x:c r="F1048" s="86" t="n">
        <x:v>3</x:v>
      </x:c>
      <x:c r="G1048" s="86" t="n">
        <x:v>1</x:v>
      </x:c>
      <x:c r="H1048" s="91" t="n">
        <x:v>69.52</x:v>
      </x:c>
      <x:c r="I1048" s="87" t="n">
        <x:v>8</x:v>
      </x:c>
    </x:row>
    <x:row r="1049">
      <x:c r="A1049" s="85" t="n">
        <x:v>1048</x:v>
      </x:c>
      <x:c r="B1049" s="86" t="n">
        <x:v>51</x:v>
      </x:c>
      <x:c r="C1049" s="95" t="n">
        <x:v>45815</x:v>
      </x:c>
      <x:c r="D1049" s="95" t="n">
        <x:v>45817</x:v>
      </x:c>
      <x:c r="E1049" s="86" t="str">
        <x:v>Consulta médica</x:v>
      </x:c>
      <x:c r="F1049" s="86" t="n">
        <x:v>24</x:v>
      </x:c>
      <x:c r="G1049" s="86" t="n">
        <x:v>1</x:v>
      </x:c>
      <x:c r="H1049" s="91" t="n">
        <x:v>320.28</x:v>
      </x:c>
      <x:c r="I1049" s="87" t="n">
        <x:v>1</x:v>
      </x:c>
    </x:row>
    <x:row r="1050">
      <x:c r="A1050" s="85" t="n">
        <x:v>1049</x:v>
      </x:c>
      <x:c r="B1050" s="86" t="n">
        <x:v>25</x:v>
      </x:c>
      <x:c r="C1050" s="95" t="n">
        <x:v>45687</x:v>
      </x:c>
      <x:c r="D1050" s="95" t="n">
        <x:v>45688</x:v>
      </x:c>
      <x:c r="E1050" s="86" t="str">
        <x:v>Consulta médica</x:v>
      </x:c>
      <x:c r="F1050" s="86" t="n">
        <x:v>16</x:v>
      </x:c>
      <x:c r="G1050" s="86" t="n">
        <x:v>1</x:v>
      </x:c>
      <x:c r="H1050" s="91" t="n">
        <x:v>406.03</x:v>
      </x:c>
      <x:c r="I1050" s="87" t="n">
        <x:v>7</x:v>
      </x:c>
    </x:row>
    <x:row r="1051">
      <x:c r="A1051" s="85" t="n">
        <x:v>1050</x:v>
      </x:c>
      <x:c r="B1051" s="86" t="n">
        <x:v>127</x:v>
      </x:c>
      <x:c r="C1051" s="95" t="n">
        <x:v>45999</x:v>
      </x:c>
      <x:c r="D1051" s="95" t="n">
        <x:v>45999</x:v>
      </x:c>
      <x:c r="E1051" s="86" t="str">
        <x:v>Licença</x:v>
      </x:c>
      <x:c r="F1051" s="86" t="n">
        <x:v>1</x:v>
      </x:c>
      <x:c r="G1051" s="86" t="n">
        <x:v>1</x:v>
      </x:c>
      <x:c r="H1051" s="91" t="n">
        <x:v>46.94</x:v>
      </x:c>
      <x:c r="I1051" s="87" t="n">
        <x:v>5</x:v>
      </x:c>
    </x:row>
    <x:row r="1052">
      <x:c r="A1052" s="85" t="n">
        <x:v>1051</x:v>
      </x:c>
      <x:c r="B1052" s="86" t="n">
        <x:v>128</x:v>
      </x:c>
      <x:c r="C1052" s="95" t="n">
        <x:v>45491</x:v>
      </x:c>
      <x:c r="D1052" s="95" t="n">
        <x:v>45495</x:v>
      </x:c>
      <x:c r="E1052" s="86" t="str">
        <x:v>Consulta médica</x:v>
      </x:c>
      <x:c r="F1052" s="86" t="n">
        <x:v>40</x:v>
      </x:c>
      <x:c r="G1052" s="86" t="n">
        <x:v>1</x:v>
      </x:c>
      <x:c r="H1052" s="91" t="n">
        <x:v>500.73</x:v>
      </x:c>
      <x:c r="I1052" s="87" t="n">
        <x:v>1</x:v>
      </x:c>
    </x:row>
    <x:row r="1053">
      <x:c r="A1053" s="85" t="n">
        <x:v>1052</x:v>
      </x:c>
      <x:c r="B1053" s="86" t="n">
        <x:v>213</x:v>
      </x:c>
      <x:c r="C1053" s="95" t="n">
        <x:v>45789</x:v>
      </x:c>
      <x:c r="D1053" s="95" t="n">
        <x:v>45789</x:v>
      </x:c>
      <x:c r="E1053" s="86" t="str">
        <x:v>Atraso</x:v>
      </x:c>
      <x:c r="F1053" s="86" t="n">
        <x:v>3</x:v>
      </x:c>
      <x:c r="G1053" s="86" t="n">
        <x:v>1</x:v>
      </x:c>
      <x:c r="H1053" s="91" t="n">
        <x:v>48.56</x:v>
      </x:c>
      <x:c r="I1053" s="87" t="n">
        <x:v>2</x:v>
      </x:c>
    </x:row>
    <x:row r="1054">
      <x:c r="A1054" s="85" t="n">
        <x:v>1053</x:v>
      </x:c>
      <x:c r="B1054" s="86" t="n">
        <x:v>16</x:v>
      </x:c>
      <x:c r="C1054" s="95" t="n">
        <x:v>45856</x:v>
      </x:c>
      <x:c r="D1054" s="95" t="n">
        <x:v>45858</x:v>
      </x:c>
      <x:c r="E1054" s="86" t="str">
        <x:v>Falta não justificada</x:v>
      </x:c>
      <x:c r="F1054" s="86" t="n">
        <x:v>24</x:v>
      </x:c>
      <x:c r="G1054" s="86" t="n">
        <x:v>0</x:v>
      </x:c>
      <x:c r="H1054" s="91" t="n">
        <x:v>992.17</x:v>
      </x:c>
      <x:c r="I1054" s="87" t="n">
        <x:v>5</x:v>
      </x:c>
    </x:row>
    <x:row r="1055">
      <x:c r="A1055" s="85" t="n">
        <x:v>1054</x:v>
      </x:c>
      <x:c r="B1055" s="86" t="n">
        <x:v>405</x:v>
      </x:c>
      <x:c r="C1055" s="95" t="n">
        <x:v>45711</x:v>
      </x:c>
      <x:c r="D1055" s="95" t="n">
        <x:v>45711</x:v>
      </x:c>
      <x:c r="E1055" s="86" t="str">
        <x:v>Atraso</x:v>
      </x:c>
      <x:c r="F1055" s="86" t="n">
        <x:v>2</x:v>
      </x:c>
      <x:c r="G1055" s="86" t="n">
        <x:v>1</x:v>
      </x:c>
      <x:c r="H1055" s="91" t="n">
        <x:v>69.55</x:v>
      </x:c>
      <x:c r="I1055" s="87" t="n">
        <x:v>10</x:v>
      </x:c>
    </x:row>
    <x:row r="1056">
      <x:c r="A1056" s="85" t="n">
        <x:v>1055</x:v>
      </x:c>
      <x:c r="B1056" s="86" t="n">
        <x:v>325</x:v>
      </x:c>
      <x:c r="C1056" s="95" t="n">
        <x:v>45935</x:v>
      </x:c>
      <x:c r="D1056" s="95" t="n">
        <x:v>45935</x:v>
      </x:c>
      <x:c r="E1056" s="86" t="str">
        <x:v>Falta não justificada</x:v>
      </x:c>
      <x:c r="F1056" s="86" t="n">
        <x:v>1</x:v>
      </x:c>
      <x:c r="G1056" s="86" t="n">
        <x:v>0</x:v>
      </x:c>
      <x:c r="H1056" s="91" t="n">
        <x:v>10.83</x:v>
      </x:c>
      <x:c r="I1056" s="87" t="n">
        <x:v>1</x:v>
      </x:c>
    </x:row>
    <x:row r="1057">
      <x:c r="A1057" s="85" t="n">
        <x:v>1056</x:v>
      </x:c>
      <x:c r="B1057" s="86" t="n">
        <x:v>219</x:v>
      </x:c>
      <x:c r="C1057" s="95" t="n">
        <x:v>45638</x:v>
      </x:c>
      <x:c r="D1057" s="95" t="n">
        <x:v>45639</x:v>
      </x:c>
      <x:c r="E1057" s="86" t="str">
        <x:v>Atestado médico</x:v>
      </x:c>
      <x:c r="F1057" s="86" t="n">
        <x:v>16</x:v>
      </x:c>
      <x:c r="G1057" s="86" t="n">
        <x:v>1</x:v>
      </x:c>
      <x:c r="H1057" s="91" t="n">
        <x:v>686.15</x:v>
      </x:c>
      <x:c r="I1057" s="87" t="n">
        <x:v>5</x:v>
      </x:c>
    </x:row>
    <x:row r="1058">
      <x:c r="A1058" s="85" t="n">
        <x:v>1057</x:v>
      </x:c>
      <x:c r="B1058" s="86" t="n">
        <x:v>196</x:v>
      </x:c>
      <x:c r="C1058" s="95" t="n">
        <x:v>45673</x:v>
      </x:c>
      <x:c r="D1058" s="95" t="n">
        <x:v>45673</x:v>
      </x:c>
      <x:c r="E1058" s="86" t="str">
        <x:v>Consulta médica</x:v>
      </x:c>
      <x:c r="F1058" s="86" t="n">
        <x:v>1</x:v>
      </x:c>
      <x:c r="G1058" s="86" t="n">
        <x:v>1</x:v>
      </x:c>
      <x:c r="H1058" s="91" t="n">
        <x:v>20.46</x:v>
      </x:c>
      <x:c r="I1058" s="87" t="n">
        <x:v>2</x:v>
      </x:c>
    </x:row>
    <x:row r="1059">
      <x:c r="A1059" s="85" t="n">
        <x:v>1058</x:v>
      </x:c>
      <x:c r="B1059" s="86" t="n">
        <x:v>312</x:v>
      </x:c>
      <x:c r="C1059" s="95" t="n">
        <x:v>45555</x:v>
      </x:c>
      <x:c r="D1059" s="95" t="n">
        <x:v>45559</x:v>
      </x:c>
      <x:c r="E1059" s="86" t="str">
        <x:v>Atestado médico</x:v>
      </x:c>
      <x:c r="F1059" s="86" t="n">
        <x:v>40</x:v>
      </x:c>
      <x:c r="G1059" s="86" t="n">
        <x:v>1</x:v>
      </x:c>
      <x:c r="H1059" s="91" t="n">
        <x:v>618.42</x:v>
      </x:c>
      <x:c r="I1059" s="87" t="n">
        <x:v>10</x:v>
      </x:c>
    </x:row>
    <x:row r="1060">
      <x:c r="A1060" s="85" t="n">
        <x:v>1059</x:v>
      </x:c>
      <x:c r="B1060" s="86" t="n">
        <x:v>4</x:v>
      </x:c>
      <x:c r="C1060" s="95" t="n">
        <x:v>46006</x:v>
      </x:c>
      <x:c r="D1060" s="95" t="n">
        <x:v>46006</x:v>
      </x:c>
      <x:c r="E1060" s="86" t="str">
        <x:v>Atestado médico</x:v>
      </x:c>
      <x:c r="F1060" s="86" t="n">
        <x:v>4</x:v>
      </x:c>
      <x:c r="G1060" s="86" t="n">
        <x:v>1</x:v>
      </x:c>
      <x:c r="H1060" s="91" t="n">
        <x:v>84.12</x:v>
      </x:c>
      <x:c r="I1060" s="87" t="n">
        <x:v>3</x:v>
      </x:c>
    </x:row>
    <x:row r="1061">
      <x:c r="A1061" s="85" t="n">
        <x:v>1060</x:v>
      </x:c>
      <x:c r="B1061" s="86" t="n">
        <x:v>382</x:v>
      </x:c>
      <x:c r="C1061" s="95" t="n">
        <x:v>45313</x:v>
      </x:c>
      <x:c r="D1061" s="95" t="n">
        <x:v>45314</x:v>
      </x:c>
      <x:c r="E1061" s="86" t="str">
        <x:v>Atestado médico</x:v>
      </x:c>
      <x:c r="F1061" s="86" t="n">
        <x:v>16</x:v>
      </x:c>
      <x:c r="G1061" s="86" t="n">
        <x:v>1</x:v>
      </x:c>
      <x:c r="H1061" s="91" t="n">
        <x:v>676.25</x:v>
      </x:c>
      <x:c r="I1061" s="87" t="n">
        <x:v>5</x:v>
      </x:c>
    </x:row>
    <x:row r="1062">
      <x:c r="A1062" s="85" t="n">
        <x:v>1061</x:v>
      </x:c>
      <x:c r="B1062" s="86" t="n">
        <x:v>404</x:v>
      </x:c>
      <x:c r="C1062" s="95" t="n">
        <x:v>45355</x:v>
      </x:c>
      <x:c r="D1062" s="95" t="n">
        <x:v>45359</x:v>
      </x:c>
      <x:c r="E1062" s="86" t="str">
        <x:v>Consulta médica</x:v>
      </x:c>
      <x:c r="F1062" s="86" t="n">
        <x:v>40</x:v>
      </x:c>
      <x:c r="G1062" s="86" t="n">
        <x:v>1</x:v>
      </x:c>
      <x:c r="H1062" s="91" t="n">
        <x:v>1524.15</x:v>
      </x:c>
      <x:c r="I1062" s="87" t="n">
        <x:v>1</x:v>
      </x:c>
    </x:row>
    <x:row r="1063">
      <x:c r="A1063" s="85" t="n">
        <x:v>1062</x:v>
      </x:c>
      <x:c r="B1063" s="86" t="n">
        <x:v>219</x:v>
      </x:c>
      <x:c r="C1063" s="95" t="n">
        <x:v>45373</x:v>
      </x:c>
      <x:c r="D1063" s="95" t="n">
        <x:v>45373</x:v>
      </x:c>
      <x:c r="E1063" s="86" t="str">
        <x:v>Atestado médico</x:v>
      </x:c>
      <x:c r="F1063" s="86" t="n">
        <x:v>4</x:v>
      </x:c>
      <x:c r="G1063" s="86" t="n">
        <x:v>1</x:v>
      </x:c>
      <x:c r="H1063" s="91" t="n">
        <x:v>171.54</x:v>
      </x:c>
      <x:c r="I1063" s="87" t="n">
        <x:v>5</x:v>
      </x:c>
    </x:row>
    <x:row r="1064">
      <x:c r="A1064" s="85" t="n">
        <x:v>1063</x:v>
      </x:c>
      <x:c r="B1064" s="86" t="n">
        <x:v>269</x:v>
      </x:c>
      <x:c r="C1064" s="95" t="n">
        <x:v>45551</x:v>
      </x:c>
      <x:c r="D1064" s="95" t="n">
        <x:v>45552</x:v>
      </x:c>
      <x:c r="E1064" s="86" t="str">
        <x:v>Consulta médica</x:v>
      </x:c>
      <x:c r="F1064" s="86" t="n">
        <x:v>16</x:v>
      </x:c>
      <x:c r="G1064" s="86" t="n">
        <x:v>1</x:v>
      </x:c>
      <x:c r="H1064" s="91" t="n">
        <x:v>461.42</x:v>
      </x:c>
      <x:c r="I1064" s="87" t="n">
        <x:v>4</x:v>
      </x:c>
    </x:row>
    <x:row r="1065">
      <x:c r="A1065" s="85" t="n">
        <x:v>1064</x:v>
      </x:c>
      <x:c r="B1065" s="86" t="n">
        <x:v>279</x:v>
      </x:c>
      <x:c r="C1065" s="95" t="n">
        <x:v>45702</x:v>
      </x:c>
      <x:c r="D1065" s="95" t="n">
        <x:v>45702</x:v>
      </x:c>
      <x:c r="E1065" s="86" t="str">
        <x:v>Licença</x:v>
      </x:c>
      <x:c r="F1065" s="86" t="n">
        <x:v>2</x:v>
      </x:c>
      <x:c r="G1065" s="86" t="n">
        <x:v>1</x:v>
      </x:c>
      <x:c r="H1065" s="91" t="n">
        <x:v>75.14</x:v>
      </x:c>
      <x:c r="I1065" s="87" t="n">
        <x:v>6</x:v>
      </x:c>
    </x:row>
    <x:row r="1066">
      <x:c r="A1066" s="85" t="n">
        <x:v>1065</x:v>
      </x:c>
      <x:c r="B1066" s="86" t="n">
        <x:v>302</x:v>
      </x:c>
      <x:c r="C1066" s="95" t="n">
        <x:v>45844</x:v>
      </x:c>
      <x:c r="D1066" s="95" t="n">
        <x:v>45845</x:v>
      </x:c>
      <x:c r="E1066" s="86" t="str">
        <x:v>Atestado médico</x:v>
      </x:c>
      <x:c r="F1066" s="86" t="n">
        <x:v>16</x:v>
      </x:c>
      <x:c r="G1066" s="86" t="n">
        <x:v>1</x:v>
      </x:c>
      <x:c r="H1066" s="91" t="n">
        <x:v>292.32</x:v>
      </x:c>
      <x:c r="I1066" s="87" t="n">
        <x:v>3</x:v>
      </x:c>
    </x:row>
    <x:row r="1067">
      <x:c r="A1067" s="85" t="n">
        <x:v>1066</x:v>
      </x:c>
      <x:c r="B1067" s="86" t="n">
        <x:v>318</x:v>
      </x:c>
      <x:c r="C1067" s="95" t="n">
        <x:v>45777</x:v>
      </x:c>
      <x:c r="D1067" s="95" t="n">
        <x:v>45777</x:v>
      </x:c>
      <x:c r="E1067" s="86" t="str">
        <x:v>Atestado médico</x:v>
      </x:c>
      <x:c r="F1067" s="86" t="n">
        <x:v>2</x:v>
      </x:c>
      <x:c r="G1067" s="86" t="n">
        <x:v>1</x:v>
      </x:c>
      <x:c r="H1067" s="91" t="n">
        <x:v>62.94</x:v>
      </x:c>
      <x:c r="I1067" s="87" t="n">
        <x:v>5</x:v>
      </x:c>
    </x:row>
    <x:row r="1068">
      <x:c r="A1068" s="85" t="n">
        <x:v>1067</x:v>
      </x:c>
      <x:c r="B1068" s="86" t="n">
        <x:v>241</x:v>
      </x:c>
      <x:c r="C1068" s="95" t="n">
        <x:v>45797</x:v>
      </x:c>
      <x:c r="D1068" s="95" t="n">
        <x:v>45797</x:v>
      </x:c>
      <x:c r="E1068" s="86" t="str">
        <x:v>Consulta médica</x:v>
      </x:c>
      <x:c r="F1068" s="86" t="n">
        <x:v>2</x:v>
      </x:c>
      <x:c r="G1068" s="86" t="n">
        <x:v>1</x:v>
      </x:c>
      <x:c r="H1068" s="91" t="n">
        <x:v>22.41</x:v>
      </x:c>
      <x:c r="I1068" s="87" t="n">
        <x:v>1</x:v>
      </x:c>
    </x:row>
    <x:row r="1069">
      <x:c r="A1069" s="85" t="n">
        <x:v>1068</x:v>
      </x:c>
      <x:c r="B1069" s="86" t="n">
        <x:v>218</x:v>
      </x:c>
      <x:c r="C1069" s="95" t="n">
        <x:v>45474</x:v>
      </x:c>
      <x:c r="D1069" s="95" t="n">
        <x:v>45474</x:v>
      </x:c>
      <x:c r="E1069" s="86" t="str">
        <x:v>Atestado médico</x:v>
      </x:c>
      <x:c r="F1069" s="86" t="n">
        <x:v>4</x:v>
      </x:c>
      <x:c r="G1069" s="86" t="n">
        <x:v>1</x:v>
      </x:c>
      <x:c r="H1069" s="91" t="n">
        <x:v>180.63</x:v>
      </x:c>
      <x:c r="I1069" s="87" t="n">
        <x:v>5</x:v>
      </x:c>
    </x:row>
    <x:row r="1070">
      <x:c r="A1070" s="85" t="n">
        <x:v>1069</x:v>
      </x:c>
      <x:c r="B1070" s="86" t="n">
        <x:v>265</x:v>
      </x:c>
      <x:c r="C1070" s="95" t="n">
        <x:v>45321</x:v>
      </x:c>
      <x:c r="D1070" s="95" t="n">
        <x:v>45321</x:v>
      </x:c>
      <x:c r="E1070" s="86" t="str">
        <x:v>Atestado médico</x:v>
      </x:c>
      <x:c r="F1070" s="86" t="n">
        <x:v>1</x:v>
      </x:c>
      <x:c r="G1070" s="86" t="n">
        <x:v>1</x:v>
      </x:c>
      <x:c r="H1070" s="91" t="n">
        <x:v>13.67</x:v>
      </x:c>
      <x:c r="I1070" s="87" t="n">
        <x:v>1</x:v>
      </x:c>
    </x:row>
    <x:row r="1071">
      <x:c r="A1071" s="85" t="n">
        <x:v>1070</x:v>
      </x:c>
      <x:c r="B1071" s="86" t="n">
        <x:v>182</x:v>
      </x:c>
      <x:c r="C1071" s="95" t="n">
        <x:v>45824</x:v>
      </x:c>
      <x:c r="D1071" s="95" t="n">
        <x:v>45824</x:v>
      </x:c>
      <x:c r="E1071" s="86" t="str">
        <x:v>Atraso</x:v>
      </x:c>
      <x:c r="F1071" s="86" t="n">
        <x:v>2</x:v>
      </x:c>
      <x:c r="G1071" s="86" t="n">
        <x:v>1</x:v>
      </x:c>
      <x:c r="H1071" s="91" t="n">
        <x:v>27.91</x:v>
      </x:c>
      <x:c r="I1071" s="87" t="n">
        <x:v>1</x:v>
      </x:c>
    </x:row>
    <x:row r="1072">
      <x:c r="A1072" s="85" t="n">
        <x:v>1071</x:v>
      </x:c>
      <x:c r="B1072" s="86" t="n">
        <x:v>19</x:v>
      </x:c>
      <x:c r="C1072" s="95" t="n">
        <x:v>45706</x:v>
      </x:c>
      <x:c r="D1072" s="95" t="n">
        <x:v>45706</x:v>
      </x:c>
      <x:c r="E1072" s="86" t="str">
        <x:v>Atraso</x:v>
      </x:c>
      <x:c r="F1072" s="86" t="n">
        <x:v>2</x:v>
      </x:c>
      <x:c r="G1072" s="86" t="n">
        <x:v>1</x:v>
      </x:c>
      <x:c r="H1072" s="91" t="n">
        <x:v>58.05</x:v>
      </x:c>
      <x:c r="I1072" s="87" t="n">
        <x:v>7</x:v>
      </x:c>
    </x:row>
    <x:row r="1073">
      <x:c r="A1073" s="85" t="n">
        <x:v>1072</x:v>
      </x:c>
      <x:c r="B1073" s="86" t="n">
        <x:v>239</x:v>
      </x:c>
      <x:c r="C1073" s="95" t="n">
        <x:v>45355</x:v>
      </x:c>
      <x:c r="D1073" s="95" t="n">
        <x:v>45355</x:v>
      </x:c>
      <x:c r="E1073" s="86" t="str">
        <x:v>Atraso</x:v>
      </x:c>
      <x:c r="F1073" s="86" t="n">
        <x:v>2</x:v>
      </x:c>
      <x:c r="G1073" s="86" t="n">
        <x:v>1</x:v>
      </x:c>
      <x:c r="H1073" s="91" t="n">
        <x:v>99.85</x:v>
      </x:c>
      <x:c r="I1073" s="87" t="n">
        <x:v>4</x:v>
      </x:c>
    </x:row>
    <x:row r="1074">
      <x:c r="A1074" s="85" t="n">
        <x:v>1073</x:v>
      </x:c>
      <x:c r="B1074" s="86" t="n">
        <x:v>89</x:v>
      </x:c>
      <x:c r="C1074" s="95" t="n">
        <x:v>45956</x:v>
      </x:c>
      <x:c r="D1074" s="95" t="n">
        <x:v>45957</x:v>
      </x:c>
      <x:c r="E1074" s="86" t="str">
        <x:v>Atestado médico</x:v>
      </x:c>
      <x:c r="F1074" s="86" t="n">
        <x:v>16</x:v>
      </x:c>
      <x:c r="G1074" s="86" t="n">
        <x:v>1</x:v>
      </x:c>
      <x:c r="H1074" s="91" t="n">
        <x:v>229.04</x:v>
      </x:c>
      <x:c r="I1074" s="87" t="n">
        <x:v>3</x:v>
      </x:c>
    </x:row>
    <x:row r="1075">
      <x:c r="A1075" s="85" t="n">
        <x:v>1074</x:v>
      </x:c>
      <x:c r="B1075" s="86" t="n">
        <x:v>219</x:v>
      </x:c>
      <x:c r="C1075" s="95" t="n">
        <x:v>45344</x:v>
      </x:c>
      <x:c r="D1075" s="95" t="n">
        <x:v>45344</x:v>
      </x:c>
      <x:c r="E1075" s="86" t="str">
        <x:v>Atraso</x:v>
      </x:c>
      <x:c r="F1075" s="86" t="n">
        <x:v>1</x:v>
      </x:c>
      <x:c r="G1075" s="86" t="n">
        <x:v>1</x:v>
      </x:c>
      <x:c r="H1075" s="91" t="n">
        <x:v>42.88</x:v>
      </x:c>
      <x:c r="I1075" s="87" t="n">
        <x:v>5</x:v>
      </x:c>
    </x:row>
    <x:row r="1076">
      <x:c r="A1076" s="85" t="n">
        <x:v>1075</x:v>
      </x:c>
      <x:c r="B1076" s="86" t="n">
        <x:v>289</x:v>
      </x:c>
      <x:c r="C1076" s="95" t="n">
        <x:v>45871</x:v>
      </x:c>
      <x:c r="D1076" s="95" t="n">
        <x:v>45872</x:v>
      </x:c>
      <x:c r="E1076" s="86" t="str">
        <x:v>Consulta médica</x:v>
      </x:c>
      <x:c r="F1076" s="86" t="n">
        <x:v>16</x:v>
      </x:c>
      <x:c r="G1076" s="86" t="n">
        <x:v>1</x:v>
      </x:c>
      <x:c r="H1076" s="91" t="n">
        <x:v>199.49</x:v>
      </x:c>
      <x:c r="I1076" s="87" t="n">
        <x:v>1</x:v>
      </x:c>
    </x:row>
    <x:row r="1077">
      <x:c r="A1077" s="85" t="n">
        <x:v>1076</x:v>
      </x:c>
      <x:c r="B1077" s="86" t="n">
        <x:v>211</x:v>
      </x:c>
      <x:c r="C1077" s="95" t="n">
        <x:v>45925</x:v>
      </x:c>
      <x:c r="D1077" s="95" t="n">
        <x:v>45925</x:v>
      </x:c>
      <x:c r="E1077" s="86" t="str">
        <x:v>Atraso</x:v>
      </x:c>
      <x:c r="F1077" s="86" t="n">
        <x:v>3</x:v>
      </x:c>
      <x:c r="G1077" s="86" t="n">
        <x:v>1</x:v>
      </x:c>
      <x:c r="H1077" s="91" t="n">
        <x:v>30.98</x:v>
      </x:c>
      <x:c r="I1077" s="87" t="n">
        <x:v>1</x:v>
      </x:c>
    </x:row>
    <x:row r="1078">
      <x:c r="A1078" s="85" t="n">
        <x:v>1077</x:v>
      </x:c>
      <x:c r="B1078" s="86" t="n">
        <x:v>266</x:v>
      </x:c>
      <x:c r="C1078" s="95" t="n">
        <x:v>45943</x:v>
      </x:c>
      <x:c r="D1078" s="95" t="n">
        <x:v>45943</x:v>
      </x:c>
      <x:c r="E1078" s="86" t="str">
        <x:v>Consulta médica</x:v>
      </x:c>
      <x:c r="F1078" s="86" t="n">
        <x:v>1</x:v>
      </x:c>
      <x:c r="G1078" s="86" t="n">
        <x:v>1</x:v>
      </x:c>
      <x:c r="H1078" s="91" t="n">
        <x:v>12.59</x:v>
      </x:c>
      <x:c r="I1078" s="87" t="n">
        <x:v>1</x:v>
      </x:c>
    </x:row>
    <x:row r="1079">
      <x:c r="A1079" s="85" t="n">
        <x:v>1078</x:v>
      </x:c>
      <x:c r="B1079" s="86" t="n">
        <x:v>290</x:v>
      </x:c>
      <x:c r="C1079" s="95" t="n">
        <x:v>45656</x:v>
      </x:c>
      <x:c r="D1079" s="95" t="n">
        <x:v>45658</x:v>
      </x:c>
      <x:c r="E1079" s="86" t="str">
        <x:v>Atestado médico</x:v>
      </x:c>
      <x:c r="F1079" s="86" t="n">
        <x:v>24</x:v>
      </x:c>
      <x:c r="G1079" s="86" t="n">
        <x:v>1</x:v>
      </x:c>
      <x:c r="H1079" s="91" t="n">
        <x:v>490.66</x:v>
      </x:c>
      <x:c r="I1079" s="87" t="n">
        <x:v>3</x:v>
      </x:c>
    </x:row>
    <x:row r="1080">
      <x:c r="A1080" s="85" t="n">
        <x:v>1079</x:v>
      </x:c>
      <x:c r="B1080" s="86" t="n">
        <x:v>205</x:v>
      </x:c>
      <x:c r="C1080" s="95" t="n">
        <x:v>46020</x:v>
      </x:c>
      <x:c r="D1080" s="95" t="n">
        <x:v>46020</x:v>
      </x:c>
      <x:c r="E1080" s="86" t="str">
        <x:v>Consulta médica</x:v>
      </x:c>
      <x:c r="F1080" s="86" t="n">
        <x:v>4</x:v>
      </x:c>
      <x:c r="G1080" s="86" t="n">
        <x:v>1</x:v>
      </x:c>
      <x:c r="H1080" s="91" t="n">
        <x:v>77.9</x:v>
      </x:c>
      <x:c r="I1080" s="87" t="n">
        <x:v>4</x:v>
      </x:c>
    </x:row>
    <x:row r="1081">
      <x:c r="A1081" s="85" t="n">
        <x:v>1080</x:v>
      </x:c>
      <x:c r="B1081" s="86" t="n">
        <x:v>332</x:v>
      </x:c>
      <x:c r="C1081" s="95" t="n">
        <x:v>45939</x:v>
      </x:c>
      <x:c r="D1081" s="95" t="n">
        <x:v>45940</x:v>
      </x:c>
      <x:c r="E1081" s="86" t="str">
        <x:v>Consulta médica</x:v>
      </x:c>
      <x:c r="F1081" s="86" t="n">
        <x:v>16</x:v>
      </x:c>
      <x:c r="G1081" s="86" t="n">
        <x:v>1</x:v>
      </x:c>
      <x:c r="H1081" s="91" t="n">
        <x:v>596.86</x:v>
      </x:c>
      <x:c r="I1081" s="87" t="n">
        <x:v>5</x:v>
      </x:c>
    </x:row>
    <x:row r="1082">
      <x:c r="A1082" s="85" t="n">
        <x:v>1081</x:v>
      </x:c>
      <x:c r="B1082" s="86" t="n">
        <x:v>97</x:v>
      </x:c>
      <x:c r="C1082" s="95" t="n">
        <x:v>45629</x:v>
      </x:c>
      <x:c r="D1082" s="95" t="n">
        <x:v>45629</x:v>
      </x:c>
      <x:c r="E1082" s="86" t="str">
        <x:v>Atraso</x:v>
      </x:c>
      <x:c r="F1082" s="86" t="n">
        <x:v>1</x:v>
      </x:c>
      <x:c r="G1082" s="86" t="n">
        <x:v>1</x:v>
      </x:c>
      <x:c r="H1082" s="91" t="n">
        <x:v>25.73</x:v>
      </x:c>
      <x:c r="I1082" s="87" t="n">
        <x:v>7</x:v>
      </x:c>
    </x:row>
    <x:row r="1083">
      <x:c r="A1083" s="85" t="n">
        <x:v>1082</x:v>
      </x:c>
      <x:c r="B1083" s="86" t="n">
        <x:v>102</x:v>
      </x:c>
      <x:c r="C1083" s="95" t="n">
        <x:v>45501</x:v>
      </x:c>
      <x:c r="D1083" s="95" t="n">
        <x:v>45501</x:v>
      </x:c>
      <x:c r="E1083" s="86" t="str">
        <x:v>Atestado médico</x:v>
      </x:c>
      <x:c r="F1083" s="86" t="n">
        <x:v>8</x:v>
      </x:c>
      <x:c r="G1083" s="86" t="n">
        <x:v>1</x:v>
      </x:c>
      <x:c r="H1083" s="91" t="n">
        <x:v>233.07</x:v>
      </x:c>
      <x:c r="I1083" s="87" t="n">
        <x:v>4</x:v>
      </x:c>
    </x:row>
    <x:row r="1084">
      <x:c r="A1084" s="85" t="n">
        <x:v>1083</x:v>
      </x:c>
      <x:c r="B1084" s="86" t="n">
        <x:v>257</x:v>
      </x:c>
      <x:c r="C1084" s="95" t="n">
        <x:v>45993</x:v>
      </x:c>
      <x:c r="D1084" s="95" t="n">
        <x:v>45993</x:v>
      </x:c>
      <x:c r="E1084" s="86" t="str">
        <x:v>Atestado médico</x:v>
      </x:c>
      <x:c r="F1084" s="86" t="n">
        <x:v>2</x:v>
      </x:c>
      <x:c r="G1084" s="86" t="n">
        <x:v>1</x:v>
      </x:c>
      <x:c r="H1084" s="91" t="n">
        <x:v>69.38</x:v>
      </x:c>
      <x:c r="I1084" s="87" t="n">
        <x:v>6</x:v>
      </x:c>
    </x:row>
    <x:row r="1085">
      <x:c r="A1085" s="85" t="n">
        <x:v>1084</x:v>
      </x:c>
      <x:c r="B1085" s="86" t="n">
        <x:v>288</x:v>
      </x:c>
      <x:c r="C1085" s="95" t="n">
        <x:v>45325</x:v>
      </x:c>
      <x:c r="D1085" s="95" t="n">
        <x:v>45326</x:v>
      </x:c>
      <x:c r="E1085" s="86" t="str">
        <x:v>Atestado médico</x:v>
      </x:c>
      <x:c r="F1085" s="86" t="n">
        <x:v>16</x:v>
      </x:c>
      <x:c r="G1085" s="86" t="n">
        <x:v>1</x:v>
      </x:c>
      <x:c r="H1085" s="91" t="n">
        <x:v>655.94</x:v>
      </x:c>
      <x:c r="I1085" s="87" t="n">
        <x:v>5</x:v>
      </x:c>
    </x:row>
    <x:row r="1086">
      <x:c r="A1086" s="85" t="n">
        <x:v>1085</x:v>
      </x:c>
      <x:c r="B1086" s="86" t="n">
        <x:v>256</x:v>
      </x:c>
      <x:c r="C1086" s="95" t="n">
        <x:v>45965</x:v>
      </x:c>
      <x:c r="D1086" s="95" t="n">
        <x:v>45965</x:v>
      </x:c>
      <x:c r="E1086" s="86" t="str">
        <x:v>Atestado médico</x:v>
      </x:c>
      <x:c r="F1086" s="86" t="n">
        <x:v>2</x:v>
      </x:c>
      <x:c r="G1086" s="86" t="n">
        <x:v>1</x:v>
      </x:c>
      <x:c r="H1086" s="91" t="n">
        <x:v>24.38</x:v>
      </x:c>
      <x:c r="I1086" s="87" t="n">
        <x:v>1</x:v>
      </x:c>
    </x:row>
    <x:row r="1087">
      <x:c r="A1087" s="85" t="n">
        <x:v>1086</x:v>
      </x:c>
      <x:c r="B1087" s="86" t="n">
        <x:v>380</x:v>
      </x:c>
      <x:c r="C1087" s="95" t="n">
        <x:v>45536</x:v>
      </x:c>
      <x:c r="D1087" s="95" t="n">
        <x:v>45536</x:v>
      </x:c>
      <x:c r="E1087" s="86" t="str">
        <x:v>Atraso</x:v>
      </x:c>
      <x:c r="F1087" s="86" t="n">
        <x:v>3</x:v>
      </x:c>
      <x:c r="G1087" s="86" t="n">
        <x:v>1</x:v>
      </x:c>
      <x:c r="H1087" s="91" t="n">
        <x:v>43.43</x:v>
      </x:c>
      <x:c r="I1087" s="87" t="n">
        <x:v>1</x:v>
      </x:c>
    </x:row>
    <x:row r="1088">
      <x:c r="A1088" s="85" t="n">
        <x:v>1087</x:v>
      </x:c>
      <x:c r="B1088" s="86" t="n">
        <x:v>100</x:v>
      </x:c>
      <x:c r="C1088" s="95" t="n">
        <x:v>45937</x:v>
      </x:c>
      <x:c r="D1088" s="95" t="n">
        <x:v>45937</x:v>
      </x:c>
      <x:c r="E1088" s="86" t="str">
        <x:v>Atestado médico</x:v>
      </x:c>
      <x:c r="F1088" s="86" t="n">
        <x:v>2</x:v>
      </x:c>
      <x:c r="G1088" s="86" t="n">
        <x:v>1</x:v>
      </x:c>
      <x:c r="H1088" s="91" t="n">
        <x:v>26.03</x:v>
      </x:c>
      <x:c r="I1088" s="87" t="n">
        <x:v>1</x:v>
      </x:c>
    </x:row>
    <x:row r="1089">
      <x:c r="A1089" s="85" t="n">
        <x:v>1088</x:v>
      </x:c>
      <x:c r="B1089" s="86" t="n">
        <x:v>35</x:v>
      </x:c>
      <x:c r="C1089" s="95" t="n">
        <x:v>45454</x:v>
      </x:c>
      <x:c r="D1089" s="95" t="n">
        <x:v>45454</x:v>
      </x:c>
      <x:c r="E1089" s="86" t="str">
        <x:v>Atraso</x:v>
      </x:c>
      <x:c r="F1089" s="86" t="n">
        <x:v>1</x:v>
      </x:c>
      <x:c r="G1089" s="86" t="n">
        <x:v>1</x:v>
      </x:c>
      <x:c r="H1089" s="91" t="n">
        <x:v>33.45</x:v>
      </x:c>
      <x:c r="I1089" s="87" t="n">
        <x:v>6</x:v>
      </x:c>
    </x:row>
    <x:row r="1090">
      <x:c r="A1090" s="85" t="n">
        <x:v>1089</x:v>
      </x:c>
      <x:c r="B1090" s="86" t="n">
        <x:v>171</x:v>
      </x:c>
      <x:c r="C1090" s="95" t="n">
        <x:v>45678</x:v>
      </x:c>
      <x:c r="D1090" s="95" t="n">
        <x:v>45679</x:v>
      </x:c>
      <x:c r="E1090" s="86" t="str">
        <x:v>Falta não justificada</x:v>
      </x:c>
      <x:c r="F1090" s="86" t="n">
        <x:v>16</x:v>
      </x:c>
      <x:c r="G1090" s="86" t="n">
        <x:v>0</x:v>
      </x:c>
      <x:c r="H1090" s="91" t="n">
        <x:v>494.37</x:v>
      </x:c>
      <x:c r="I1090" s="87" t="n">
        <x:v>10</x:v>
      </x:c>
    </x:row>
    <x:row r="1091">
      <x:c r="A1091" s="88" t="n">
        <x:v>1090</x:v>
      </x:c>
      <x:c r="B1091" s="89" t="n">
        <x:v>182</x:v>
      </x:c>
      <x:c r="C1091" s="96" t="n">
        <x:v>45749</x:v>
      </x:c>
      <x:c r="D1091" s="96" t="n">
        <x:v>45749</x:v>
      </x:c>
      <x:c r="E1091" s="89" t="str">
        <x:v>Atraso</x:v>
      </x:c>
      <x:c r="F1091" s="89" t="n">
        <x:v>1</x:v>
      </x:c>
      <x:c r="G1091" s="89" t="n">
        <x:v>1</x:v>
      </x:c>
      <x:c r="H1091" s="92" t="n">
        <x:v>13.95</x:v>
      </x:c>
      <x:c r="I1091" s="90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12.220000267028809" hidden="0" customWidth="1"/>
    <x:col min="3" max="3" width="12.5600004196167" hidden="0" customWidth="1"/>
    <x:col min="4" max="4" width="13" hidden="0" customWidth="1"/>
    <x:col min="5" max="5" width="10.670000076293945" hidden="0" customWidth="1"/>
    <x:col min="6" max="6" width="16.670000076293945" hidden="0" customWidth="1"/>
    <x:col min="7" max="7" width="14.109999656677246" hidden="0" customWidth="1"/>
    <x:col min="8" max="8" width="7.78000020980835" hidden="0" customWidth="1"/>
    <x:col min="9" max="9" width="14.5600004196167" hidden="0" customWidth="1"/>
  </x:cols>
  <x:sheetData>
    <x:row r="1">
      <x:c r="A1" s="82" t="str">
        <x:v>id_hora_extra</x:v>
      </x:c>
      <x:c r="B1" s="83" t="str">
        <x:v>id_colaborador</x:v>
      </x:c>
      <x:c r="C1" s="83" t="str">
        <x:v>data_referencia</x:v>
      </x:c>
      <x:c r="D1" s="83" t="str">
        <x:v>tipo_hora_extra</x:v>
      </x:c>
      <x:c r="E1" s="83" t="str">
        <x:v>horas_extras</x:v>
      </x:c>
      <x:c r="F1" s="83" t="str">
        <x:v>percentual_adicional</x:v>
      </x:c>
      <x:c r="G1" s="83" t="str">
        <x:v>custo_hora_extra</x:v>
      </x:c>
      <x:c r="H1" s="83" t="str">
        <x:v>aprovada</x:v>
      </x:c>
      <x:c r="I1" s="84" t="str">
        <x:v>id_setor_derivado</x:v>
      </x:c>
    </x:row>
    <x:row r="2">
      <x:c r="A2" s="85" t="n">
        <x:v>1</x:v>
      </x:c>
      <x:c r="B2" s="86" t="n">
        <x:v>213</x:v>
      </x:c>
      <x:c r="C2" s="95" t="n">
        <x:v>45617</x:v>
      </x:c>
      <x:c r="D2" s="86" t="str">
        <x:v>Sábado</x:v>
      </x:c>
      <x:c r="E2" s="86" t="n">
        <x:v>6</x:v>
      </x:c>
      <x:c r="F2" s="99" t="n">
        <x:v>0.75</x:v>
      </x:c>
      <x:c r="G2" s="91" t="n">
        <x:v>169.96</x:v>
      </x:c>
      <x:c r="H2" s="86" t="n">
        <x:v>1</x:v>
      </x:c>
      <x:c r="I2" s="87" t="n">
        <x:v>2</x:v>
      </x:c>
    </x:row>
    <x:row r="3">
      <x:c r="A3" s="85" t="n">
        <x:v>2</x:v>
      </x:c>
      <x:c r="B3" s="86" t="n">
        <x:v>150</x:v>
      </x:c>
      <x:c r="C3" s="95" t="n">
        <x:v>45889</x:v>
      </x:c>
      <x:c r="D3" s="86" t="str">
        <x:v>Dia útil</x:v>
      </x:c>
      <x:c r="E3" s="86" t="n">
        <x:v>8</x:v>
      </x:c>
      <x:c r="F3" s="99" t="n">
        <x:v>0.5</x:v>
      </x:c>
      <x:c r="G3" s="91" t="n">
        <x:v>189.44</x:v>
      </x:c>
      <x:c r="H3" s="86" t="n">
        <x:v>1</x:v>
      </x:c>
      <x:c r="I3" s="87" t="n">
        <x:v>1</x:v>
      </x:c>
    </x:row>
    <x:row r="4">
      <x:c r="A4" s="85" t="n">
        <x:v>3</x:v>
      </x:c>
      <x:c r="B4" s="86" t="n">
        <x:v>4</x:v>
      </x:c>
      <x:c r="C4" s="95" t="n">
        <x:v>46003</x:v>
      </x:c>
      <x:c r="D4" s="86" t="str">
        <x:v>Sábado</x:v>
      </x:c>
      <x:c r="E4" s="86" t="n">
        <x:v>8</x:v>
      </x:c>
      <x:c r="F4" s="99" t="n">
        <x:v>0.75</x:v>
      </x:c>
      <x:c r="G4" s="91" t="n">
        <x:v>294.44</x:v>
      </x:c>
      <x:c r="H4" s="86" t="n">
        <x:v>1</x:v>
      </x:c>
      <x:c r="I4" s="87" t="n">
        <x:v>3</x:v>
      </x:c>
    </x:row>
    <x:row r="5">
      <x:c r="A5" s="85" t="n">
        <x:v>4</x:v>
      </x:c>
      <x:c r="B5" s="86" t="n">
        <x:v>148</x:v>
      </x:c>
      <x:c r="C5" s="95" t="n">
        <x:v>45793</x:v>
      </x:c>
      <x:c r="D5" s="86" t="str">
        <x:v>Dia útil</x:v>
      </x:c>
      <x:c r="E5" s="86" t="n">
        <x:v>8</x:v>
      </x:c>
      <x:c r="F5" s="99" t="n">
        <x:v>0.5</x:v>
      </x:c>
      <x:c r="G5" s="91" t="n">
        <x:v>473.5</x:v>
      </x:c>
      <x:c r="H5" s="86" t="n">
        <x:v>1</x:v>
      </x:c>
      <x:c r="I5" s="87" t="n">
        <x:v>2</x:v>
      </x:c>
    </x:row>
    <x:row r="6">
      <x:c r="A6" s="85" t="n">
        <x:v>5</x:v>
      </x:c>
      <x:c r="B6" s="86" t="n">
        <x:v>264</x:v>
      </x:c>
      <x:c r="C6" s="95" t="n">
        <x:v>45992</x:v>
      </x:c>
      <x:c r="D6" s="86" t="str">
        <x:v>Dia útil</x:v>
      </x:c>
      <x:c r="E6" s="86" t="n">
        <x:v>8</x:v>
      </x:c>
      <x:c r="F6" s="99" t="n">
        <x:v>0.5</x:v>
      </x:c>
      <x:c r="G6" s="91" t="n">
        <x:v>269.12</x:v>
      </x:c>
      <x:c r="H6" s="86" t="n">
        <x:v>1</x:v>
      </x:c>
      <x:c r="I6" s="87" t="n">
        <x:v>4</x:v>
      </x:c>
    </x:row>
    <x:row r="7">
      <x:c r="A7" s="85" t="n">
        <x:v>6</x:v>
      </x:c>
      <x:c r="B7" s="86" t="n">
        <x:v>55</x:v>
      </x:c>
      <x:c r="C7" s="95" t="n">
        <x:v>45832</x:v>
      </x:c>
      <x:c r="D7" s="86" t="str">
        <x:v>Dia útil</x:v>
      </x:c>
      <x:c r="E7" s="86" t="n">
        <x:v>2</x:v>
      </x:c>
      <x:c r="F7" s="99" t="n">
        <x:v>0.5</x:v>
      </x:c>
      <x:c r="G7" s="91" t="n">
        <x:v>33.85</x:v>
      </x:c>
      <x:c r="H7" s="86" t="n">
        <x:v>1</x:v>
      </x:c>
      <x:c r="I7" s="87" t="n">
        <x:v>1</x:v>
      </x:c>
    </x:row>
    <x:row r="8">
      <x:c r="A8" s="85" t="n">
        <x:v>7</x:v>
      </x:c>
      <x:c r="B8" s="86" t="n">
        <x:v>9</x:v>
      </x:c>
      <x:c r="C8" s="95" t="n">
        <x:v>45456</x:v>
      </x:c>
      <x:c r="D8" s="86" t="str">
        <x:v>Dia útil</x:v>
      </x:c>
      <x:c r="E8" s="86" t="n">
        <x:v>1</x:v>
      </x:c>
      <x:c r="F8" s="99" t="n">
        <x:v>0.5</x:v>
      </x:c>
      <x:c r="G8" s="91" t="n">
        <x:v>44.42</x:v>
      </x:c>
      <x:c r="H8" s="86" t="n">
        <x:v>1</x:v>
      </x:c>
      <x:c r="I8" s="87" t="n">
        <x:v>5</x:v>
      </x:c>
    </x:row>
    <x:row r="9">
      <x:c r="A9" s="85" t="n">
        <x:v>8</x:v>
      </x:c>
      <x:c r="B9" s="86" t="n">
        <x:v>206</x:v>
      </x:c>
      <x:c r="C9" s="95" t="n">
        <x:v>45864</x:v>
      </x:c>
      <x:c r="D9" s="86" t="str">
        <x:v>Domingo/Feriado</x:v>
      </x:c>
      <x:c r="E9" s="86" t="n">
        <x:v>3</x:v>
      </x:c>
      <x:c r="F9" s="99" t="n">
        <x:v>1</x:v>
      </x:c>
      <x:c r="G9" s="91" t="n">
        <x:v>149.95</x:v>
      </x:c>
      <x:c r="H9" s="86" t="n">
        <x:v>0</x:v>
      </x:c>
      <x:c r="I9" s="87" t="n">
        <x:v>6</x:v>
      </x:c>
    </x:row>
    <x:row r="10">
      <x:c r="A10" s="85" t="n">
        <x:v>9</x:v>
      </x:c>
      <x:c r="B10" s="86" t="n">
        <x:v>68</x:v>
      </x:c>
      <x:c r="C10" s="95" t="n">
        <x:v>45772</x:v>
      </x:c>
      <x:c r="D10" s="86" t="str">
        <x:v>Dia útil</x:v>
      </x:c>
      <x:c r="E10" s="86" t="n">
        <x:v>2</x:v>
      </x:c>
      <x:c r="F10" s="99" t="n">
        <x:v>0.5</x:v>
      </x:c>
      <x:c r="G10" s="91" t="n">
        <x:v>60.03</x:v>
      </x:c>
      <x:c r="H10" s="86" t="n">
        <x:v>1</x:v>
      </x:c>
      <x:c r="I10" s="87" t="n">
        <x:v>4</x:v>
      </x:c>
    </x:row>
    <x:row r="11">
      <x:c r="A11" s="85" t="n">
        <x:v>10</x:v>
      </x:c>
      <x:c r="B11" s="86" t="n">
        <x:v>38</x:v>
      </x:c>
      <x:c r="C11" s="95" t="n">
        <x:v>45852</x:v>
      </x:c>
      <x:c r="D11" s="86" t="str">
        <x:v>Dia útil</x:v>
      </x:c>
      <x:c r="E11" s="86" t="n">
        <x:v>6</x:v>
      </x:c>
      <x:c r="F11" s="99" t="n">
        <x:v>0.5</x:v>
      </x:c>
      <x:c r="G11" s="91" t="n">
        <x:v>666.01</x:v>
      </x:c>
      <x:c r="H11" s="86" t="n">
        <x:v>1</x:v>
      </x:c>
      <x:c r="I11" s="87" t="n">
        <x:v>5</x:v>
      </x:c>
    </x:row>
    <x:row r="12">
      <x:c r="A12" s="85" t="n">
        <x:v>11</x:v>
      </x:c>
      <x:c r="B12" s="86" t="n">
        <x:v>259</x:v>
      </x:c>
      <x:c r="C12" s="95" t="n">
        <x:v>45677</x:v>
      </x:c>
      <x:c r="D12" s="86" t="str">
        <x:v>Dia útil</x:v>
      </x:c>
      <x:c r="E12" s="86" t="n">
        <x:v>1</x:v>
      </x:c>
      <x:c r="F12" s="99" t="n">
        <x:v>0.5</x:v>
      </x:c>
      <x:c r="G12" s="91" t="n">
        <x:v>35.22</x:v>
      </x:c>
      <x:c r="H12" s="86" t="n">
        <x:v>0</x:v>
      </x:c>
      <x:c r="I12" s="87" t="n">
        <x:v>4</x:v>
      </x:c>
    </x:row>
    <x:row r="13">
      <x:c r="A13" s="85" t="n">
        <x:v>12</x:v>
      </x:c>
      <x:c r="B13" s="86" t="n">
        <x:v>50</x:v>
      </x:c>
      <x:c r="C13" s="95" t="n">
        <x:v>45965</x:v>
      </x:c>
      <x:c r="D13" s="86" t="str">
        <x:v>Domingo/Feriado</x:v>
      </x:c>
      <x:c r="E13" s="86" t="n">
        <x:v>2</x:v>
      </x:c>
      <x:c r="F13" s="99" t="n">
        <x:v>1</x:v>
      </x:c>
      <x:c r="G13" s="91" t="n">
        <x:v>88.1</x:v>
      </x:c>
      <x:c r="H13" s="86" t="n">
        <x:v>1</x:v>
      </x:c>
      <x:c r="I13" s="87" t="n">
        <x:v>6</x:v>
      </x:c>
    </x:row>
    <x:row r="14">
      <x:c r="A14" s="85" t="n">
        <x:v>13</x:v>
      </x:c>
      <x:c r="B14" s="86" t="n">
        <x:v>300</x:v>
      </x:c>
      <x:c r="C14" s="95" t="n">
        <x:v>45953</x:v>
      </x:c>
      <x:c r="D14" s="86" t="str">
        <x:v>Sábado</x:v>
      </x:c>
      <x:c r="E14" s="86" t="n">
        <x:v>3</x:v>
      </x:c>
      <x:c r="F14" s="99" t="n">
        <x:v>0.75</x:v>
      </x:c>
      <x:c r="G14" s="91" t="n">
        <x:v>118.75</x:v>
      </x:c>
      <x:c r="H14" s="86" t="n">
        <x:v>1</x:v>
      </x:c>
      <x:c r="I14" s="87" t="n">
        <x:v>8</x:v>
      </x:c>
    </x:row>
    <x:row r="15">
      <x:c r="A15" s="85" t="n">
        <x:v>14</x:v>
      </x:c>
      <x:c r="B15" s="86" t="n">
        <x:v>194</x:v>
      </x:c>
      <x:c r="C15" s="95" t="n">
        <x:v>45453</x:v>
      </x:c>
      <x:c r="D15" s="86" t="str">
        <x:v>Dia útil</x:v>
      </x:c>
      <x:c r="E15" s="86" t="n">
        <x:v>4</x:v>
      </x:c>
      <x:c r="F15" s="99" t="n">
        <x:v>0.5</x:v>
      </x:c>
      <x:c r="G15" s="91" t="n">
        <x:v>86.88</x:v>
      </x:c>
      <x:c r="H15" s="86" t="n">
        <x:v>1</x:v>
      </x:c>
      <x:c r="I15" s="87" t="n">
        <x:v>1</x:v>
      </x:c>
    </x:row>
    <x:row r="16">
      <x:c r="A16" s="85" t="n">
        <x:v>15</x:v>
      </x:c>
      <x:c r="B16" s="86" t="n">
        <x:v>300</x:v>
      </x:c>
      <x:c r="C16" s="95" t="n">
        <x:v>45478</x:v>
      </x:c>
      <x:c r="D16" s="86" t="str">
        <x:v>Dia útil</x:v>
      </x:c>
      <x:c r="E16" s="86" t="n">
        <x:v>3</x:v>
      </x:c>
      <x:c r="F16" s="99" t="n">
        <x:v>0.5</x:v>
      </x:c>
      <x:c r="G16" s="91" t="n">
        <x:v>101.79</x:v>
      </x:c>
      <x:c r="H16" s="86" t="n">
        <x:v>1</x:v>
      </x:c>
      <x:c r="I16" s="87" t="n">
        <x:v>8</x:v>
      </x:c>
    </x:row>
    <x:row r="17">
      <x:c r="A17" s="85" t="n">
        <x:v>16</x:v>
      </x:c>
      <x:c r="B17" s="86" t="n">
        <x:v>407</x:v>
      </x:c>
      <x:c r="C17" s="95" t="n">
        <x:v>45823</x:v>
      </x:c>
      <x:c r="D17" s="86" t="str">
        <x:v>Sábado</x:v>
      </x:c>
      <x:c r="E17" s="86" t="n">
        <x:v>3</x:v>
      </x:c>
      <x:c r="F17" s="99" t="n">
        <x:v>0.75</x:v>
      </x:c>
      <x:c r="G17" s="91" t="n">
        <x:v>230.23</x:v>
      </x:c>
      <x:c r="H17" s="86" t="n">
        <x:v>1</x:v>
      </x:c>
      <x:c r="I17" s="87" t="n">
        <x:v>5</x:v>
      </x:c>
    </x:row>
    <x:row r="18">
      <x:c r="A18" s="85" t="n">
        <x:v>17</x:v>
      </x:c>
      <x:c r="B18" s="86" t="n">
        <x:v>160</x:v>
      </x:c>
      <x:c r="C18" s="95" t="n">
        <x:v>45628</x:v>
      </x:c>
      <x:c r="D18" s="86" t="str">
        <x:v>Sábado</x:v>
      </x:c>
      <x:c r="E18" s="86" t="n">
        <x:v>6</x:v>
      </x:c>
      <x:c r="F18" s="99" t="n">
        <x:v>0.75</x:v>
      </x:c>
      <x:c r="G18" s="91" t="n">
        <x:v>135.47</x:v>
      </x:c>
      <x:c r="H18" s="86" t="n">
        <x:v>1</x:v>
      </x:c>
      <x:c r="I18" s="87" t="n">
        <x:v>8</x:v>
      </x:c>
    </x:row>
    <x:row r="19">
      <x:c r="A19" s="85" t="n">
        <x:v>18</x:v>
      </x:c>
      <x:c r="B19" s="86" t="n">
        <x:v>103</x:v>
      </x:c>
      <x:c r="C19" s="95" t="n">
        <x:v>45980</x:v>
      </x:c>
      <x:c r="D19" s="86" t="str">
        <x:v>Dia útil</x:v>
      </x:c>
      <x:c r="E19" s="86" t="n">
        <x:v>6</x:v>
      </x:c>
      <x:c r="F19" s="99" t="n">
        <x:v>0.5</x:v>
      </x:c>
      <x:c r="G19" s="91" t="n">
        <x:v>312.02</x:v>
      </x:c>
      <x:c r="H19" s="86" t="n">
        <x:v>1</x:v>
      </x:c>
      <x:c r="I19" s="87" t="n">
        <x:v>5</x:v>
      </x:c>
    </x:row>
    <x:row r="20">
      <x:c r="A20" s="85" t="n">
        <x:v>19</x:v>
      </x:c>
      <x:c r="B20" s="86" t="n">
        <x:v>312</x:v>
      </x:c>
      <x:c r="C20" s="95" t="n">
        <x:v>45857</x:v>
      </x:c>
      <x:c r="D20" s="86" t="str">
        <x:v>Dia útil</x:v>
      </x:c>
      <x:c r="E20" s="86" t="n">
        <x:v>6</x:v>
      </x:c>
      <x:c r="F20" s="99" t="n">
        <x:v>0.5</x:v>
      </x:c>
      <x:c r="G20" s="91" t="n">
        <x:v>139.14</x:v>
      </x:c>
      <x:c r="H20" s="86" t="n">
        <x:v>1</x:v>
      </x:c>
      <x:c r="I20" s="87" t="n">
        <x:v>10</x:v>
      </x:c>
    </x:row>
    <x:row r="21">
      <x:c r="A21" s="85" t="n">
        <x:v>20</x:v>
      </x:c>
      <x:c r="B21" s="86" t="n">
        <x:v>253</x:v>
      </x:c>
      <x:c r="C21" s="95" t="n">
        <x:v>45975</x:v>
      </x:c>
      <x:c r="D21" s="86" t="str">
        <x:v>Dia útil</x:v>
      </x:c>
      <x:c r="E21" s="86" t="n">
        <x:v>4</x:v>
      </x:c>
      <x:c r="F21" s="99" t="n">
        <x:v>0.5</x:v>
      </x:c>
      <x:c r="G21" s="91" t="n">
        <x:v>89.65</x:v>
      </x:c>
      <x:c r="H21" s="86" t="n">
        <x:v>1</x:v>
      </x:c>
      <x:c r="I21" s="87" t="n">
        <x:v>2</x:v>
      </x:c>
    </x:row>
    <x:row r="22">
      <x:c r="A22" s="85" t="n">
        <x:v>21</x:v>
      </x:c>
      <x:c r="B22" s="86" t="n">
        <x:v>233</x:v>
      </x:c>
      <x:c r="C22" s="95" t="n">
        <x:v>45966</x:v>
      </x:c>
      <x:c r="D22" s="86" t="str">
        <x:v>Sábado</x:v>
      </x:c>
      <x:c r="E22" s="86" t="n">
        <x:v>8</x:v>
      </x:c>
      <x:c r="F22" s="99" t="n">
        <x:v>0.75</x:v>
      </x:c>
      <x:c r="G22" s="91" t="n">
        <x:v>304.4</x:v>
      </x:c>
      <x:c r="H22" s="86" t="n">
        <x:v>1</x:v>
      </x:c>
      <x:c r="I22" s="87" t="n">
        <x:v>2</x:v>
      </x:c>
    </x:row>
    <x:row r="23">
      <x:c r="A23" s="85" t="n">
        <x:v>22</x:v>
      </x:c>
      <x:c r="B23" s="86" t="n">
        <x:v>122</x:v>
      </x:c>
      <x:c r="C23" s="95" t="n">
        <x:v>45935</x:v>
      </x:c>
      <x:c r="D23" s="86" t="str">
        <x:v>Dia útil</x:v>
      </x:c>
      <x:c r="E23" s="86" t="n">
        <x:v>6</x:v>
      </x:c>
      <x:c r="F23" s="99" t="n">
        <x:v>0.5</x:v>
      </x:c>
      <x:c r="G23" s="91" t="n">
        <x:v>92.86</x:v>
      </x:c>
      <x:c r="H23" s="86" t="n">
        <x:v>1</x:v>
      </x:c>
      <x:c r="I23" s="87" t="n">
        <x:v>1</x:v>
      </x:c>
    </x:row>
    <x:row r="24">
      <x:c r="A24" s="85" t="n">
        <x:v>23</x:v>
      </x:c>
      <x:c r="B24" s="86" t="n">
        <x:v>264</x:v>
      </x:c>
      <x:c r="C24" s="95" t="n">
        <x:v>45728</x:v>
      </x:c>
      <x:c r="D24" s="86" t="str">
        <x:v>Dia útil</x:v>
      </x:c>
      <x:c r="E24" s="86" t="n">
        <x:v>6</x:v>
      </x:c>
      <x:c r="F24" s="99" t="n">
        <x:v>0.5</x:v>
      </x:c>
      <x:c r="G24" s="91" t="n">
        <x:v>201.84</x:v>
      </x:c>
      <x:c r="H24" s="86" t="n">
        <x:v>1</x:v>
      </x:c>
      <x:c r="I24" s="87" t="n">
        <x:v>4</x:v>
      </x:c>
    </x:row>
    <x:row r="25">
      <x:c r="A25" s="85" t="n">
        <x:v>24</x:v>
      </x:c>
      <x:c r="B25" s="86" t="n">
        <x:v>349</x:v>
      </x:c>
      <x:c r="C25" s="95" t="n">
        <x:v>45508</x:v>
      </x:c>
      <x:c r="D25" s="86" t="str">
        <x:v>Domingo/Feriado</x:v>
      </x:c>
      <x:c r="E25" s="86" t="n">
        <x:v>4</x:v>
      </x:c>
      <x:c r="F25" s="99" t="n">
        <x:v>1</x:v>
      </x:c>
      <x:c r="G25" s="91" t="n">
        <x:v>233.76</x:v>
      </x:c>
      <x:c r="H25" s="86" t="n">
        <x:v>1</x:v>
      </x:c>
      <x:c r="I25" s="87" t="n">
        <x:v>9</x:v>
      </x:c>
    </x:row>
    <x:row r="26">
      <x:c r="A26" s="85" t="n">
        <x:v>25</x:v>
      </x:c>
      <x:c r="B26" s="86" t="n">
        <x:v>117</x:v>
      </x:c>
      <x:c r="C26" s="95" t="n">
        <x:v>45776</x:v>
      </x:c>
      <x:c r="D26" s="86" t="str">
        <x:v>Dia útil</x:v>
      </x:c>
      <x:c r="E26" s="86" t="n">
        <x:v>8</x:v>
      </x:c>
      <x:c r="F26" s="99" t="n">
        <x:v>0.5</x:v>
      </x:c>
      <x:c r="G26" s="91" t="n">
        <x:v>417.74</x:v>
      </x:c>
      <x:c r="H26" s="86" t="n">
        <x:v>1</x:v>
      </x:c>
      <x:c r="I26" s="87" t="n">
        <x:v>5</x:v>
      </x:c>
    </x:row>
    <x:row r="27">
      <x:c r="A27" s="85" t="n">
        <x:v>26</x:v>
      </x:c>
      <x:c r="B27" s="86" t="n">
        <x:v>402</x:v>
      </x:c>
      <x:c r="C27" s="95" t="n">
        <x:v>45785</x:v>
      </x:c>
      <x:c r="D27" s="86" t="str">
        <x:v>Dia útil</x:v>
      </x:c>
      <x:c r="E27" s="86" t="n">
        <x:v>6</x:v>
      </x:c>
      <x:c r="F27" s="99" t="n">
        <x:v>0.5</x:v>
      </x:c>
      <x:c r="G27" s="91" t="n">
        <x:v>143.5</x:v>
      </x:c>
      <x:c r="H27" s="86" t="n">
        <x:v>1</x:v>
      </x:c>
      <x:c r="I27" s="87" t="n">
        <x:v>1</x:v>
      </x:c>
    </x:row>
    <x:row r="28">
      <x:c r="A28" s="85" t="n">
        <x:v>27</x:v>
      </x:c>
      <x:c r="B28" s="86" t="n">
        <x:v>360</x:v>
      </x:c>
      <x:c r="C28" s="95" t="n">
        <x:v>45528</x:v>
      </x:c>
      <x:c r="D28" s="86" t="str">
        <x:v>Dia útil</x:v>
      </x:c>
      <x:c r="E28" s="86" t="n">
        <x:v>2</x:v>
      </x:c>
      <x:c r="F28" s="99" t="n">
        <x:v>0.5</x:v>
      </x:c>
      <x:c r="G28" s="91" t="n">
        <x:v>61.33</x:v>
      </x:c>
      <x:c r="H28" s="86" t="n">
        <x:v>1</x:v>
      </x:c>
      <x:c r="I28" s="87" t="n">
        <x:v>2</x:v>
      </x:c>
    </x:row>
    <x:row r="29">
      <x:c r="A29" s="85" t="n">
        <x:v>28</x:v>
      </x:c>
      <x:c r="B29" s="86" t="n">
        <x:v>236</x:v>
      </x:c>
      <x:c r="C29" s="95" t="n">
        <x:v>45688</x:v>
      </x:c>
      <x:c r="D29" s="86" t="str">
        <x:v>Domingo/Feriado</x:v>
      </x:c>
      <x:c r="E29" s="86" t="n">
        <x:v>1</x:v>
      </x:c>
      <x:c r="F29" s="99" t="n">
        <x:v>1</x:v>
      </x:c>
      <x:c r="G29" s="91" t="n">
        <x:v>74.31</x:v>
      </x:c>
      <x:c r="H29" s="86" t="n">
        <x:v>1</x:v>
      </x:c>
      <x:c r="I29" s="87" t="n">
        <x:v>5</x:v>
      </x:c>
    </x:row>
    <x:row r="30">
      <x:c r="A30" s="85" t="n">
        <x:v>29</x:v>
      </x:c>
      <x:c r="B30" s="86" t="n">
        <x:v>173</x:v>
      </x:c>
      <x:c r="C30" s="95" t="n">
        <x:v>45731</x:v>
      </x:c>
      <x:c r="D30" s="86" t="str">
        <x:v>Dia útil</x:v>
      </x:c>
      <x:c r="E30" s="86" t="n">
        <x:v>6</x:v>
      </x:c>
      <x:c r="F30" s="99" t="n">
        <x:v>0.5</x:v>
      </x:c>
      <x:c r="G30" s="91" t="n">
        <x:v>302.2</x:v>
      </x:c>
      <x:c r="H30" s="86" t="n">
        <x:v>1</x:v>
      </x:c>
      <x:c r="I30" s="87" t="n">
        <x:v>8</x:v>
      </x:c>
    </x:row>
    <x:row r="31">
      <x:c r="A31" s="85" t="n">
        <x:v>30</x:v>
      </x:c>
      <x:c r="B31" s="86" t="n">
        <x:v>27</x:v>
      </x:c>
      <x:c r="C31" s="95" t="n">
        <x:v>45740</x:v>
      </x:c>
      <x:c r="D31" s="86" t="str">
        <x:v>Domingo/Feriado</x:v>
      </x:c>
      <x:c r="E31" s="86" t="n">
        <x:v>1</x:v>
      </x:c>
      <x:c r="F31" s="99" t="n">
        <x:v>1</x:v>
      </x:c>
      <x:c r="G31" s="91" t="n">
        <x:v>43.38</x:v>
      </x:c>
      <x:c r="H31" s="86" t="n">
        <x:v>1</x:v>
      </x:c>
      <x:c r="I31" s="87" t="n">
        <x:v>4</x:v>
      </x:c>
    </x:row>
    <x:row r="32">
      <x:c r="A32" s="85" t="n">
        <x:v>31</x:v>
      </x:c>
      <x:c r="B32" s="86" t="n">
        <x:v>198</x:v>
      </x:c>
      <x:c r="C32" s="95" t="n">
        <x:v>45817</x:v>
      </x:c>
      <x:c r="D32" s="86" t="str">
        <x:v>Sábado</x:v>
      </x:c>
      <x:c r="E32" s="86" t="n">
        <x:v>1</x:v>
      </x:c>
      <x:c r="F32" s="99" t="n">
        <x:v>0.75</x:v>
      </x:c>
      <x:c r="G32" s="91" t="n">
        <x:v>72.92</x:v>
      </x:c>
      <x:c r="H32" s="86" t="n">
        <x:v>1</x:v>
      </x:c>
      <x:c r="I32" s="87" t="n">
        <x:v>5</x:v>
      </x:c>
    </x:row>
    <x:row r="33">
      <x:c r="A33" s="85" t="n">
        <x:v>32</x:v>
      </x:c>
      <x:c r="B33" s="86" t="n">
        <x:v>264</x:v>
      </x:c>
      <x:c r="C33" s="95" t="n">
        <x:v>45523</x:v>
      </x:c>
      <x:c r="D33" s="86" t="str">
        <x:v>Dia útil</x:v>
      </x:c>
      <x:c r="E33" s="86" t="n">
        <x:v>2</x:v>
      </x:c>
      <x:c r="F33" s="99" t="n">
        <x:v>0.5</x:v>
      </x:c>
      <x:c r="G33" s="91" t="n">
        <x:v>67.28</x:v>
      </x:c>
      <x:c r="H33" s="86" t="n">
        <x:v>1</x:v>
      </x:c>
      <x:c r="I33" s="87" t="n">
        <x:v>4</x:v>
      </x:c>
    </x:row>
    <x:row r="34">
      <x:c r="A34" s="85" t="n">
        <x:v>33</x:v>
      </x:c>
      <x:c r="B34" s="86" t="n">
        <x:v>143</x:v>
      </x:c>
      <x:c r="C34" s="95" t="n">
        <x:v>45763</x:v>
      </x:c>
      <x:c r="D34" s="86" t="str">
        <x:v>Domingo/Feriado</x:v>
      </x:c>
      <x:c r="E34" s="86" t="n">
        <x:v>3</x:v>
      </x:c>
      <x:c r="F34" s="99" t="n">
        <x:v>1</x:v>
      </x:c>
      <x:c r="G34" s="91" t="n">
        <x:v>182.8</x:v>
      </x:c>
      <x:c r="H34" s="86" t="n">
        <x:v>1</x:v>
      </x:c>
      <x:c r="I34" s="87" t="n">
        <x:v>4</x:v>
      </x:c>
    </x:row>
    <x:row r="35">
      <x:c r="A35" s="85" t="n">
        <x:v>34</x:v>
      </x:c>
      <x:c r="B35" s="86" t="n">
        <x:v>83</x:v>
      </x:c>
      <x:c r="C35" s="95" t="n">
        <x:v>45768</x:v>
      </x:c>
      <x:c r="D35" s="86" t="str">
        <x:v>Sábado</x:v>
      </x:c>
      <x:c r="E35" s="86" t="n">
        <x:v>4</x:v>
      </x:c>
      <x:c r="F35" s="99" t="n">
        <x:v>0.75</x:v>
      </x:c>
      <x:c r="G35" s="91" t="n">
        <x:v>72.87</x:v>
      </x:c>
      <x:c r="H35" s="86" t="n">
        <x:v>1</x:v>
      </x:c>
      <x:c r="I35" s="87" t="n">
        <x:v>1</x:v>
      </x:c>
    </x:row>
    <x:row r="36">
      <x:c r="A36" s="85" t="n">
        <x:v>35</x:v>
      </x:c>
      <x:c r="B36" s="86" t="n">
        <x:v>247</x:v>
      </x:c>
      <x:c r="C36" s="95" t="n">
        <x:v>45990</x:v>
      </x:c>
      <x:c r="D36" s="86" t="str">
        <x:v>Dia útil</x:v>
      </x:c>
      <x:c r="E36" s="86" t="n">
        <x:v>6</x:v>
      </x:c>
      <x:c r="F36" s="99" t="n">
        <x:v>0.5</x:v>
      </x:c>
      <x:c r="G36" s="91" t="n">
        <x:v>137.89</x:v>
      </x:c>
      <x:c r="H36" s="86" t="n">
        <x:v>1</x:v>
      </x:c>
      <x:c r="I36" s="87" t="n">
        <x:v>3</x:v>
      </x:c>
    </x:row>
    <x:row r="37">
      <x:c r="A37" s="85" t="n">
        <x:v>36</x:v>
      </x:c>
      <x:c r="B37" s="86" t="n">
        <x:v>402</x:v>
      </x:c>
      <x:c r="C37" s="95" t="n">
        <x:v>45713</x:v>
      </x:c>
      <x:c r="D37" s="86" t="str">
        <x:v>Domingo/Feriado</x:v>
      </x:c>
      <x:c r="E37" s="86" t="n">
        <x:v>3</x:v>
      </x:c>
      <x:c r="F37" s="99" t="n">
        <x:v>1</x:v>
      </x:c>
      <x:c r="G37" s="91" t="n">
        <x:v>95.67</x:v>
      </x:c>
      <x:c r="H37" s="86" t="n">
        <x:v>1</x:v>
      </x:c>
      <x:c r="I37" s="87" t="n">
        <x:v>1</x:v>
      </x:c>
    </x:row>
    <x:row r="38">
      <x:c r="A38" s="85" t="n">
        <x:v>37</x:v>
      </x:c>
      <x:c r="B38" s="86" t="n">
        <x:v>143</x:v>
      </x:c>
      <x:c r="C38" s="95" t="n">
        <x:v>45931</x:v>
      </x:c>
      <x:c r="D38" s="86" t="str">
        <x:v>Sábado</x:v>
      </x:c>
      <x:c r="E38" s="86" t="n">
        <x:v>8</x:v>
      </x:c>
      <x:c r="F38" s="99" t="n">
        <x:v>0.75</x:v>
      </x:c>
      <x:c r="G38" s="91" t="n">
        <x:v>426.54</x:v>
      </x:c>
      <x:c r="H38" s="86" t="n">
        <x:v>1</x:v>
      </x:c>
      <x:c r="I38" s="87" t="n">
        <x:v>4</x:v>
      </x:c>
    </x:row>
    <x:row r="39">
      <x:c r="A39" s="85" t="n">
        <x:v>38</x:v>
      </x:c>
      <x:c r="B39" s="86" t="n">
        <x:v>113</x:v>
      </x:c>
      <x:c r="C39" s="95" t="n">
        <x:v>45769</x:v>
      </x:c>
      <x:c r="D39" s="86" t="str">
        <x:v>Dia útil</x:v>
      </x:c>
      <x:c r="E39" s="86" t="n">
        <x:v>4</x:v>
      </x:c>
      <x:c r="F39" s="99" t="n">
        <x:v>0.5</x:v>
      </x:c>
      <x:c r="G39" s="91" t="n">
        <x:v>89.39</x:v>
      </x:c>
      <x:c r="H39" s="86" t="n">
        <x:v>1</x:v>
      </x:c>
      <x:c r="I39" s="87" t="n">
        <x:v>1</x:v>
      </x:c>
    </x:row>
    <x:row r="40">
      <x:c r="A40" s="85" t="n">
        <x:v>39</x:v>
      </x:c>
      <x:c r="B40" s="86" t="n">
        <x:v>405</x:v>
      </x:c>
      <x:c r="C40" s="95" t="n">
        <x:v>45678</x:v>
      </x:c>
      <x:c r="D40" s="86" t="str">
        <x:v>Dia útil</x:v>
      </x:c>
      <x:c r="E40" s="86" t="n">
        <x:v>8</x:v>
      </x:c>
      <x:c r="F40" s="99" t="n">
        <x:v>0.5</x:v>
      </x:c>
      <x:c r="G40" s="91" t="n">
        <x:v>417.31</x:v>
      </x:c>
      <x:c r="H40" s="86" t="n">
        <x:v>1</x:v>
      </x:c>
      <x:c r="I40" s="87" t="n">
        <x:v>10</x:v>
      </x:c>
    </x:row>
    <x:row r="41">
      <x:c r="A41" s="85" t="n">
        <x:v>40</x:v>
      </x:c>
      <x:c r="B41" s="86" t="n">
        <x:v>330</x:v>
      </x:c>
      <x:c r="C41" s="95" t="n">
        <x:v>45756</x:v>
      </x:c>
      <x:c r="D41" s="86" t="str">
        <x:v>Dia útil</x:v>
      </x:c>
      <x:c r="E41" s="86" t="n">
        <x:v>6</x:v>
      </x:c>
      <x:c r="F41" s="99" t="n">
        <x:v>0.5</x:v>
      </x:c>
      <x:c r="G41" s="91" t="n">
        <x:v>124.18</x:v>
      </x:c>
      <x:c r="H41" s="86" t="n">
        <x:v>1</x:v>
      </x:c>
      <x:c r="I41" s="87" t="n">
        <x:v>1</x:v>
      </x:c>
    </x:row>
    <x:row r="42">
      <x:c r="A42" s="85" t="n">
        <x:v>41</x:v>
      </x:c>
      <x:c r="B42" s="86" t="n">
        <x:v>28</x:v>
      </x:c>
      <x:c r="C42" s="95" t="n">
        <x:v>45712</x:v>
      </x:c>
      <x:c r="D42" s="86" t="str">
        <x:v>Dia útil</x:v>
      </x:c>
      <x:c r="E42" s="86" t="n">
        <x:v>8</x:v>
      </x:c>
      <x:c r="F42" s="99" t="n">
        <x:v>0.5</x:v>
      </x:c>
      <x:c r="G42" s="91" t="n">
        <x:v>164.64</x:v>
      </x:c>
      <x:c r="H42" s="86" t="n">
        <x:v>1</x:v>
      </x:c>
      <x:c r="I42" s="87" t="n">
        <x:v>1</x:v>
      </x:c>
    </x:row>
    <x:row r="43">
      <x:c r="A43" s="85" t="n">
        <x:v>42</x:v>
      </x:c>
      <x:c r="B43" s="86" t="n">
        <x:v>235</x:v>
      </x:c>
      <x:c r="C43" s="95" t="n">
        <x:v>45730</x:v>
      </x:c>
      <x:c r="D43" s="86" t="str">
        <x:v>Domingo/Feriado</x:v>
      </x:c>
      <x:c r="E43" s="86" t="n">
        <x:v>4</x:v>
      </x:c>
      <x:c r="F43" s="99" t="n">
        <x:v>1</x:v>
      </x:c>
      <x:c r="G43" s="91" t="n">
        <x:v>111.22</x:v>
      </x:c>
      <x:c r="H43" s="86" t="n">
        <x:v>1</x:v>
      </x:c>
      <x:c r="I43" s="87" t="n">
        <x:v>1</x:v>
      </x:c>
    </x:row>
    <x:row r="44">
      <x:c r="A44" s="85" t="n">
        <x:v>43</x:v>
      </x:c>
      <x:c r="B44" s="86" t="n">
        <x:v>206</x:v>
      </x:c>
      <x:c r="C44" s="95" t="n">
        <x:v>45417</x:v>
      </x:c>
      <x:c r="D44" s="86" t="str">
        <x:v>Sábado</x:v>
      </x:c>
      <x:c r="E44" s="86" t="n">
        <x:v>1</x:v>
      </x:c>
      <x:c r="F44" s="99" t="n">
        <x:v>0.75</x:v>
      </x:c>
      <x:c r="G44" s="91" t="n">
        <x:v>43.74</x:v>
      </x:c>
      <x:c r="H44" s="86" t="n">
        <x:v>1</x:v>
      </x:c>
      <x:c r="I44" s="87" t="n">
        <x:v>6</x:v>
      </x:c>
    </x:row>
    <x:row r="45">
      <x:c r="A45" s="85" t="n">
        <x:v>44</x:v>
      </x:c>
      <x:c r="B45" s="86" t="n">
        <x:v>300</x:v>
      </x:c>
      <x:c r="C45" s="95" t="n">
        <x:v>45782</x:v>
      </x:c>
      <x:c r="D45" s="86" t="str">
        <x:v>Dia útil</x:v>
      </x:c>
      <x:c r="E45" s="86" t="n">
        <x:v>2</x:v>
      </x:c>
      <x:c r="F45" s="99" t="n">
        <x:v>0.5</x:v>
      </x:c>
      <x:c r="G45" s="91" t="n">
        <x:v>67.86</x:v>
      </x:c>
      <x:c r="H45" s="86" t="n">
        <x:v>1</x:v>
      </x:c>
      <x:c r="I45" s="87" t="n">
        <x:v>8</x:v>
      </x:c>
    </x:row>
    <x:row r="46">
      <x:c r="A46" s="85" t="n">
        <x:v>45</x:v>
      </x:c>
      <x:c r="B46" s="86" t="n">
        <x:v>392</x:v>
      </x:c>
      <x:c r="C46" s="95" t="n">
        <x:v>45629</x:v>
      </x:c>
      <x:c r="D46" s="86" t="str">
        <x:v>Sábado</x:v>
      </x:c>
      <x:c r="E46" s="86" t="n">
        <x:v>4</x:v>
      </x:c>
      <x:c r="F46" s="99" t="n">
        <x:v>0.75</x:v>
      </x:c>
      <x:c r="G46" s="91" t="n">
        <x:v>208.1</x:v>
      </x:c>
      <x:c r="H46" s="86" t="n">
        <x:v>1</x:v>
      </x:c>
      <x:c r="I46" s="87" t="n">
        <x:v>7</x:v>
      </x:c>
    </x:row>
    <x:row r="47">
      <x:c r="A47" s="85" t="n">
        <x:v>46</x:v>
      </x:c>
      <x:c r="B47" s="86" t="n">
        <x:v>59</x:v>
      </x:c>
      <x:c r="C47" s="95" t="n">
        <x:v>45638</x:v>
      </x:c>
      <x:c r="D47" s="86" t="str">
        <x:v>Dia útil</x:v>
      </x:c>
      <x:c r="E47" s="86" t="n">
        <x:v>8</x:v>
      </x:c>
      <x:c r="F47" s="99" t="n">
        <x:v>0.5</x:v>
      </x:c>
      <x:c r="G47" s="91" t="n">
        <x:v>319.4</x:v>
      </x:c>
      <x:c r="H47" s="86" t="n">
        <x:v>1</x:v>
      </x:c>
      <x:c r="I47" s="87" t="n">
        <x:v>9</x:v>
      </x:c>
    </x:row>
    <x:row r="48">
      <x:c r="A48" s="85" t="n">
        <x:v>47</x:v>
      </x:c>
      <x:c r="B48" s="86" t="n">
        <x:v>279</x:v>
      </x:c>
      <x:c r="C48" s="95" t="n">
        <x:v>45856</x:v>
      </x:c>
      <x:c r="D48" s="86" t="str">
        <x:v>Dia útil</x:v>
      </x:c>
      <x:c r="E48" s="86" t="n">
        <x:v>1</x:v>
      </x:c>
      <x:c r="F48" s="99" t="n">
        <x:v>0.5</x:v>
      </x:c>
      <x:c r="G48" s="91" t="n">
        <x:v>56.35</x:v>
      </x:c>
      <x:c r="H48" s="86" t="n">
        <x:v>0</x:v>
      </x:c>
      <x:c r="I48" s="87" t="n">
        <x:v>6</x:v>
      </x:c>
    </x:row>
    <x:row r="49">
      <x:c r="A49" s="85" t="n">
        <x:v>48</x:v>
      </x:c>
      <x:c r="B49" s="86" t="n">
        <x:v>394</x:v>
      </x:c>
      <x:c r="C49" s="95" t="n">
        <x:v>45974</x:v>
      </x:c>
      <x:c r="D49" s="86" t="str">
        <x:v>Sábado</x:v>
      </x:c>
      <x:c r="E49" s="86" t="n">
        <x:v>8</x:v>
      </x:c>
      <x:c r="F49" s="99" t="n">
        <x:v>0.75</x:v>
      </x:c>
      <x:c r="G49" s="91" t="n">
        <x:v>392.67</x:v>
      </x:c>
      <x:c r="H49" s="86" t="n">
        <x:v>1</x:v>
      </x:c>
      <x:c r="I49" s="87" t="n">
        <x:v>9</x:v>
      </x:c>
    </x:row>
    <x:row r="50">
      <x:c r="A50" s="85" t="n">
        <x:v>49</x:v>
      </x:c>
      <x:c r="B50" s="86" t="n">
        <x:v>237</x:v>
      </x:c>
      <x:c r="C50" s="95" t="n">
        <x:v>45780</x:v>
      </x:c>
      <x:c r="D50" s="86" t="str">
        <x:v>Sábado</x:v>
      </x:c>
      <x:c r="E50" s="86" t="n">
        <x:v>3</x:v>
      </x:c>
      <x:c r="F50" s="99" t="n">
        <x:v>0.75</x:v>
      </x:c>
      <x:c r="G50" s="91" t="n">
        <x:v>221.93</x:v>
      </x:c>
      <x:c r="H50" s="86" t="n">
        <x:v>1</x:v>
      </x:c>
      <x:c r="I50" s="87" t="n">
        <x:v>4</x:v>
      </x:c>
    </x:row>
    <x:row r="51">
      <x:c r="A51" s="85" t="n">
        <x:v>50</x:v>
      </x:c>
      <x:c r="B51" s="86" t="n">
        <x:v>234</x:v>
      </x:c>
      <x:c r="C51" s="95" t="n">
        <x:v>45846</x:v>
      </x:c>
      <x:c r="D51" s="86" t="str">
        <x:v>Dia útil</x:v>
      </x:c>
      <x:c r="E51" s="86" t="n">
        <x:v>8</x:v>
      </x:c>
      <x:c r="F51" s="99" t="n">
        <x:v>0.5</x:v>
      </x:c>
      <x:c r="G51" s="91" t="n">
        <x:v>132.86</x:v>
      </x:c>
      <x:c r="H51" s="86" t="n">
        <x:v>1</x:v>
      </x:c>
      <x:c r="I51" s="87" t="n">
        <x:v>1</x:v>
      </x:c>
    </x:row>
    <x:row r="52">
      <x:c r="A52" s="85" t="n">
        <x:v>51</x:v>
      </x:c>
      <x:c r="B52" s="86" t="n">
        <x:v>248</x:v>
      </x:c>
      <x:c r="C52" s="95" t="n">
        <x:v>45797</x:v>
      </x:c>
      <x:c r="D52" s="86" t="str">
        <x:v>Sábado</x:v>
      </x:c>
      <x:c r="E52" s="86" t="n">
        <x:v>1</x:v>
      </x:c>
      <x:c r="F52" s="99" t="n">
        <x:v>0.75</x:v>
      </x:c>
      <x:c r="G52" s="91" t="n">
        <x:v>18.08</x:v>
      </x:c>
      <x:c r="H52" s="86" t="n">
        <x:v>1</x:v>
      </x:c>
      <x:c r="I52" s="87" t="n">
        <x:v>1</x:v>
      </x:c>
    </x:row>
    <x:row r="53">
      <x:c r="A53" s="85" t="n">
        <x:v>52</x:v>
      </x:c>
      <x:c r="B53" s="86" t="n">
        <x:v>322</x:v>
      </x:c>
      <x:c r="C53" s="95" t="n">
        <x:v>46022</x:v>
      </x:c>
      <x:c r="D53" s="86" t="str">
        <x:v>Dia útil</x:v>
      </x:c>
      <x:c r="E53" s="86" t="n">
        <x:v>1</x:v>
      </x:c>
      <x:c r="F53" s="99" t="n">
        <x:v>0.5</x:v>
      </x:c>
      <x:c r="G53" s="91" t="n">
        <x:v>31.25</x:v>
      </x:c>
      <x:c r="H53" s="86" t="n">
        <x:v>1</x:v>
      </x:c>
      <x:c r="I53" s="87" t="n">
        <x:v>7</x:v>
      </x:c>
    </x:row>
    <x:row r="54">
      <x:c r="A54" s="85" t="n">
        <x:v>53</x:v>
      </x:c>
      <x:c r="B54" s="86" t="n">
        <x:v>298</x:v>
      </x:c>
      <x:c r="C54" s="95" t="n">
        <x:v>45454</x:v>
      </x:c>
      <x:c r="D54" s="86" t="str">
        <x:v>Dia útil</x:v>
      </x:c>
      <x:c r="E54" s="86" t="n">
        <x:v>4</x:v>
      </x:c>
      <x:c r="F54" s="99" t="n">
        <x:v>0.5</x:v>
      </x:c>
      <x:c r="G54" s="91" t="n">
        <x:v>81.16</x:v>
      </x:c>
      <x:c r="H54" s="86" t="n">
        <x:v>1</x:v>
      </x:c>
      <x:c r="I54" s="87" t="n">
        <x:v>8</x:v>
      </x:c>
    </x:row>
    <x:row r="55">
      <x:c r="A55" s="85" t="n">
        <x:v>54</x:v>
      </x:c>
      <x:c r="B55" s="86" t="n">
        <x:v>156</x:v>
      </x:c>
      <x:c r="C55" s="95" t="n">
        <x:v>45871</x:v>
      </x:c>
      <x:c r="D55" s="86" t="str">
        <x:v>Dia útil</x:v>
      </x:c>
      <x:c r="E55" s="86" t="n">
        <x:v>6</x:v>
      </x:c>
      <x:c r="F55" s="99" t="n">
        <x:v>0.5</x:v>
      </x:c>
      <x:c r="G55" s="91" t="n">
        <x:v>685.45</x:v>
      </x:c>
      <x:c r="H55" s="86" t="n">
        <x:v>1</x:v>
      </x:c>
      <x:c r="I55" s="87" t="n">
        <x:v>7</x:v>
      </x:c>
    </x:row>
    <x:row r="56">
      <x:c r="A56" s="85" t="n">
        <x:v>55</x:v>
      </x:c>
      <x:c r="B56" s="86" t="n">
        <x:v>295</x:v>
      </x:c>
      <x:c r="C56" s="95" t="n">
        <x:v>45919</x:v>
      </x:c>
      <x:c r="D56" s="86" t="str">
        <x:v>Dia útil</x:v>
      </x:c>
      <x:c r="E56" s="86" t="n">
        <x:v>1</x:v>
      </x:c>
      <x:c r="F56" s="99" t="n">
        <x:v>0.5</x:v>
      </x:c>
      <x:c r="G56" s="91" t="n">
        <x:v>50.02</x:v>
      </x:c>
      <x:c r="H56" s="86" t="n">
        <x:v>1</x:v>
      </x:c>
      <x:c r="I56" s="87" t="n">
        <x:v>9</x:v>
      </x:c>
    </x:row>
    <x:row r="57">
      <x:c r="A57" s="85" t="n">
        <x:v>56</x:v>
      </x:c>
      <x:c r="B57" s="86" t="n">
        <x:v>137</x:v>
      </x:c>
      <x:c r="C57" s="95" t="n">
        <x:v>45905</x:v>
      </x:c>
      <x:c r="D57" s="86" t="str">
        <x:v>Dia útil</x:v>
      </x:c>
      <x:c r="E57" s="86" t="n">
        <x:v>4</x:v>
      </x:c>
      <x:c r="F57" s="99" t="n">
        <x:v>0.5</x:v>
      </x:c>
      <x:c r="G57" s="91" t="n">
        <x:v>209.63</x:v>
      </x:c>
      <x:c r="H57" s="86" t="n">
        <x:v>1</x:v>
      </x:c>
      <x:c r="I57" s="87" t="n">
        <x:v>10</x:v>
      </x:c>
    </x:row>
    <x:row r="58">
      <x:c r="A58" s="85" t="n">
        <x:v>57</x:v>
      </x:c>
      <x:c r="B58" s="86" t="n">
        <x:v>366</x:v>
      </x:c>
      <x:c r="C58" s="95" t="n">
        <x:v>45851</x:v>
      </x:c>
      <x:c r="D58" s="86" t="str">
        <x:v>Sábado</x:v>
      </x:c>
      <x:c r="E58" s="86" t="n">
        <x:v>8</x:v>
      </x:c>
      <x:c r="F58" s="99" t="n">
        <x:v>0.75</x:v>
      </x:c>
      <x:c r="G58" s="91" t="n">
        <x:v>150.32</x:v>
      </x:c>
      <x:c r="H58" s="86" t="n">
        <x:v>1</x:v>
      </x:c>
      <x:c r="I58" s="87" t="n">
        <x:v>1</x:v>
      </x:c>
    </x:row>
    <x:row r="59">
      <x:c r="A59" s="85" t="n">
        <x:v>58</x:v>
      </x:c>
      <x:c r="B59" s="86" t="n">
        <x:v>92</x:v>
      </x:c>
      <x:c r="C59" s="95" t="n">
        <x:v>45691</x:v>
      </x:c>
      <x:c r="D59" s="86" t="str">
        <x:v>Sábado</x:v>
      </x:c>
      <x:c r="E59" s="86" t="n">
        <x:v>4</x:v>
      </x:c>
      <x:c r="F59" s="99" t="n">
        <x:v>0.75</x:v>
      </x:c>
      <x:c r="G59" s="91" t="n">
        <x:v>298.42</x:v>
      </x:c>
      <x:c r="H59" s="86" t="n">
        <x:v>1</x:v>
      </x:c>
      <x:c r="I59" s="87" t="n">
        <x:v>9</x:v>
      </x:c>
    </x:row>
    <x:row r="60">
      <x:c r="A60" s="85" t="n">
        <x:v>59</x:v>
      </x:c>
      <x:c r="B60" s="86" t="n">
        <x:v>292</x:v>
      </x:c>
      <x:c r="C60" s="95" t="n">
        <x:v>45855</x:v>
      </x:c>
      <x:c r="D60" s="86" t="str">
        <x:v>Dia útil</x:v>
      </x:c>
      <x:c r="E60" s="86" t="n">
        <x:v>4</x:v>
      </x:c>
      <x:c r="F60" s="99" t="n">
        <x:v>0.5</x:v>
      </x:c>
      <x:c r="G60" s="91" t="n">
        <x:v>178.97</x:v>
      </x:c>
      <x:c r="H60" s="86" t="n">
        <x:v>1</x:v>
      </x:c>
      <x:c r="I60" s="87" t="n">
        <x:v>7</x:v>
      </x:c>
    </x:row>
    <x:row r="61">
      <x:c r="A61" s="85" t="n">
        <x:v>60</x:v>
      </x:c>
      <x:c r="B61" s="86" t="n">
        <x:v>222</x:v>
      </x:c>
      <x:c r="C61" s="95" t="n">
        <x:v>45887</x:v>
      </x:c>
      <x:c r="D61" s="86" t="str">
        <x:v>Dia útil</x:v>
      </x:c>
      <x:c r="E61" s="86" t="n">
        <x:v>3</x:v>
      </x:c>
      <x:c r="F61" s="99" t="n">
        <x:v>0.5</x:v>
      </x:c>
      <x:c r="G61" s="91" t="n">
        <x:v>143.72</x:v>
      </x:c>
      <x:c r="H61" s="86" t="n">
        <x:v>1</x:v>
      </x:c>
      <x:c r="I61" s="87" t="n">
        <x:v>6</x:v>
      </x:c>
    </x:row>
    <x:row r="62">
      <x:c r="A62" s="85" t="n">
        <x:v>61</x:v>
      </x:c>
      <x:c r="B62" s="86" t="n">
        <x:v>161</x:v>
      </x:c>
      <x:c r="C62" s="95" t="n">
        <x:v>45906</x:v>
      </x:c>
      <x:c r="D62" s="86" t="str">
        <x:v>Dia útil</x:v>
      </x:c>
      <x:c r="E62" s="86" t="n">
        <x:v>2</x:v>
      </x:c>
      <x:c r="F62" s="99" t="n">
        <x:v>0.5</x:v>
      </x:c>
      <x:c r="G62" s="91" t="n">
        <x:v>43.7</x:v>
      </x:c>
      <x:c r="H62" s="86" t="n">
        <x:v>1</x:v>
      </x:c>
      <x:c r="I62" s="87" t="n">
        <x:v>1</x:v>
      </x:c>
    </x:row>
    <x:row r="63">
      <x:c r="A63" s="85" t="n">
        <x:v>62</x:v>
      </x:c>
      <x:c r="B63" s="86" t="n">
        <x:v>169</x:v>
      </x:c>
      <x:c r="C63" s="95" t="n">
        <x:v>45752</x:v>
      </x:c>
      <x:c r="D63" s="86" t="str">
        <x:v>Dia útil</x:v>
      </x:c>
      <x:c r="E63" s="86" t="n">
        <x:v>6</x:v>
      </x:c>
      <x:c r="F63" s="99" t="n">
        <x:v>0.5</x:v>
      </x:c>
      <x:c r="G63" s="91" t="n">
        <x:v>295.13</x:v>
      </x:c>
      <x:c r="H63" s="86" t="n">
        <x:v>1</x:v>
      </x:c>
      <x:c r="I63" s="87" t="n">
        <x:v>10</x:v>
      </x:c>
    </x:row>
    <x:row r="64">
      <x:c r="A64" s="85" t="n">
        <x:v>63</x:v>
      </x:c>
      <x:c r="B64" s="86" t="n">
        <x:v>115</x:v>
      </x:c>
      <x:c r="C64" s="95" t="n">
        <x:v>45888</x:v>
      </x:c>
      <x:c r="D64" s="86" t="str">
        <x:v>Sábado</x:v>
      </x:c>
      <x:c r="E64" s="86" t="n">
        <x:v>1</x:v>
      </x:c>
      <x:c r="F64" s="99" t="n">
        <x:v>0.75</x:v>
      </x:c>
      <x:c r="G64" s="91" t="n">
        <x:v>43.7</x:v>
      </x:c>
      <x:c r="H64" s="86" t="n">
        <x:v>1</x:v>
      </x:c>
      <x:c r="I64" s="87" t="n">
        <x:v>4</x:v>
      </x:c>
    </x:row>
    <x:row r="65">
      <x:c r="A65" s="85" t="n">
        <x:v>64</x:v>
      </x:c>
      <x:c r="B65" s="86" t="n">
        <x:v>274</x:v>
      </x:c>
      <x:c r="C65" s="95" t="n">
        <x:v>46004</x:v>
      </x:c>
      <x:c r="D65" s="86" t="str">
        <x:v>Dia útil</x:v>
      </x:c>
      <x:c r="E65" s="86" t="n">
        <x:v>4</x:v>
      </x:c>
      <x:c r="F65" s="99" t="n">
        <x:v>0.5</x:v>
      </x:c>
      <x:c r="G65" s="91" t="n">
        <x:v>154.72</x:v>
      </x:c>
      <x:c r="H65" s="86" t="n">
        <x:v>1</x:v>
      </x:c>
      <x:c r="I65" s="87" t="n">
        <x:v>8</x:v>
      </x:c>
    </x:row>
    <x:row r="66">
      <x:c r="A66" s="85" t="n">
        <x:v>65</x:v>
      </x:c>
      <x:c r="B66" s="86" t="n">
        <x:v>164</x:v>
      </x:c>
      <x:c r="C66" s="95" t="n">
        <x:v>45943</x:v>
      </x:c>
      <x:c r="D66" s="86" t="str">
        <x:v>Sábado</x:v>
      </x:c>
      <x:c r="E66" s="86" t="n">
        <x:v>3</x:v>
      </x:c>
      <x:c r="F66" s="99" t="n">
        <x:v>0.75</x:v>
      </x:c>
      <x:c r="G66" s="91" t="n">
        <x:v>175.29</x:v>
      </x:c>
      <x:c r="H66" s="86" t="n">
        <x:v>1</x:v>
      </x:c>
      <x:c r="I66" s="87" t="n">
        <x:v>10</x:v>
      </x:c>
    </x:row>
    <x:row r="67">
      <x:c r="A67" s="85" t="n">
        <x:v>66</x:v>
      </x:c>
      <x:c r="B67" s="86" t="n">
        <x:v>317</x:v>
      </x:c>
      <x:c r="C67" s="95" t="n">
        <x:v>45530</x:v>
      </x:c>
      <x:c r="D67" s="86" t="str">
        <x:v>Dia útil</x:v>
      </x:c>
      <x:c r="E67" s="86" t="n">
        <x:v>8</x:v>
      </x:c>
      <x:c r="F67" s="99" t="n">
        <x:v>0.5</x:v>
      </x:c>
      <x:c r="G67" s="91" t="n">
        <x:v>400.33</x:v>
      </x:c>
      <x:c r="H67" s="86" t="n">
        <x:v>1</x:v>
      </x:c>
      <x:c r="I67" s="87" t="n">
        <x:v>5</x:v>
      </x:c>
    </x:row>
    <x:row r="68">
      <x:c r="A68" s="85" t="n">
        <x:v>67</x:v>
      </x:c>
      <x:c r="B68" s="86" t="n">
        <x:v>257</x:v>
      </x:c>
      <x:c r="C68" s="95" t="n">
        <x:v>45949</x:v>
      </x:c>
      <x:c r="D68" s="86" t="str">
        <x:v>Dia útil</x:v>
      </x:c>
      <x:c r="E68" s="86" t="n">
        <x:v>6</x:v>
      </x:c>
      <x:c r="F68" s="99" t="n">
        <x:v>0.5</x:v>
      </x:c>
      <x:c r="G68" s="91" t="n">
        <x:v>312.2</x:v>
      </x:c>
      <x:c r="H68" s="86" t="n">
        <x:v>1</x:v>
      </x:c>
      <x:c r="I68" s="87" t="n">
        <x:v>6</x:v>
      </x:c>
    </x:row>
    <x:row r="69">
      <x:c r="A69" s="85" t="n">
        <x:v>68</x:v>
      </x:c>
      <x:c r="B69" s="86" t="n">
        <x:v>296</x:v>
      </x:c>
      <x:c r="C69" s="95" t="n">
        <x:v>45418</x:v>
      </x:c>
      <x:c r="D69" s="86" t="str">
        <x:v>Dia útil</x:v>
      </x:c>
      <x:c r="E69" s="86" t="n">
        <x:v>1</x:v>
      </x:c>
      <x:c r="F69" s="99" t="n">
        <x:v>0.5</x:v>
      </x:c>
      <x:c r="G69" s="91" t="n">
        <x:v>30.68</x:v>
      </x:c>
      <x:c r="H69" s="86" t="n">
        <x:v>1</x:v>
      </x:c>
      <x:c r="I69" s="87" t="n">
        <x:v>3</x:v>
      </x:c>
    </x:row>
    <x:row r="70">
      <x:c r="A70" s="85" t="n">
        <x:v>69</x:v>
      </x:c>
      <x:c r="B70" s="86" t="n">
        <x:v>310</x:v>
      </x:c>
      <x:c r="C70" s="95" t="n">
        <x:v>45963</x:v>
      </x:c>
      <x:c r="D70" s="86" t="str">
        <x:v>Dia útil</x:v>
      </x:c>
      <x:c r="E70" s="86" t="n">
        <x:v>6</x:v>
      </x:c>
      <x:c r="F70" s="99" t="n">
        <x:v>0.5</x:v>
      </x:c>
      <x:c r="G70" s="91" t="n">
        <x:v>111.02</x:v>
      </x:c>
      <x:c r="H70" s="86" t="n">
        <x:v>1</x:v>
      </x:c>
      <x:c r="I70" s="87" t="n">
        <x:v>1</x:v>
      </x:c>
    </x:row>
    <x:row r="71">
      <x:c r="A71" s="85" t="n">
        <x:v>70</x:v>
      </x:c>
      <x:c r="B71" s="86" t="n">
        <x:v>217</x:v>
      </x:c>
      <x:c r="C71" s="95" t="n">
        <x:v>45525</x:v>
      </x:c>
      <x:c r="D71" s="86" t="str">
        <x:v>Sábado</x:v>
      </x:c>
      <x:c r="E71" s="86" t="n">
        <x:v>1</x:v>
      </x:c>
      <x:c r="F71" s="99" t="n">
        <x:v>0.75</x:v>
      </x:c>
      <x:c r="G71" s="91" t="n">
        <x:v>50.02</x:v>
      </x:c>
      <x:c r="H71" s="86" t="n">
        <x:v>1</x:v>
      </x:c>
      <x:c r="I71" s="87" t="n">
        <x:v>9</x:v>
      </x:c>
    </x:row>
    <x:row r="72">
      <x:c r="A72" s="85" t="n">
        <x:v>71</x:v>
      </x:c>
      <x:c r="B72" s="86" t="n">
        <x:v>46</x:v>
      </x:c>
      <x:c r="C72" s="95" t="n">
        <x:v>45508</x:v>
      </x:c>
      <x:c r="D72" s="86" t="str">
        <x:v>Dia útil</x:v>
      </x:c>
      <x:c r="E72" s="86" t="n">
        <x:v>1</x:v>
      </x:c>
      <x:c r="F72" s="99" t="n">
        <x:v>0.5</x:v>
      </x:c>
      <x:c r="G72" s="91" t="n">
        <x:v>19.7</x:v>
      </x:c>
      <x:c r="H72" s="86" t="n">
        <x:v>1</x:v>
      </x:c>
      <x:c r="I72" s="87" t="n">
        <x:v>1</x:v>
      </x:c>
    </x:row>
    <x:row r="73">
      <x:c r="A73" s="85" t="n">
        <x:v>72</x:v>
      </x:c>
      <x:c r="B73" s="86" t="n">
        <x:v>239</x:v>
      </x:c>
      <x:c r="C73" s="95" t="n">
        <x:v>45444</x:v>
      </x:c>
      <x:c r="D73" s="86" t="str">
        <x:v>Dia útil</x:v>
      </x:c>
      <x:c r="E73" s="86" t="n">
        <x:v>3</x:v>
      </x:c>
      <x:c r="F73" s="99" t="n">
        <x:v>0.5</x:v>
      </x:c>
      <x:c r="G73" s="91" t="n">
        <x:v>224.66</x:v>
      </x:c>
      <x:c r="H73" s="86" t="n">
        <x:v>1</x:v>
      </x:c>
      <x:c r="I73" s="87" t="n">
        <x:v>4</x:v>
      </x:c>
    </x:row>
    <x:row r="74">
      <x:c r="A74" s="85" t="n">
        <x:v>73</x:v>
      </x:c>
      <x:c r="B74" s="86" t="n">
        <x:v>147</x:v>
      </x:c>
      <x:c r="C74" s="95" t="n">
        <x:v>45891</x:v>
      </x:c>
      <x:c r="D74" s="86" t="str">
        <x:v>Dia útil</x:v>
      </x:c>
      <x:c r="E74" s="86" t="n">
        <x:v>8</x:v>
      </x:c>
      <x:c r="F74" s="99" t="n">
        <x:v>0.5</x:v>
      </x:c>
      <x:c r="G74" s="91" t="n">
        <x:v>662.5</x:v>
      </x:c>
      <x:c r="H74" s="86" t="n">
        <x:v>1</x:v>
      </x:c>
      <x:c r="I74" s="87" t="n">
        <x:v>7</x:v>
      </x:c>
    </x:row>
    <x:row r="75">
      <x:c r="A75" s="85" t="n">
        <x:v>74</x:v>
      </x:c>
      <x:c r="B75" s="86" t="n">
        <x:v>138</x:v>
      </x:c>
      <x:c r="C75" s="95" t="n">
        <x:v>45934</x:v>
      </x:c>
      <x:c r="D75" s="86" t="str">
        <x:v>Dia útil</x:v>
      </x:c>
      <x:c r="E75" s="86" t="n">
        <x:v>6</x:v>
      </x:c>
      <x:c r="F75" s="99" t="n">
        <x:v>0.5</x:v>
      </x:c>
      <x:c r="G75" s="91" t="n">
        <x:v>237.47</x:v>
      </x:c>
      <x:c r="H75" s="86" t="n">
        <x:v>1</x:v>
      </x:c>
      <x:c r="I75" s="87" t="n">
        <x:v>7</x:v>
      </x:c>
    </x:row>
    <x:row r="76">
      <x:c r="A76" s="85" t="n">
        <x:v>75</x:v>
      </x:c>
      <x:c r="B76" s="86" t="n">
        <x:v>365</x:v>
      </x:c>
      <x:c r="C76" s="95" t="n">
        <x:v>45982</x:v>
      </x:c>
      <x:c r="D76" s="86" t="str">
        <x:v>Dia útil</x:v>
      </x:c>
      <x:c r="E76" s="86" t="n">
        <x:v>6</x:v>
      </x:c>
      <x:c r="F76" s="99" t="n">
        <x:v>0.5</x:v>
      </x:c>
      <x:c r="G76" s="91" t="n">
        <x:v>130.98</x:v>
      </x:c>
      <x:c r="H76" s="86" t="n">
        <x:v>1</x:v>
      </x:c>
      <x:c r="I76" s="87" t="n">
        <x:v>1</x:v>
      </x:c>
    </x:row>
    <x:row r="77">
      <x:c r="A77" s="85" t="n">
        <x:v>76</x:v>
      </x:c>
      <x:c r="B77" s="86" t="n">
        <x:v>110</x:v>
      </x:c>
      <x:c r="C77" s="95" t="n">
        <x:v>45640</x:v>
      </x:c>
      <x:c r="D77" s="86" t="str">
        <x:v>Sábado</x:v>
      </x:c>
      <x:c r="E77" s="86" t="n">
        <x:v>1</x:v>
      </x:c>
      <x:c r="F77" s="99" t="n">
        <x:v>0.75</x:v>
      </x:c>
      <x:c r="G77" s="91" t="n">
        <x:v>148.18</x:v>
      </x:c>
      <x:c r="H77" s="86" t="n">
        <x:v>1</x:v>
      </x:c>
      <x:c r="I77" s="87" t="n">
        <x:v>8</x:v>
      </x:c>
    </x:row>
    <x:row r="78">
      <x:c r="A78" s="85" t="n">
        <x:v>77</x:v>
      </x:c>
      <x:c r="B78" s="86" t="n">
        <x:v>256</x:v>
      </x:c>
      <x:c r="C78" s="95" t="n">
        <x:v>45980</x:v>
      </x:c>
      <x:c r="D78" s="86" t="str">
        <x:v>Dia útil</x:v>
      </x:c>
      <x:c r="E78" s="86" t="n">
        <x:v>2</x:v>
      </x:c>
      <x:c r="F78" s="99" t="n">
        <x:v>0.5</x:v>
      </x:c>
      <x:c r="G78" s="91" t="n">
        <x:v>36.57</x:v>
      </x:c>
      <x:c r="H78" s="86" t="n">
        <x:v>1</x:v>
      </x:c>
      <x:c r="I78" s="87" t="n">
        <x:v>1</x:v>
      </x:c>
    </x:row>
    <x:row r="79">
      <x:c r="A79" s="85" t="n">
        <x:v>78</x:v>
      </x:c>
      <x:c r="B79" s="86" t="n">
        <x:v>264</x:v>
      </x:c>
      <x:c r="C79" s="95" t="n">
        <x:v>45359</x:v>
      </x:c>
      <x:c r="D79" s="86" t="str">
        <x:v>Dia útil</x:v>
      </x:c>
      <x:c r="E79" s="86" t="n">
        <x:v>8</x:v>
      </x:c>
      <x:c r="F79" s="99" t="n">
        <x:v>0.5</x:v>
      </x:c>
      <x:c r="G79" s="91" t="n">
        <x:v>269.12</x:v>
      </x:c>
      <x:c r="H79" s="86" t="n">
        <x:v>1</x:v>
      </x:c>
      <x:c r="I79" s="87" t="n">
        <x:v>4</x:v>
      </x:c>
    </x:row>
    <x:row r="80">
      <x:c r="A80" s="85" t="n">
        <x:v>79</x:v>
      </x:c>
      <x:c r="B80" s="86" t="n">
        <x:v>103</x:v>
      </x:c>
      <x:c r="C80" s="95" t="n">
        <x:v>46013</x:v>
      </x:c>
      <x:c r="D80" s="86" t="str">
        <x:v>Sábado</x:v>
      </x:c>
      <x:c r="E80" s="86" t="n">
        <x:v>1</x:v>
      </x:c>
      <x:c r="F80" s="99" t="n">
        <x:v>0.75</x:v>
      </x:c>
      <x:c r="G80" s="91" t="n">
        <x:v>60.67</x:v>
      </x:c>
      <x:c r="H80" s="86" t="n">
        <x:v>1</x:v>
      </x:c>
      <x:c r="I80" s="87" t="n">
        <x:v>5</x:v>
      </x:c>
    </x:row>
    <x:row r="81">
      <x:c r="A81" s="85" t="n">
        <x:v>80</x:v>
      </x:c>
      <x:c r="B81" s="86" t="n">
        <x:v>175</x:v>
      </x:c>
      <x:c r="C81" s="95" t="n">
        <x:v>45988</x:v>
      </x:c>
      <x:c r="D81" s="86" t="str">
        <x:v>Sábado</x:v>
      </x:c>
      <x:c r="E81" s="86" t="n">
        <x:v>8</x:v>
      </x:c>
      <x:c r="F81" s="99" t="n">
        <x:v>0.75</x:v>
      </x:c>
      <x:c r="G81" s="91" t="n">
        <x:v>508.02</x:v>
      </x:c>
      <x:c r="H81" s="86" t="n">
        <x:v>1</x:v>
      </x:c>
      <x:c r="I81" s="87" t="n">
        <x:v>9</x:v>
      </x:c>
    </x:row>
    <x:row r="82">
      <x:c r="A82" s="85" t="n">
        <x:v>81</x:v>
      </x:c>
      <x:c r="B82" s="86" t="n">
        <x:v>30</x:v>
      </x:c>
      <x:c r="C82" s="95" t="n">
        <x:v>45949</x:v>
      </x:c>
      <x:c r="D82" s="86" t="str">
        <x:v>Dia útil</x:v>
      </x:c>
      <x:c r="E82" s="86" t="n">
        <x:v>4</x:v>
      </x:c>
      <x:c r="F82" s="99" t="n">
        <x:v>0.5</x:v>
      </x:c>
      <x:c r="G82" s="91" t="n">
        <x:v>90.56</x:v>
      </x:c>
      <x:c r="H82" s="86" t="n">
        <x:v>1</x:v>
      </x:c>
      <x:c r="I82" s="87" t="n">
        <x:v>3</x:v>
      </x:c>
    </x:row>
    <x:row r="83">
      <x:c r="A83" s="85" t="n">
        <x:v>82</x:v>
      </x:c>
      <x:c r="B83" s="86" t="n">
        <x:v>366</x:v>
      </x:c>
      <x:c r="C83" s="95" t="n">
        <x:v>45849</x:v>
      </x:c>
      <x:c r="D83" s="86" t="str">
        <x:v>Dia útil</x:v>
      </x:c>
      <x:c r="E83" s="86" t="n">
        <x:v>2</x:v>
      </x:c>
      <x:c r="F83" s="99" t="n">
        <x:v>0.5</x:v>
      </x:c>
      <x:c r="G83" s="91" t="n">
        <x:v>32.21</x:v>
      </x:c>
      <x:c r="H83" s="86" t="n">
        <x:v>1</x:v>
      </x:c>
      <x:c r="I83" s="87" t="n">
        <x:v>1</x:v>
      </x:c>
    </x:row>
    <x:row r="84">
      <x:c r="A84" s="85" t="n">
        <x:v>83</x:v>
      </x:c>
      <x:c r="B84" s="86" t="n">
        <x:v>327</x:v>
      </x:c>
      <x:c r="C84" s="95" t="n">
        <x:v>45430</x:v>
      </x:c>
      <x:c r="D84" s="86" t="str">
        <x:v>Dia útil</x:v>
      </x:c>
      <x:c r="E84" s="86" t="n">
        <x:v>4</x:v>
      </x:c>
      <x:c r="F84" s="99" t="n">
        <x:v>0.5</x:v>
      </x:c>
      <x:c r="G84" s="91" t="n">
        <x:v>150.34</x:v>
      </x:c>
      <x:c r="H84" s="86" t="n">
        <x:v>1</x:v>
      </x:c>
      <x:c r="I84" s="87" t="n">
        <x:v>7</x:v>
      </x:c>
    </x:row>
    <x:row r="85">
      <x:c r="A85" s="85" t="n">
        <x:v>84</x:v>
      </x:c>
      <x:c r="B85" s="86" t="n">
        <x:v>62</x:v>
      </x:c>
      <x:c r="C85" s="95" t="n">
        <x:v>45528</x:v>
      </x:c>
      <x:c r="D85" s="86" t="str">
        <x:v>Dia útil</x:v>
      </x:c>
      <x:c r="E85" s="86" t="n">
        <x:v>6</x:v>
      </x:c>
      <x:c r="F85" s="99" t="n">
        <x:v>0.5</x:v>
      </x:c>
      <x:c r="G85" s="91" t="n">
        <x:v>184.84</x:v>
      </x:c>
      <x:c r="H85" s="86" t="n">
        <x:v>1</x:v>
      </x:c>
      <x:c r="I85" s="87" t="n">
        <x:v>2</x:v>
      </x:c>
    </x:row>
    <x:row r="86">
      <x:c r="A86" s="85" t="n">
        <x:v>85</x:v>
      </x:c>
      <x:c r="B86" s="86" t="n">
        <x:v>21</x:v>
      </x:c>
      <x:c r="C86" s="95" t="n">
        <x:v>45822</x:v>
      </x:c>
      <x:c r="D86" s="86" t="str">
        <x:v>Dia útil</x:v>
      </x:c>
      <x:c r="E86" s="86" t="n">
        <x:v>1</x:v>
      </x:c>
      <x:c r="F86" s="99" t="n">
        <x:v>0.5</x:v>
      </x:c>
      <x:c r="G86" s="91" t="n">
        <x:v>24.23</x:v>
      </x:c>
      <x:c r="H86" s="86" t="n">
        <x:v>1</x:v>
      </x:c>
      <x:c r="I86" s="87" t="n">
        <x:v>3</x:v>
      </x:c>
    </x:row>
    <x:row r="87">
      <x:c r="A87" s="85" t="n">
        <x:v>86</x:v>
      </x:c>
      <x:c r="B87" s="86" t="n">
        <x:v>169</x:v>
      </x:c>
      <x:c r="C87" s="95" t="n">
        <x:v>45787</x:v>
      </x:c>
      <x:c r="D87" s="86" t="str">
        <x:v>Dia útil</x:v>
      </x:c>
      <x:c r="E87" s="86" t="n">
        <x:v>6</x:v>
      </x:c>
      <x:c r="F87" s="99" t="n">
        <x:v>0.5</x:v>
      </x:c>
      <x:c r="G87" s="91" t="n">
        <x:v>295.13</x:v>
      </x:c>
      <x:c r="H87" s="86" t="n">
        <x:v>1</x:v>
      </x:c>
      <x:c r="I87" s="87" t="n">
        <x:v>10</x:v>
      </x:c>
    </x:row>
    <x:row r="88">
      <x:c r="A88" s="85" t="n">
        <x:v>87</x:v>
      </x:c>
      <x:c r="B88" s="86" t="n">
        <x:v>220</x:v>
      </x:c>
      <x:c r="C88" s="95" t="n">
        <x:v>45743</x:v>
      </x:c>
      <x:c r="D88" s="86" t="str">
        <x:v>Dia útil</x:v>
      </x:c>
      <x:c r="E88" s="86" t="n">
        <x:v>8</x:v>
      </x:c>
      <x:c r="F88" s="99" t="n">
        <x:v>0.5</x:v>
      </x:c>
      <x:c r="G88" s="91" t="n">
        <x:v>252.89</x:v>
      </x:c>
      <x:c r="H88" s="86" t="n">
        <x:v>1</x:v>
      </x:c>
      <x:c r="I88" s="87" t="n">
        <x:v>7</x:v>
      </x:c>
    </x:row>
    <x:row r="89">
      <x:c r="A89" s="85" t="n">
        <x:v>88</x:v>
      </x:c>
      <x:c r="B89" s="86" t="n">
        <x:v>362</x:v>
      </x:c>
      <x:c r="C89" s="95" t="n">
        <x:v>45846</x:v>
      </x:c>
      <x:c r="D89" s="86" t="str">
        <x:v>Dia útil</x:v>
      </x:c>
      <x:c r="E89" s="86" t="n">
        <x:v>8</x:v>
      </x:c>
      <x:c r="F89" s="99" t="n">
        <x:v>0.5</x:v>
      </x:c>
      <x:c r="G89" s="91" t="n">
        <x:v>270.64</x:v>
      </x:c>
      <x:c r="H89" s="86" t="n">
        <x:v>1</x:v>
      </x:c>
      <x:c r="I89" s="87" t="n">
        <x:v>10</x:v>
      </x:c>
    </x:row>
    <x:row r="90">
      <x:c r="A90" s="85" t="n">
        <x:v>89</x:v>
      </x:c>
      <x:c r="B90" s="86" t="n">
        <x:v>37</x:v>
      </x:c>
      <x:c r="C90" s="95" t="n">
        <x:v>45416</x:v>
      </x:c>
      <x:c r="D90" s="86" t="str">
        <x:v>Dia útil</x:v>
      </x:c>
      <x:c r="E90" s="86" t="n">
        <x:v>3</x:v>
      </x:c>
      <x:c r="F90" s="99" t="n">
        <x:v>0.5</x:v>
      </x:c>
      <x:c r="G90" s="91" t="n">
        <x:v>65.44</x:v>
      </x:c>
      <x:c r="H90" s="86" t="n">
        <x:v>1</x:v>
      </x:c>
      <x:c r="I90" s="87" t="n">
        <x:v>3</x:v>
      </x:c>
    </x:row>
    <x:row r="91">
      <x:c r="A91" s="85" t="n">
        <x:v>90</x:v>
      </x:c>
      <x:c r="B91" s="86" t="n">
        <x:v>122</x:v>
      </x:c>
      <x:c r="C91" s="95" t="n">
        <x:v>45757</x:v>
      </x:c>
      <x:c r="D91" s="86" t="str">
        <x:v>Sábado</x:v>
      </x:c>
      <x:c r="E91" s="86" t="n">
        <x:v>3</x:v>
      </x:c>
      <x:c r="F91" s="99" t="n">
        <x:v>0.75</x:v>
      </x:c>
      <x:c r="G91" s="91" t="n">
        <x:v>54.17</x:v>
      </x:c>
      <x:c r="H91" s="86" t="n">
        <x:v>1</x:v>
      </x:c>
      <x:c r="I91" s="87" t="n">
        <x:v>1</x:v>
      </x:c>
    </x:row>
    <x:row r="92">
      <x:c r="A92" s="85" t="n">
        <x:v>91</x:v>
      </x:c>
      <x:c r="B92" s="86" t="n">
        <x:v>56</x:v>
      </x:c>
      <x:c r="C92" s="95" t="n">
        <x:v>45900</x:v>
      </x:c>
      <x:c r="D92" s="86" t="str">
        <x:v>Domingo/Feriado</x:v>
      </x:c>
      <x:c r="E92" s="86" t="n">
        <x:v>6</x:v>
      </x:c>
      <x:c r="F92" s="99" t="n">
        <x:v>1</x:v>
      </x:c>
      <x:c r="G92" s="91" t="n">
        <x:v>188.89</x:v>
      </x:c>
      <x:c r="H92" s="86" t="n">
        <x:v>1</x:v>
      </x:c>
      <x:c r="I92" s="87" t="n">
        <x:v>1</x:v>
      </x:c>
    </x:row>
    <x:row r="93">
      <x:c r="A93" s="85" t="n">
        <x:v>92</x:v>
      </x:c>
      <x:c r="B93" s="86" t="n">
        <x:v>148</x:v>
      </x:c>
      <x:c r="C93" s="95" t="n">
        <x:v>45292</x:v>
      </x:c>
      <x:c r="D93" s="86" t="str">
        <x:v>Dia útil</x:v>
      </x:c>
      <x:c r="E93" s="86" t="n">
        <x:v>1</x:v>
      </x:c>
      <x:c r="F93" s="99" t="n">
        <x:v>0.5</x:v>
      </x:c>
      <x:c r="G93" s="91" t="n">
        <x:v>59.19</x:v>
      </x:c>
      <x:c r="H93" s="86" t="n">
        <x:v>1</x:v>
      </x:c>
      <x:c r="I93" s="87" t="n">
        <x:v>2</x:v>
      </x:c>
    </x:row>
    <x:row r="94">
      <x:c r="A94" s="85" t="n">
        <x:v>93</x:v>
      </x:c>
      <x:c r="B94" s="86" t="n">
        <x:v>363</x:v>
      </x:c>
      <x:c r="C94" s="95" t="n">
        <x:v>45314</x:v>
      </x:c>
      <x:c r="D94" s="86" t="str">
        <x:v>Dia útil</x:v>
      </x:c>
      <x:c r="E94" s="86" t="n">
        <x:v>3</x:v>
      </x:c>
      <x:c r="F94" s="99" t="n">
        <x:v>0.5</x:v>
      </x:c>
      <x:c r="G94" s="91" t="n">
        <x:v>57.9</x:v>
      </x:c>
      <x:c r="H94" s="86" t="n">
        <x:v>1</x:v>
      </x:c>
      <x:c r="I94" s="87" t="n">
        <x:v>1</x:v>
      </x:c>
    </x:row>
    <x:row r="95">
      <x:c r="A95" s="85" t="n">
        <x:v>94</x:v>
      </x:c>
      <x:c r="B95" s="86" t="n">
        <x:v>147</x:v>
      </x:c>
      <x:c r="C95" s="95" t="n">
        <x:v>45890</x:v>
      </x:c>
      <x:c r="D95" s="86" t="str">
        <x:v>Dia útil</x:v>
      </x:c>
      <x:c r="E95" s="86" t="n">
        <x:v>1</x:v>
      </x:c>
      <x:c r="F95" s="99" t="n">
        <x:v>0.5</x:v>
      </x:c>
      <x:c r="G95" s="91" t="n">
        <x:v>82.81</x:v>
      </x:c>
      <x:c r="H95" s="86" t="n">
        <x:v>1</x:v>
      </x:c>
      <x:c r="I95" s="87" t="n">
        <x:v>7</x:v>
      </x:c>
    </x:row>
    <x:row r="96">
      <x:c r="A96" s="85" t="n">
        <x:v>95</x:v>
      </x:c>
      <x:c r="B96" s="86" t="n">
        <x:v>288</x:v>
      </x:c>
      <x:c r="C96" s="95" t="n">
        <x:v>45708</x:v>
      </x:c>
      <x:c r="D96" s="86" t="str">
        <x:v>Sábado</x:v>
      </x:c>
      <x:c r="E96" s="86" t="n">
        <x:v>4</x:v>
      </x:c>
      <x:c r="F96" s="99" t="n">
        <x:v>0.75</x:v>
      </x:c>
      <x:c r="G96" s="91" t="n">
        <x:v>286.97</x:v>
      </x:c>
      <x:c r="H96" s="86" t="n">
        <x:v>1</x:v>
      </x:c>
      <x:c r="I96" s="87" t="n">
        <x:v>5</x:v>
      </x:c>
    </x:row>
    <x:row r="97">
      <x:c r="A97" s="85" t="n">
        <x:v>96</x:v>
      </x:c>
      <x:c r="B97" s="86" t="n">
        <x:v>43</x:v>
      </x:c>
      <x:c r="C97" s="95" t="n">
        <x:v>45839</x:v>
      </x:c>
      <x:c r="D97" s="86" t="str">
        <x:v>Dia útil</x:v>
      </x:c>
      <x:c r="E97" s="86" t="n">
        <x:v>6</x:v>
      </x:c>
      <x:c r="F97" s="99" t="n">
        <x:v>0.5</x:v>
      </x:c>
      <x:c r="G97" s="91" t="n">
        <x:v>188.74</x:v>
      </x:c>
      <x:c r="H97" s="86" t="n">
        <x:v>1</x:v>
      </x:c>
      <x:c r="I97" s="87" t="n">
        <x:v>2</x:v>
      </x:c>
    </x:row>
    <x:row r="98">
      <x:c r="A98" s="85" t="n">
        <x:v>97</x:v>
      </x:c>
      <x:c r="B98" s="86" t="n">
        <x:v>415</x:v>
      </x:c>
      <x:c r="C98" s="95" t="n">
        <x:v>45983</x:v>
      </x:c>
      <x:c r="D98" s="86" t="str">
        <x:v>Dia útil</x:v>
      </x:c>
      <x:c r="E98" s="86" t="n">
        <x:v>2</x:v>
      </x:c>
      <x:c r="F98" s="99" t="n">
        <x:v>0.5</x:v>
      </x:c>
      <x:c r="G98" s="91" t="n">
        <x:v>39.37</x:v>
      </x:c>
      <x:c r="H98" s="86" t="n">
        <x:v>1</x:v>
      </x:c>
      <x:c r="I98" s="87" t="n">
        <x:v>1</x:v>
      </x:c>
    </x:row>
    <x:row r="99">
      <x:c r="A99" s="85" t="n">
        <x:v>98</x:v>
      </x:c>
      <x:c r="B99" s="86" t="n">
        <x:v>126</x:v>
      </x:c>
      <x:c r="C99" s="95" t="n">
        <x:v>45871</x:v>
      </x:c>
      <x:c r="D99" s="86" t="str">
        <x:v>Dia útil</x:v>
      </x:c>
      <x:c r="E99" s="86" t="n">
        <x:v>3</x:v>
      </x:c>
      <x:c r="F99" s="99" t="n">
        <x:v>0.5</x:v>
      </x:c>
      <x:c r="G99" s="91" t="n">
        <x:v>195.89</x:v>
      </x:c>
      <x:c r="H99" s="86" t="n">
        <x:v>1</x:v>
      </x:c>
      <x:c r="I99" s="87" t="n">
        <x:v>3</x:v>
      </x:c>
    </x:row>
    <x:row r="100">
      <x:c r="A100" s="85" t="n">
        <x:v>99</x:v>
      </x:c>
      <x:c r="B100" s="86" t="n">
        <x:v>159</x:v>
      </x:c>
      <x:c r="C100" s="95" t="n">
        <x:v>45654</x:v>
      </x:c>
      <x:c r="D100" s="86" t="str">
        <x:v>Dia útil</x:v>
      </x:c>
      <x:c r="E100" s="86" t="n">
        <x:v>4</x:v>
      </x:c>
      <x:c r="F100" s="99" t="n">
        <x:v>0.5</x:v>
      </x:c>
      <x:c r="G100" s="91" t="n">
        <x:v>192.43</x:v>
      </x:c>
      <x:c r="H100" s="86" t="n">
        <x:v>1</x:v>
      </x:c>
      <x:c r="I100" s="87" t="n">
        <x:v>10</x:v>
      </x:c>
    </x:row>
    <x:row r="101">
      <x:c r="A101" s="85" t="n">
        <x:v>100</x:v>
      </x:c>
      <x:c r="B101" s="86" t="n">
        <x:v>199</x:v>
      </x:c>
      <x:c r="C101" s="95" t="n">
        <x:v>45426</x:v>
      </x:c>
      <x:c r="D101" s="86" t="str">
        <x:v>Domingo/Feriado</x:v>
      </x:c>
      <x:c r="E101" s="86" t="n">
        <x:v>6</x:v>
      </x:c>
      <x:c r="F101" s="99" t="n">
        <x:v>1</x:v>
      </x:c>
      <x:c r="G101" s="91" t="n">
        <x:v>319.79</x:v>
      </x:c>
      <x:c r="H101" s="86" t="n">
        <x:v>1</x:v>
      </x:c>
      <x:c r="I101" s="87" t="n">
        <x:v>9</x:v>
      </x:c>
    </x:row>
    <x:row r="102">
      <x:c r="A102" s="85" t="n">
        <x:v>101</x:v>
      </x:c>
      <x:c r="B102" s="86" t="n">
        <x:v>347</x:v>
      </x:c>
      <x:c r="C102" s="95" t="n">
        <x:v>45945</x:v>
      </x:c>
      <x:c r="D102" s="86" t="str">
        <x:v>Domingo/Feriado</x:v>
      </x:c>
      <x:c r="E102" s="86" t="n">
        <x:v>1</x:v>
      </x:c>
      <x:c r="F102" s="99" t="n">
        <x:v>1</x:v>
      </x:c>
      <x:c r="G102" s="91" t="n">
        <x:v>41.97</x:v>
      </x:c>
      <x:c r="H102" s="86" t="n">
        <x:v>1</x:v>
      </x:c>
      <x:c r="I102" s="87" t="n">
        <x:v>7</x:v>
      </x:c>
    </x:row>
    <x:row r="103">
      <x:c r="A103" s="85" t="n">
        <x:v>102</x:v>
      </x:c>
      <x:c r="B103" s="86" t="n">
        <x:v>267</x:v>
      </x:c>
      <x:c r="C103" s="95" t="n">
        <x:v>45785</x:v>
      </x:c>
      <x:c r="D103" s="86" t="str">
        <x:v>Sábado</x:v>
      </x:c>
      <x:c r="E103" s="86" t="n">
        <x:v>4</x:v>
      </x:c>
      <x:c r="F103" s="99" t="n">
        <x:v>0.75</x:v>
      </x:c>
      <x:c r="G103" s="91" t="n">
        <x:v>161.07</x:v>
      </x:c>
      <x:c r="H103" s="86" t="n">
        <x:v>1</x:v>
      </x:c>
      <x:c r="I103" s="87" t="n">
        <x:v>4</x:v>
      </x:c>
    </x:row>
    <x:row r="104">
      <x:c r="A104" s="85" t="n">
        <x:v>103</x:v>
      </x:c>
      <x:c r="B104" s="86" t="n">
        <x:v>419</x:v>
      </x:c>
      <x:c r="C104" s="95" t="n">
        <x:v>45955</x:v>
      </x:c>
      <x:c r="D104" s="86" t="str">
        <x:v>Dia útil</x:v>
      </x:c>
      <x:c r="E104" s="86" t="n">
        <x:v>2</x:v>
      </x:c>
      <x:c r="F104" s="99" t="n">
        <x:v>0.5</x:v>
      </x:c>
      <x:c r="G104" s="91" t="n">
        <x:v>45.69</x:v>
      </x:c>
      <x:c r="H104" s="86" t="n">
        <x:v>1</x:v>
      </x:c>
      <x:c r="I104" s="87" t="n">
        <x:v>1</x:v>
      </x:c>
    </x:row>
    <x:row r="105">
      <x:c r="A105" s="85" t="n">
        <x:v>104</x:v>
      </x:c>
      <x:c r="B105" s="86" t="n">
        <x:v>26</x:v>
      </x:c>
      <x:c r="C105" s="95" t="n">
        <x:v>45787</x:v>
      </x:c>
      <x:c r="D105" s="86" t="str">
        <x:v>Sábado</x:v>
      </x:c>
      <x:c r="E105" s="86" t="n">
        <x:v>3</x:v>
      </x:c>
      <x:c r="F105" s="99" t="n">
        <x:v>0.75</x:v>
      </x:c>
      <x:c r="G105" s="91" t="n">
        <x:v>202.56</x:v>
      </x:c>
      <x:c r="H105" s="86" t="n">
        <x:v>1</x:v>
      </x:c>
      <x:c r="I105" s="87" t="n">
        <x:v>3</x:v>
      </x:c>
    </x:row>
    <x:row r="106">
      <x:c r="A106" s="85" t="n">
        <x:v>105</x:v>
      </x:c>
      <x:c r="B106" s="86" t="n">
        <x:v>193</x:v>
      </x:c>
      <x:c r="C106" s="95" t="n">
        <x:v>45915</x:v>
      </x:c>
      <x:c r="D106" s="86" t="str">
        <x:v>Domingo/Feriado</x:v>
      </x:c>
      <x:c r="E106" s="86" t="n">
        <x:v>8</x:v>
      </x:c>
      <x:c r="F106" s="99" t="n">
        <x:v>1</x:v>
      </x:c>
      <x:c r="G106" s="91" t="n">
        <x:v>445.23</x:v>
      </x:c>
      <x:c r="H106" s="86" t="n">
        <x:v>1</x:v>
      </x:c>
      <x:c r="I106" s="87" t="n">
        <x:v>6</x:v>
      </x:c>
    </x:row>
    <x:row r="107">
      <x:c r="A107" s="85" t="n">
        <x:v>106</x:v>
      </x:c>
      <x:c r="B107" s="86" t="n">
        <x:v>207</x:v>
      </x:c>
      <x:c r="C107" s="95" t="n">
        <x:v>45790</x:v>
      </x:c>
      <x:c r="D107" s="86" t="str">
        <x:v>Dia útil</x:v>
      </x:c>
      <x:c r="E107" s="86" t="n">
        <x:v>1</x:v>
      </x:c>
      <x:c r="F107" s="99" t="n">
        <x:v>0.5</x:v>
      </x:c>
      <x:c r="G107" s="91" t="n">
        <x:v>20.62</x:v>
      </x:c>
      <x:c r="H107" s="86" t="n">
        <x:v>1</x:v>
      </x:c>
      <x:c r="I107" s="87" t="n">
        <x:v>1</x:v>
      </x:c>
    </x:row>
    <x:row r="108">
      <x:c r="A108" s="85" t="n">
        <x:v>107</x:v>
      </x:c>
      <x:c r="B108" s="86" t="n">
        <x:v>392</x:v>
      </x:c>
      <x:c r="C108" s="95" t="n">
        <x:v>45401</x:v>
      </x:c>
      <x:c r="D108" s="86" t="str">
        <x:v>Dia útil</x:v>
      </x:c>
      <x:c r="E108" s="86" t="n">
        <x:v>3</x:v>
      </x:c>
      <x:c r="F108" s="99" t="n">
        <x:v>0.5</x:v>
      </x:c>
      <x:c r="G108" s="91" t="n">
        <x:v>133.78</x:v>
      </x:c>
      <x:c r="H108" s="86" t="n">
        <x:v>1</x:v>
      </x:c>
      <x:c r="I108" s="87" t="n">
        <x:v>7</x:v>
      </x:c>
    </x:row>
    <x:row r="109">
      <x:c r="A109" s="85" t="n">
        <x:v>108</x:v>
      </x:c>
      <x:c r="B109" s="86" t="n">
        <x:v>183</x:v>
      </x:c>
      <x:c r="C109" s="95" t="n">
        <x:v>45726</x:v>
      </x:c>
      <x:c r="D109" s="86" t="str">
        <x:v>Dia útil</x:v>
      </x:c>
      <x:c r="E109" s="86" t="n">
        <x:v>4</x:v>
      </x:c>
      <x:c r="F109" s="99" t="n">
        <x:v>0.5</x:v>
      </x:c>
      <x:c r="G109" s="91" t="n">
        <x:v>76.03</x:v>
      </x:c>
      <x:c r="H109" s="86" t="n">
        <x:v>1</x:v>
      </x:c>
      <x:c r="I109" s="87" t="n">
        <x:v>1</x:v>
      </x:c>
    </x:row>
    <x:row r="110">
      <x:c r="A110" s="85" t="n">
        <x:v>109</x:v>
      </x:c>
      <x:c r="B110" s="86" t="n">
        <x:v>155</x:v>
      </x:c>
      <x:c r="C110" s="95" t="n">
        <x:v>45675</x:v>
      </x:c>
      <x:c r="D110" s="86" t="str">
        <x:v>Dia útil</x:v>
      </x:c>
      <x:c r="E110" s="86" t="n">
        <x:v>1</x:v>
      </x:c>
      <x:c r="F110" s="99" t="n">
        <x:v>0.5</x:v>
      </x:c>
      <x:c r="G110" s="91" t="n">
        <x:v>19.98</x:v>
      </x:c>
      <x:c r="H110" s="86" t="n">
        <x:v>1</x:v>
      </x:c>
      <x:c r="I110" s="87" t="n">
        <x:v>1</x:v>
      </x:c>
    </x:row>
    <x:row r="111">
      <x:c r="A111" s="85" t="n">
        <x:v>110</x:v>
      </x:c>
      <x:c r="B111" s="86" t="n">
        <x:v>298</x:v>
      </x:c>
      <x:c r="C111" s="95" t="n">
        <x:v>45572</x:v>
      </x:c>
      <x:c r="D111" s="86" t="str">
        <x:v>Dia útil</x:v>
      </x:c>
      <x:c r="E111" s="86" t="n">
        <x:v>1</x:v>
      </x:c>
      <x:c r="F111" s="99" t="n">
        <x:v>0.5</x:v>
      </x:c>
      <x:c r="G111" s="91" t="n">
        <x:v>20.29</x:v>
      </x:c>
      <x:c r="H111" s="86" t="n">
        <x:v>1</x:v>
      </x:c>
      <x:c r="I111" s="87" t="n">
        <x:v>8</x:v>
      </x:c>
    </x:row>
    <x:row r="112">
      <x:c r="A112" s="85" t="n">
        <x:v>111</x:v>
      </x:c>
      <x:c r="B112" s="86" t="n">
        <x:v>209</x:v>
      </x:c>
      <x:c r="C112" s="95" t="n">
        <x:v>45981</x:v>
      </x:c>
      <x:c r="D112" s="86" t="str">
        <x:v>Sábado</x:v>
      </x:c>
      <x:c r="E112" s="86" t="n">
        <x:v>8</x:v>
      </x:c>
      <x:c r="F112" s="99" t="n">
        <x:v>0.75</x:v>
      </x:c>
      <x:c r="G112" s="91" t="n">
        <x:v>444.8</x:v>
      </x:c>
      <x:c r="H112" s="86" t="n">
        <x:v>1</x:v>
      </x:c>
      <x:c r="I112" s="87" t="n">
        <x:v>7</x:v>
      </x:c>
    </x:row>
    <x:row r="113">
      <x:c r="A113" s="85" t="n">
        <x:v>112</x:v>
      </x:c>
      <x:c r="B113" s="86" t="n">
        <x:v>87</x:v>
      </x:c>
      <x:c r="C113" s="95" t="n">
        <x:v>46007</x:v>
      </x:c>
      <x:c r="D113" s="86" t="str">
        <x:v>Dia útil</x:v>
      </x:c>
      <x:c r="E113" s="86" t="n">
        <x:v>4</x:v>
      </x:c>
      <x:c r="F113" s="99" t="n">
        <x:v>0.5</x:v>
      </x:c>
      <x:c r="G113" s="91" t="n">
        <x:v>108.5</x:v>
      </x:c>
      <x:c r="H113" s="86" t="n">
        <x:v>1</x:v>
      </x:c>
      <x:c r="I113" s="87" t="n">
        <x:v>2</x:v>
      </x:c>
    </x:row>
    <x:row r="114">
      <x:c r="A114" s="85" t="n">
        <x:v>113</x:v>
      </x:c>
      <x:c r="B114" s="86" t="n">
        <x:v>94</x:v>
      </x:c>
      <x:c r="C114" s="95" t="n">
        <x:v>45793</x:v>
      </x:c>
      <x:c r="D114" s="86" t="str">
        <x:v>Sábado</x:v>
      </x:c>
      <x:c r="E114" s="86" t="n">
        <x:v>1</x:v>
      </x:c>
      <x:c r="F114" s="99" t="n">
        <x:v>0.75</x:v>
      </x:c>
      <x:c r="G114" s="91" t="n">
        <x:v>121.66</x:v>
      </x:c>
      <x:c r="H114" s="86" t="n">
        <x:v>1</x:v>
      </x:c>
      <x:c r="I114" s="87" t="n">
        <x:v>5</x:v>
      </x:c>
    </x:row>
    <x:row r="115">
      <x:c r="A115" s="85" t="n">
        <x:v>114</x:v>
      </x:c>
      <x:c r="B115" s="86" t="n">
        <x:v>72</x:v>
      </x:c>
      <x:c r="C115" s="95" t="n">
        <x:v>45931</x:v>
      </x:c>
      <x:c r="D115" s="86" t="str">
        <x:v>Dia útil</x:v>
      </x:c>
      <x:c r="E115" s="86" t="n">
        <x:v>4</x:v>
      </x:c>
      <x:c r="F115" s="99" t="n">
        <x:v>0.5</x:v>
      </x:c>
      <x:c r="G115" s="91" t="n">
        <x:v>82.63</x:v>
      </x:c>
      <x:c r="H115" s="86" t="n">
        <x:v>1</x:v>
      </x:c>
      <x:c r="I115" s="87" t="n">
        <x:v>1</x:v>
      </x:c>
    </x:row>
    <x:row r="116">
      <x:c r="A116" s="85" t="n">
        <x:v>115</x:v>
      </x:c>
      <x:c r="B116" s="86" t="n">
        <x:v>160</x:v>
      </x:c>
      <x:c r="C116" s="95" t="n">
        <x:v>45668</x:v>
      </x:c>
      <x:c r="D116" s="86" t="str">
        <x:v>Dia útil</x:v>
      </x:c>
      <x:c r="E116" s="86" t="n">
        <x:v>4</x:v>
      </x:c>
      <x:c r="F116" s="99" t="n">
        <x:v>0.5</x:v>
      </x:c>
      <x:c r="G116" s="91" t="n">
        <x:v>77.41</x:v>
      </x:c>
      <x:c r="H116" s="86" t="n">
        <x:v>1</x:v>
      </x:c>
      <x:c r="I116" s="87" t="n">
        <x:v>8</x:v>
      </x:c>
    </x:row>
    <x:row r="117">
      <x:c r="A117" s="85" t="n">
        <x:v>116</x:v>
      </x:c>
      <x:c r="B117" s="86" t="n">
        <x:v>346</x:v>
      </x:c>
      <x:c r="C117" s="95" t="n">
        <x:v>45663</x:v>
      </x:c>
      <x:c r="D117" s="86" t="str">
        <x:v>Dia útil</x:v>
      </x:c>
      <x:c r="E117" s="86" t="n">
        <x:v>1</x:v>
      </x:c>
      <x:c r="F117" s="99" t="n">
        <x:v>0.5</x:v>
      </x:c>
      <x:c r="G117" s="91" t="n">
        <x:v>43.71</x:v>
      </x:c>
      <x:c r="H117" s="86" t="n">
        <x:v>1</x:v>
      </x:c>
      <x:c r="I117" s="87" t="n">
        <x:v>9</x:v>
      </x:c>
    </x:row>
    <x:row r="118">
      <x:c r="A118" s="85" t="n">
        <x:v>117</x:v>
      </x:c>
      <x:c r="B118" s="86" t="n">
        <x:v>68</x:v>
      </x:c>
      <x:c r="C118" s="95" t="n">
        <x:v>45772</x:v>
      </x:c>
      <x:c r="D118" s="86" t="str">
        <x:v>Dia útil</x:v>
      </x:c>
      <x:c r="E118" s="86" t="n">
        <x:v>8</x:v>
      </x:c>
      <x:c r="F118" s="99" t="n">
        <x:v>0.5</x:v>
      </x:c>
      <x:c r="G118" s="91" t="n">
        <x:v>240.12</x:v>
      </x:c>
      <x:c r="H118" s="86" t="n">
        <x:v>1</x:v>
      </x:c>
      <x:c r="I118" s="87" t="n">
        <x:v>4</x:v>
      </x:c>
    </x:row>
    <x:row r="119">
      <x:c r="A119" s="85" t="n">
        <x:v>118</x:v>
      </x:c>
      <x:c r="B119" s="86" t="n">
        <x:v>41</x:v>
      </x:c>
      <x:c r="C119" s="95" t="n">
        <x:v>45744</x:v>
      </x:c>
      <x:c r="D119" s="86" t="str">
        <x:v>Domingo/Feriado</x:v>
      </x:c>
      <x:c r="E119" s="86" t="n">
        <x:v>8</x:v>
      </x:c>
      <x:c r="F119" s="99" t="n">
        <x:v>1</x:v>
      </x:c>
      <x:c r="G119" s="91" t="n">
        <x:v>227.89</x:v>
      </x:c>
      <x:c r="H119" s="86" t="n">
        <x:v>1</x:v>
      </x:c>
      <x:c r="I119" s="87" t="n">
        <x:v>1</x:v>
      </x:c>
    </x:row>
    <x:row r="120">
      <x:c r="A120" s="85" t="n">
        <x:v>119</x:v>
      </x:c>
      <x:c r="B120" s="86" t="n">
        <x:v>80</x:v>
      </x:c>
      <x:c r="C120" s="95" t="n">
        <x:v>45699</x:v>
      </x:c>
      <x:c r="D120" s="86" t="str">
        <x:v>Dia útil</x:v>
      </x:c>
      <x:c r="E120" s="86" t="n">
        <x:v>2</x:v>
      </x:c>
      <x:c r="F120" s="99" t="n">
        <x:v>0.5</x:v>
      </x:c>
      <x:c r="G120" s="91" t="n">
        <x:v>87.56</x:v>
      </x:c>
      <x:c r="H120" s="86" t="n">
        <x:v>1</x:v>
      </x:c>
      <x:c r="I120" s="87" t="n">
        <x:v>9</x:v>
      </x:c>
    </x:row>
    <x:row r="121">
      <x:c r="A121" s="85" t="n">
        <x:v>120</x:v>
      </x:c>
      <x:c r="B121" s="86" t="n">
        <x:v>50</x:v>
      </x:c>
      <x:c r="C121" s="95" t="n">
        <x:v>45874</x:v>
      </x:c>
      <x:c r="D121" s="86" t="str">
        <x:v>Sábado</x:v>
      </x:c>
      <x:c r="E121" s="86" t="n">
        <x:v>2</x:v>
      </x:c>
      <x:c r="F121" s="99" t="n">
        <x:v>0.75</x:v>
      </x:c>
      <x:c r="G121" s="91" t="n">
        <x:v>77.08</x:v>
      </x:c>
      <x:c r="H121" s="86" t="n">
        <x:v>1</x:v>
      </x:c>
      <x:c r="I121" s="87" t="n">
        <x:v>6</x:v>
      </x:c>
    </x:row>
    <x:row r="122">
      <x:c r="A122" s="85" t="n">
        <x:v>121</x:v>
      </x:c>
      <x:c r="B122" s="86" t="n">
        <x:v>133</x:v>
      </x:c>
      <x:c r="C122" s="95" t="n">
        <x:v>45887</x:v>
      </x:c>
      <x:c r="D122" s="86" t="str">
        <x:v>Dia útil</x:v>
      </x:c>
      <x:c r="E122" s="86" t="n">
        <x:v>2</x:v>
      </x:c>
      <x:c r="F122" s="99" t="n">
        <x:v>0.5</x:v>
      </x:c>
      <x:c r="G122" s="91" t="n">
        <x:v>112.49</x:v>
      </x:c>
      <x:c r="H122" s="86" t="n">
        <x:v>1</x:v>
      </x:c>
      <x:c r="I122" s="87" t="n">
        <x:v>6</x:v>
      </x:c>
    </x:row>
    <x:row r="123">
      <x:c r="A123" s="85" t="n">
        <x:v>122</x:v>
      </x:c>
      <x:c r="B123" s="86" t="n">
        <x:v>7</x:v>
      </x:c>
      <x:c r="C123" s="95" t="n">
        <x:v>45491</x:v>
      </x:c>
      <x:c r="D123" s="86" t="str">
        <x:v>Domingo/Feriado</x:v>
      </x:c>
      <x:c r="E123" s="86" t="n">
        <x:v>2</x:v>
      </x:c>
      <x:c r="F123" s="99" t="n">
        <x:v>1</x:v>
      </x:c>
      <x:c r="G123" s="91" t="n">
        <x:v>48.18</x:v>
      </x:c>
      <x:c r="H123" s="86" t="n">
        <x:v>1</x:v>
      </x:c>
      <x:c r="I123" s="87" t="n">
        <x:v>1</x:v>
      </x:c>
    </x:row>
    <x:row r="124">
      <x:c r="A124" s="85" t="n">
        <x:v>123</x:v>
      </x:c>
      <x:c r="B124" s="86" t="n">
        <x:v>157</x:v>
      </x:c>
      <x:c r="C124" s="95" t="n">
        <x:v>45514</x:v>
      </x:c>
      <x:c r="D124" s="86" t="str">
        <x:v>Dia útil</x:v>
      </x:c>
      <x:c r="E124" s="86" t="n">
        <x:v>3</x:v>
      </x:c>
      <x:c r="F124" s="99" t="n">
        <x:v>0.5</x:v>
      </x:c>
      <x:c r="G124" s="91" t="n">
        <x:v>99.78</x:v>
      </x:c>
      <x:c r="H124" s="86" t="n">
        <x:v>0</x:v>
      </x:c>
      <x:c r="I124" s="87" t="n">
        <x:v>7</x:v>
      </x:c>
    </x:row>
    <x:row r="125">
      <x:c r="A125" s="85" t="n">
        <x:v>124</x:v>
      </x:c>
      <x:c r="B125" s="86" t="n">
        <x:v>73</x:v>
      </x:c>
      <x:c r="C125" s="95" t="n">
        <x:v>46001</x:v>
      </x:c>
      <x:c r="D125" s="86" t="str">
        <x:v>Dia útil</x:v>
      </x:c>
      <x:c r="E125" s="86" t="n">
        <x:v>6</x:v>
      </x:c>
      <x:c r="F125" s="99" t="n">
        <x:v>0.5</x:v>
      </x:c>
      <x:c r="G125" s="91" t="n">
        <x:v>226.46</x:v>
      </x:c>
      <x:c r="H125" s="86" t="n">
        <x:v>1</x:v>
      </x:c>
      <x:c r="I125" s="87" t="n">
        <x:v>6</x:v>
      </x:c>
    </x:row>
    <x:row r="126">
      <x:c r="A126" s="85" t="n">
        <x:v>125</x:v>
      </x:c>
      <x:c r="B126" s="86" t="n">
        <x:v>171</x:v>
      </x:c>
      <x:c r="C126" s="95" t="n">
        <x:v>45720</x:v>
      </x:c>
      <x:c r="D126" s="86" t="str">
        <x:v>Dia útil</x:v>
      </x:c>
      <x:c r="E126" s="86" t="n">
        <x:v>4</x:v>
      </x:c>
      <x:c r="F126" s="99" t="n">
        <x:v>0.5</x:v>
      </x:c>
      <x:c r="G126" s="91" t="n">
        <x:v>185.39</x:v>
      </x:c>
      <x:c r="H126" s="86" t="n">
        <x:v>1</x:v>
      </x:c>
      <x:c r="I126" s="87" t="n">
        <x:v>10</x:v>
      </x:c>
    </x:row>
    <x:row r="127">
      <x:c r="A127" s="85" t="n">
        <x:v>126</x:v>
      </x:c>
      <x:c r="B127" s="86" t="n">
        <x:v>290</x:v>
      </x:c>
      <x:c r="C127" s="95" t="n">
        <x:v>45838</x:v>
      </x:c>
      <x:c r="D127" s="86" t="str">
        <x:v>Dia útil</x:v>
      </x:c>
      <x:c r="E127" s="86" t="n">
        <x:v>2</x:v>
      </x:c>
      <x:c r="F127" s="99" t="n">
        <x:v>0.5</x:v>
      </x:c>
      <x:c r="G127" s="91" t="n">
        <x:v>61.33</x:v>
      </x:c>
      <x:c r="H127" s="86" t="n">
        <x:v>1</x:v>
      </x:c>
      <x:c r="I127" s="87" t="n">
        <x:v>3</x:v>
      </x:c>
    </x:row>
    <x:row r="128">
      <x:c r="A128" s="85" t="n">
        <x:v>127</x:v>
      </x:c>
      <x:c r="B128" s="86" t="n">
        <x:v>190</x:v>
      </x:c>
      <x:c r="C128" s="95" t="n">
        <x:v>45978</x:v>
      </x:c>
      <x:c r="D128" s="86" t="str">
        <x:v>Dia útil</x:v>
      </x:c>
      <x:c r="E128" s="86" t="n">
        <x:v>3</x:v>
      </x:c>
      <x:c r="F128" s="99" t="n">
        <x:v>0.5</x:v>
      </x:c>
      <x:c r="G128" s="91" t="n">
        <x:v>137.58</x:v>
      </x:c>
      <x:c r="H128" s="86" t="n">
        <x:v>1</x:v>
      </x:c>
      <x:c r="I128" s="87" t="n">
        <x:v>9</x:v>
      </x:c>
    </x:row>
    <x:row r="129">
      <x:c r="A129" s="85" t="n">
        <x:v>128</x:v>
      </x:c>
      <x:c r="B129" s="86" t="n">
        <x:v>306</x:v>
      </x:c>
      <x:c r="C129" s="95" t="n">
        <x:v>45985</x:v>
      </x:c>
      <x:c r="D129" s="86" t="str">
        <x:v>Dia útil</x:v>
      </x:c>
      <x:c r="E129" s="86" t="n">
        <x:v>4</x:v>
      </x:c>
      <x:c r="F129" s="99" t="n">
        <x:v>0.5</x:v>
      </x:c>
      <x:c r="G129" s="91" t="n">
        <x:v>81.69</x:v>
      </x:c>
      <x:c r="H129" s="86" t="n">
        <x:v>1</x:v>
      </x:c>
      <x:c r="I129" s="87" t="n">
        <x:v>1</x:v>
      </x:c>
    </x:row>
    <x:row r="130">
      <x:c r="A130" s="85" t="n">
        <x:v>129</x:v>
      </x:c>
      <x:c r="B130" s="86" t="n">
        <x:v>133</x:v>
      </x:c>
      <x:c r="C130" s="95" t="n">
        <x:v>45887</x:v>
      </x:c>
      <x:c r="D130" s="86" t="str">
        <x:v>Dia útil</x:v>
      </x:c>
      <x:c r="E130" s="86" t="n">
        <x:v>8</x:v>
      </x:c>
      <x:c r="F130" s="99" t="n">
        <x:v>0.5</x:v>
      </x:c>
      <x:c r="G130" s="91" t="n">
        <x:v>449.94</x:v>
      </x:c>
      <x:c r="H130" s="86" t="n">
        <x:v>1</x:v>
      </x:c>
      <x:c r="I130" s="87" t="n">
        <x:v>6</x:v>
      </x:c>
    </x:row>
    <x:row r="131">
      <x:c r="A131" s="85" t="n">
        <x:v>130</x:v>
      </x:c>
      <x:c r="B131" s="86" t="n">
        <x:v>303</x:v>
      </x:c>
      <x:c r="C131" s="95" t="n">
        <x:v>45707</x:v>
      </x:c>
      <x:c r="D131" s="86" t="str">
        <x:v>Sábado</x:v>
      </x:c>
      <x:c r="E131" s="86" t="n">
        <x:v>4</x:v>
      </x:c>
      <x:c r="F131" s="99" t="n">
        <x:v>0.75</x:v>
      </x:c>
      <x:c r="G131" s="91" t="n">
        <x:v>105.17</x:v>
      </x:c>
      <x:c r="H131" s="86" t="n">
        <x:v>1</x:v>
      </x:c>
      <x:c r="I131" s="87" t="n">
        <x:v>1</x:v>
      </x:c>
    </x:row>
    <x:row r="132">
      <x:c r="A132" s="85" t="n">
        <x:v>131</x:v>
      </x:c>
      <x:c r="B132" s="86" t="n">
        <x:v>219</x:v>
      </x:c>
      <x:c r="C132" s="95" t="n">
        <x:v>45376</x:v>
      </x:c>
      <x:c r="D132" s="86" t="str">
        <x:v>Dia útil</x:v>
      </x:c>
      <x:c r="E132" s="86" t="n">
        <x:v>1</x:v>
      </x:c>
      <x:c r="F132" s="99" t="n">
        <x:v>0.5</x:v>
      </x:c>
      <x:c r="G132" s="91" t="n">
        <x:v>64.33</x:v>
      </x:c>
      <x:c r="H132" s="86" t="n">
        <x:v>1</x:v>
      </x:c>
      <x:c r="I132" s="87" t="n">
        <x:v>5</x:v>
      </x:c>
    </x:row>
    <x:row r="133">
      <x:c r="A133" s="85" t="n">
        <x:v>132</x:v>
      </x:c>
      <x:c r="B133" s="86" t="n">
        <x:v>27</x:v>
      </x:c>
      <x:c r="C133" s="95" t="n">
        <x:v>45648</x:v>
      </x:c>
      <x:c r="D133" s="86" t="str">
        <x:v>Sábado</x:v>
      </x:c>
      <x:c r="E133" s="86" t="n">
        <x:v>6</x:v>
      </x:c>
      <x:c r="F133" s="99" t="n">
        <x:v>0.75</x:v>
      </x:c>
      <x:c r="G133" s="91" t="n">
        <x:v>227.75</x:v>
      </x:c>
      <x:c r="H133" s="86" t="n">
        <x:v>1</x:v>
      </x:c>
      <x:c r="I133" s="87" t="n">
        <x:v>4</x:v>
      </x:c>
    </x:row>
    <x:row r="134">
      <x:c r="A134" s="85" t="n">
        <x:v>133</x:v>
      </x:c>
      <x:c r="B134" s="86" t="n">
        <x:v>11</x:v>
      </x:c>
      <x:c r="C134" s="95" t="n">
        <x:v>45740</x:v>
      </x:c>
      <x:c r="D134" s="86" t="str">
        <x:v>Dia útil</x:v>
      </x:c>
      <x:c r="E134" s="86" t="n">
        <x:v>6</x:v>
      </x:c>
      <x:c r="F134" s="99" t="n">
        <x:v>0.5</x:v>
      </x:c>
      <x:c r="G134" s="91" t="n">
        <x:v>326.54</x:v>
      </x:c>
      <x:c r="H134" s="86" t="n">
        <x:v>1</x:v>
      </x:c>
      <x:c r="I134" s="87" t="n">
        <x:v>9</x:v>
      </x:c>
    </x:row>
    <x:row r="135">
      <x:c r="A135" s="85" t="n">
        <x:v>134</x:v>
      </x:c>
      <x:c r="B135" s="86" t="n">
        <x:v>408</x:v>
      </x:c>
      <x:c r="C135" s="95" t="n">
        <x:v>45873</x:v>
      </x:c>
      <x:c r="D135" s="86" t="str">
        <x:v>Dia útil</x:v>
      </x:c>
      <x:c r="E135" s="86" t="n">
        <x:v>2</x:v>
      </x:c>
      <x:c r="F135" s="99" t="n">
        <x:v>0.5</x:v>
      </x:c>
      <x:c r="G135" s="91" t="n">
        <x:v>74.1</x:v>
      </x:c>
      <x:c r="H135" s="86" t="n">
        <x:v>1</x:v>
      </x:c>
      <x:c r="I135" s="87" t="n">
        <x:v>4</x:v>
      </x:c>
    </x:row>
    <x:row r="136">
      <x:c r="A136" s="85" t="n">
        <x:v>135</x:v>
      </x:c>
      <x:c r="B136" s="86" t="n">
        <x:v>333</x:v>
      </x:c>
      <x:c r="C136" s="95" t="n">
        <x:v>45297</x:v>
      </x:c>
      <x:c r="D136" s="86" t="str">
        <x:v>Dia útil</x:v>
      </x:c>
      <x:c r="E136" s="86" t="n">
        <x:v>4</x:v>
      </x:c>
      <x:c r="F136" s="99" t="n">
        <x:v>0.5</x:v>
      </x:c>
      <x:c r="G136" s="91" t="n">
        <x:v>229.11</x:v>
      </x:c>
      <x:c r="H136" s="86" t="n">
        <x:v>1</x:v>
      </x:c>
      <x:c r="I136" s="87" t="n">
        <x:v>6</x:v>
      </x:c>
    </x:row>
    <x:row r="137">
      <x:c r="A137" s="85" t="n">
        <x:v>136</x:v>
      </x:c>
      <x:c r="B137" s="86" t="n">
        <x:v>303</x:v>
      </x:c>
      <x:c r="C137" s="95" t="n">
        <x:v>45869</x:v>
      </x:c>
      <x:c r="D137" s="86" t="str">
        <x:v>Dia útil</x:v>
      </x:c>
      <x:c r="E137" s="86" t="n">
        <x:v>1</x:v>
      </x:c>
      <x:c r="F137" s="99" t="n">
        <x:v>0.5</x:v>
      </x:c>
      <x:c r="G137" s="91" t="n">
        <x:v>22.54</x:v>
      </x:c>
      <x:c r="H137" s="86" t="n">
        <x:v>1</x:v>
      </x:c>
      <x:c r="I137" s="87" t="n">
        <x:v>1</x:v>
      </x:c>
    </x:row>
    <x:row r="138">
      <x:c r="A138" s="85" t="n">
        <x:v>137</x:v>
      </x:c>
      <x:c r="B138" s="86" t="n">
        <x:v>274</x:v>
      </x:c>
      <x:c r="C138" s="95" t="n">
        <x:v>45508</x:v>
      </x:c>
      <x:c r="D138" s="86" t="str">
        <x:v>Dia útil</x:v>
      </x:c>
      <x:c r="E138" s="86" t="n">
        <x:v>4</x:v>
      </x:c>
      <x:c r="F138" s="99" t="n">
        <x:v>0.5</x:v>
      </x:c>
      <x:c r="G138" s="91" t="n">
        <x:v>154.72</x:v>
      </x:c>
      <x:c r="H138" s="86" t="n">
        <x:v>1</x:v>
      </x:c>
      <x:c r="I138" s="87" t="n">
        <x:v>8</x:v>
      </x:c>
    </x:row>
    <x:row r="139">
      <x:c r="A139" s="85" t="n">
        <x:v>138</x:v>
      </x:c>
      <x:c r="B139" s="86" t="n">
        <x:v>363</x:v>
      </x:c>
      <x:c r="C139" s="95" t="n">
        <x:v>45990</x:v>
      </x:c>
      <x:c r="D139" s="86" t="str">
        <x:v>Dia útil</x:v>
      </x:c>
      <x:c r="E139" s="86" t="n">
        <x:v>4</x:v>
      </x:c>
      <x:c r="F139" s="99" t="n">
        <x:v>0.5</x:v>
      </x:c>
      <x:c r="G139" s="91" t="n">
        <x:v>77.2</x:v>
      </x:c>
      <x:c r="H139" s="86" t="n">
        <x:v>1</x:v>
      </x:c>
      <x:c r="I139" s="87" t="n">
        <x:v>1</x:v>
      </x:c>
    </x:row>
    <x:row r="140">
      <x:c r="A140" s="85" t="n">
        <x:v>139</x:v>
      </x:c>
      <x:c r="B140" s="86" t="n">
        <x:v>87</x:v>
      </x:c>
      <x:c r="C140" s="95" t="n">
        <x:v>45984</x:v>
      </x:c>
      <x:c r="D140" s="86" t="str">
        <x:v>Dia útil</x:v>
      </x:c>
      <x:c r="E140" s="86" t="n">
        <x:v>6</x:v>
      </x:c>
      <x:c r="F140" s="99" t="n">
        <x:v>0.5</x:v>
      </x:c>
      <x:c r="G140" s="91" t="n">
        <x:v>162.75</x:v>
      </x:c>
      <x:c r="H140" s="86" t="n">
        <x:v>1</x:v>
      </x:c>
      <x:c r="I140" s="87" t="n">
        <x:v>2</x:v>
      </x:c>
    </x:row>
    <x:row r="141">
      <x:c r="A141" s="85" t="n">
        <x:v>140</x:v>
      </x:c>
      <x:c r="B141" s="86" t="n">
        <x:v>317</x:v>
      </x:c>
      <x:c r="C141" s="95" t="n">
        <x:v>45459</x:v>
      </x:c>
      <x:c r="D141" s="86" t="str">
        <x:v>Sábado</x:v>
      </x:c>
      <x:c r="E141" s="86" t="n">
        <x:v>2</x:v>
      </x:c>
      <x:c r="F141" s="99" t="n">
        <x:v>0.75</x:v>
      </x:c>
      <x:c r="G141" s="91" t="n">
        <x:v>116.76</x:v>
      </x:c>
      <x:c r="H141" s="86" t="n">
        <x:v>1</x:v>
      </x:c>
      <x:c r="I141" s="87" t="n">
        <x:v>5</x:v>
      </x:c>
    </x:row>
    <x:row r="142">
      <x:c r="A142" s="85" t="n">
        <x:v>141</x:v>
      </x:c>
      <x:c r="B142" s="86" t="n">
        <x:v>222</x:v>
      </x:c>
      <x:c r="C142" s="95" t="n">
        <x:v>45720</x:v>
      </x:c>
      <x:c r="D142" s="86" t="str">
        <x:v>Dia útil</x:v>
      </x:c>
      <x:c r="E142" s="86" t="n">
        <x:v>1</x:v>
      </x:c>
      <x:c r="F142" s="99" t="n">
        <x:v>0.5</x:v>
      </x:c>
      <x:c r="G142" s="91" t="n">
        <x:v>47.91</x:v>
      </x:c>
      <x:c r="H142" s="86" t="n">
        <x:v>1</x:v>
      </x:c>
      <x:c r="I142" s="87" t="n">
        <x:v>6</x:v>
      </x:c>
    </x:row>
    <x:row r="143">
      <x:c r="A143" s="85" t="n">
        <x:v>142</x:v>
      </x:c>
      <x:c r="B143" s="86" t="n">
        <x:v>296</x:v>
      </x:c>
      <x:c r="C143" s="95" t="n">
        <x:v>45565</x:v>
      </x:c>
      <x:c r="D143" s="86" t="str">
        <x:v>Domingo/Feriado</x:v>
      </x:c>
      <x:c r="E143" s="86" t="n">
        <x:v>2</x:v>
      </x:c>
      <x:c r="F143" s="99" t="n">
        <x:v>1</x:v>
      </x:c>
      <x:c r="G143" s="91" t="n">
        <x:v>81.82</x:v>
      </x:c>
      <x:c r="H143" s="86" t="n">
        <x:v>1</x:v>
      </x:c>
      <x:c r="I143" s="87" t="n">
        <x:v>3</x:v>
      </x:c>
    </x:row>
    <x:row r="144">
      <x:c r="A144" s="85" t="n">
        <x:v>143</x:v>
      </x:c>
      <x:c r="B144" s="86" t="n">
        <x:v>200</x:v>
      </x:c>
      <x:c r="C144" s="95" t="n">
        <x:v>45424</x:v>
      </x:c>
      <x:c r="D144" s="86" t="str">
        <x:v>Dia útil</x:v>
      </x:c>
      <x:c r="E144" s="86" t="n">
        <x:v>8</x:v>
      </x:c>
      <x:c r="F144" s="99" t="n">
        <x:v>0.5</x:v>
      </x:c>
      <x:c r="G144" s="91" t="n">
        <x:v>349.23</x:v>
      </x:c>
      <x:c r="H144" s="86" t="n">
        <x:v>1</x:v>
      </x:c>
      <x:c r="I144" s="87" t="n">
        <x:v>8</x:v>
      </x:c>
    </x:row>
    <x:row r="145">
      <x:c r="A145" s="85" t="n">
        <x:v>144</x:v>
      </x:c>
      <x:c r="B145" s="86" t="n">
        <x:v>121</x:v>
      </x:c>
      <x:c r="C145" s="95" t="n">
        <x:v>45563</x:v>
      </x:c>
      <x:c r="D145" s="86" t="str">
        <x:v>Dia útil</x:v>
      </x:c>
      <x:c r="E145" s="86" t="n">
        <x:v>3</x:v>
      </x:c>
      <x:c r="F145" s="99" t="n">
        <x:v>0.5</x:v>
      </x:c>
      <x:c r="G145" s="91" t="n">
        <x:v>97.22</x:v>
      </x:c>
      <x:c r="H145" s="86" t="n">
        <x:v>1</x:v>
      </x:c>
      <x:c r="I145" s="87" t="n">
        <x:v>4</x:v>
      </x:c>
    </x:row>
    <x:row r="146">
      <x:c r="A146" s="85" t="n">
        <x:v>145</x:v>
      </x:c>
      <x:c r="B146" s="86" t="n">
        <x:v>39</x:v>
      </x:c>
      <x:c r="C146" s="95" t="n">
        <x:v>45855</x:v>
      </x:c>
      <x:c r="D146" s="86" t="str">
        <x:v>Sábado</x:v>
      </x:c>
      <x:c r="E146" s="86" t="n">
        <x:v>8</x:v>
      </x:c>
      <x:c r="F146" s="99" t="n">
        <x:v>0.75</x:v>
      </x:c>
      <x:c r="G146" s="91" t="n">
        <x:v>852.6</x:v>
      </x:c>
      <x:c r="H146" s="86" t="n">
        <x:v>1</x:v>
      </x:c>
      <x:c r="I146" s="87" t="n">
        <x:v>5</x:v>
      </x:c>
    </x:row>
    <x:row r="147">
      <x:c r="A147" s="85" t="n">
        <x:v>146</x:v>
      </x:c>
      <x:c r="B147" s="86" t="n">
        <x:v>144</x:v>
      </x:c>
      <x:c r="C147" s="95" t="n">
        <x:v>45957</x:v>
      </x:c>
      <x:c r="D147" s="86" t="str">
        <x:v>Dia útil</x:v>
      </x:c>
      <x:c r="E147" s="86" t="n">
        <x:v>8</x:v>
      </x:c>
      <x:c r="F147" s="99" t="n">
        <x:v>0.5</x:v>
      </x:c>
      <x:c r="G147" s="91" t="n">
        <x:v>334.61</x:v>
      </x:c>
      <x:c r="H147" s="86" t="n">
        <x:v>1</x:v>
      </x:c>
      <x:c r="I147" s="87" t="n">
        <x:v>4</x:v>
      </x:c>
    </x:row>
    <x:row r="148">
      <x:c r="A148" s="85" t="n">
        <x:v>147</x:v>
      </x:c>
      <x:c r="B148" s="86" t="n">
        <x:v>67</x:v>
      </x:c>
      <x:c r="C148" s="95" t="n">
        <x:v>45578</x:v>
      </x:c>
      <x:c r="D148" s="86" t="str">
        <x:v>Dia útil</x:v>
      </x:c>
      <x:c r="E148" s="86" t="n">
        <x:v>8</x:v>
      </x:c>
      <x:c r="F148" s="99" t="n">
        <x:v>0.5</x:v>
      </x:c>
      <x:c r="G148" s="91" t="n">
        <x:v>231.39</x:v>
      </x:c>
      <x:c r="H148" s="86" t="n">
        <x:v>1</x:v>
      </x:c>
      <x:c r="I148" s="87" t="n">
        <x:v>3</x:v>
      </x:c>
    </x:row>
    <x:row r="149">
      <x:c r="A149" s="85" t="n">
        <x:v>148</x:v>
      </x:c>
      <x:c r="B149" s="86" t="n">
        <x:v>101</x:v>
      </x:c>
      <x:c r="C149" s="95" t="n">
        <x:v>45901</x:v>
      </x:c>
      <x:c r="D149" s="86" t="str">
        <x:v>Dia útil</x:v>
      </x:c>
      <x:c r="E149" s="86" t="n">
        <x:v>6</x:v>
      </x:c>
      <x:c r="F149" s="99" t="n">
        <x:v>0.5</x:v>
      </x:c>
      <x:c r="G149" s="91" t="n">
        <x:v>94.39</x:v>
      </x:c>
      <x:c r="H149" s="86" t="n">
        <x:v>1</x:v>
      </x:c>
      <x:c r="I149" s="87" t="n">
        <x:v>1</x:v>
      </x:c>
    </x:row>
    <x:row r="150">
      <x:c r="A150" s="85" t="n">
        <x:v>149</x:v>
      </x:c>
      <x:c r="B150" s="86" t="n">
        <x:v>333</x:v>
      </x:c>
      <x:c r="C150" s="95" t="n">
        <x:v>45386</x:v>
      </x:c>
      <x:c r="D150" s="86" t="str">
        <x:v>Dia útil</x:v>
      </x:c>
      <x:c r="E150" s="86" t="n">
        <x:v>3</x:v>
      </x:c>
      <x:c r="F150" s="99" t="n">
        <x:v>0.5</x:v>
      </x:c>
      <x:c r="G150" s="91" t="n">
        <x:v>171.83</x:v>
      </x:c>
      <x:c r="H150" s="86" t="n">
        <x:v>1</x:v>
      </x:c>
      <x:c r="I150" s="87" t="n">
        <x:v>6</x:v>
      </x:c>
    </x:row>
    <x:row r="151">
      <x:c r="A151" s="85" t="n">
        <x:v>150</x:v>
      </x:c>
      <x:c r="B151" s="86" t="n">
        <x:v>124</x:v>
      </x:c>
      <x:c r="C151" s="95" t="n">
        <x:v>45703</x:v>
      </x:c>
      <x:c r="D151" s="86" t="str">
        <x:v>Sábado</x:v>
      </x:c>
      <x:c r="E151" s="86" t="n">
        <x:v>2</x:v>
      </x:c>
      <x:c r="F151" s="99" t="n">
        <x:v>0.75</x:v>
      </x:c>
      <x:c r="G151" s="91" t="n">
        <x:v>94.07</x:v>
      </x:c>
      <x:c r="H151" s="86" t="n">
        <x:v>1</x:v>
      </x:c>
      <x:c r="I151" s="87" t="n">
        <x:v>6</x:v>
      </x:c>
    </x:row>
    <x:row r="152">
      <x:c r="A152" s="85" t="n">
        <x:v>151</x:v>
      </x:c>
      <x:c r="B152" s="86" t="n">
        <x:v>338</x:v>
      </x:c>
      <x:c r="C152" s="95" t="n">
        <x:v>45825</x:v>
      </x:c>
      <x:c r="D152" s="86" t="str">
        <x:v>Dia útil</x:v>
      </x:c>
      <x:c r="E152" s="86" t="n">
        <x:v>8</x:v>
      </x:c>
      <x:c r="F152" s="99" t="n">
        <x:v>0.5</x:v>
      </x:c>
      <x:c r="G152" s="91" t="n">
        <x:v>217.97</x:v>
      </x:c>
      <x:c r="H152" s="86" t="n">
        <x:v>1</x:v>
      </x:c>
      <x:c r="I152" s="87" t="n">
        <x:v>3</x:v>
      </x:c>
    </x:row>
    <x:row r="153">
      <x:c r="A153" s="85" t="n">
        <x:v>152</x:v>
      </x:c>
      <x:c r="B153" s="86" t="n">
        <x:v>297</x:v>
      </x:c>
      <x:c r="C153" s="95" t="n">
        <x:v>45845</x:v>
      </x:c>
      <x:c r="D153" s="86" t="str">
        <x:v>Sábado</x:v>
      </x:c>
      <x:c r="E153" s="86" t="n">
        <x:v>8</x:v>
      </x:c>
      <x:c r="F153" s="99" t="n">
        <x:v>0.75</x:v>
      </x:c>
      <x:c r="G153" s="91" t="n">
        <x:v>265.43</x:v>
      </x:c>
      <x:c r="H153" s="86" t="n">
        <x:v>1</x:v>
      </x:c>
      <x:c r="I153" s="87" t="n">
        <x:v>3</x:v>
      </x:c>
    </x:row>
    <x:row r="154">
      <x:c r="A154" s="85" t="n">
        <x:v>153</x:v>
      </x:c>
      <x:c r="B154" s="86" t="n">
        <x:v>211</x:v>
      </x:c>
      <x:c r="C154" s="95" t="n">
        <x:v>45953</x:v>
      </x:c>
      <x:c r="D154" s="86" t="str">
        <x:v>Sábado</x:v>
      </x:c>
      <x:c r="E154" s="86" t="n">
        <x:v>6</x:v>
      </x:c>
      <x:c r="F154" s="99" t="n">
        <x:v>0.75</x:v>
      </x:c>
      <x:c r="G154" s="91" t="n">
        <x:v>108.45</x:v>
      </x:c>
      <x:c r="H154" s="86" t="n">
        <x:v>1</x:v>
      </x:c>
      <x:c r="I154" s="87" t="n">
        <x:v>1</x:v>
      </x:c>
    </x:row>
    <x:row r="155">
      <x:c r="A155" s="85" t="n">
        <x:v>154</x:v>
      </x:c>
      <x:c r="B155" s="86" t="n">
        <x:v>303</x:v>
      </x:c>
      <x:c r="C155" s="95" t="n">
        <x:v>46020</x:v>
      </x:c>
      <x:c r="D155" s="86" t="str">
        <x:v>Dia útil</x:v>
      </x:c>
      <x:c r="E155" s="86" t="n">
        <x:v>1</x:v>
      </x:c>
      <x:c r="F155" s="99" t="n">
        <x:v>0.5</x:v>
      </x:c>
      <x:c r="G155" s="91" t="n">
        <x:v>22.54</x:v>
      </x:c>
      <x:c r="H155" s="86" t="n">
        <x:v>1</x:v>
      </x:c>
      <x:c r="I155" s="87" t="n">
        <x:v>1</x:v>
      </x:c>
    </x:row>
    <x:row r="156">
      <x:c r="A156" s="85" t="n">
        <x:v>155</x:v>
      </x:c>
      <x:c r="B156" s="86" t="n">
        <x:v>286</x:v>
      </x:c>
      <x:c r="C156" s="95" t="n">
        <x:v>45533</x:v>
      </x:c>
      <x:c r="D156" s="86" t="str">
        <x:v>Sábado</x:v>
      </x:c>
      <x:c r="E156" s="86" t="n">
        <x:v>6</x:v>
      </x:c>
      <x:c r="F156" s="99" t="n">
        <x:v>0.75</x:v>
      </x:c>
      <x:c r="G156" s="91" t="n">
        <x:v>140.42</x:v>
      </x:c>
      <x:c r="H156" s="86" t="n">
        <x:v>1</x:v>
      </x:c>
      <x:c r="I156" s="87" t="n">
        <x:v>1</x:v>
      </x:c>
    </x:row>
    <x:row r="157">
      <x:c r="A157" s="85" t="n">
        <x:v>156</x:v>
      </x:c>
      <x:c r="B157" s="86" t="n">
        <x:v>248</x:v>
      </x:c>
      <x:c r="C157" s="95" t="n">
        <x:v>45988</x:v>
      </x:c>
      <x:c r="D157" s="86" t="str">
        <x:v>Sábado</x:v>
      </x:c>
      <x:c r="E157" s="86" t="n">
        <x:v>6</x:v>
      </x:c>
      <x:c r="F157" s="99" t="n">
        <x:v>0.75</x:v>
      </x:c>
      <x:c r="G157" s="91" t="n">
        <x:v>108.47</x:v>
      </x:c>
      <x:c r="H157" s="86" t="n">
        <x:v>1</x:v>
      </x:c>
      <x:c r="I157" s="87" t="n">
        <x:v>1</x:v>
      </x:c>
    </x:row>
    <x:row r="158">
      <x:c r="A158" s="85" t="n">
        <x:v>157</x:v>
      </x:c>
      <x:c r="B158" s="86" t="n">
        <x:v>369</x:v>
      </x:c>
      <x:c r="C158" s="95" t="n">
        <x:v>45953</x:v>
      </x:c>
      <x:c r="D158" s="86" t="str">
        <x:v>Sábado</x:v>
      </x:c>
      <x:c r="E158" s="86" t="n">
        <x:v>8</x:v>
      </x:c>
      <x:c r="F158" s="99" t="n">
        <x:v>0.75</x:v>
      </x:c>
      <x:c r="G158" s="91" t="n">
        <x:v>223.41</x:v>
      </x:c>
      <x:c r="H158" s="86" t="n">
        <x:v>1</x:v>
      </x:c>
      <x:c r="I158" s="87" t="n">
        <x:v>1</x:v>
      </x:c>
    </x:row>
    <x:row r="159">
      <x:c r="A159" s="85" t="n">
        <x:v>158</x:v>
      </x:c>
      <x:c r="B159" s="86" t="n">
        <x:v>135</x:v>
      </x:c>
      <x:c r="C159" s="95" t="n">
        <x:v>45730</x:v>
      </x:c>
      <x:c r="D159" s="86" t="str">
        <x:v>Dia útil</x:v>
      </x:c>
      <x:c r="E159" s="86" t="n">
        <x:v>2</x:v>
      </x:c>
      <x:c r="F159" s="99" t="n">
        <x:v>0.5</x:v>
      </x:c>
      <x:c r="G159" s="91" t="n">
        <x:v>44.61</x:v>
      </x:c>
      <x:c r="H159" s="86" t="n">
        <x:v>1</x:v>
      </x:c>
      <x:c r="I159" s="87" t="n">
        <x:v>10</x:v>
      </x:c>
    </x:row>
    <x:row r="160">
      <x:c r="A160" s="85" t="n">
        <x:v>159</x:v>
      </x:c>
      <x:c r="B160" s="86" t="n">
        <x:v>184</x:v>
      </x:c>
      <x:c r="C160" s="95" t="n">
        <x:v>45980</x:v>
      </x:c>
      <x:c r="D160" s="86" t="str">
        <x:v>Dia útil</x:v>
      </x:c>
      <x:c r="E160" s="86" t="n">
        <x:v>4</x:v>
      </x:c>
      <x:c r="F160" s="99" t="n">
        <x:v>0.5</x:v>
      </x:c>
      <x:c r="G160" s="91" t="n">
        <x:v>61.63</x:v>
      </x:c>
      <x:c r="H160" s="86" t="n">
        <x:v>1</x:v>
      </x:c>
      <x:c r="I160" s="87" t="n">
        <x:v>1</x:v>
      </x:c>
    </x:row>
    <x:row r="161">
      <x:c r="A161" s="85" t="n">
        <x:v>160</x:v>
      </x:c>
      <x:c r="B161" s="86" t="n">
        <x:v>147</x:v>
      </x:c>
      <x:c r="C161" s="95" t="n">
        <x:v>45892</x:v>
      </x:c>
      <x:c r="D161" s="86" t="str">
        <x:v>Dia útil</x:v>
      </x:c>
      <x:c r="E161" s="86" t="n">
        <x:v>1</x:v>
      </x:c>
      <x:c r="F161" s="99" t="n">
        <x:v>0.5</x:v>
      </x:c>
      <x:c r="G161" s="91" t="n">
        <x:v>82.81</x:v>
      </x:c>
      <x:c r="H161" s="86" t="n">
        <x:v>1</x:v>
      </x:c>
      <x:c r="I161" s="87" t="n">
        <x:v>7</x:v>
      </x:c>
    </x:row>
    <x:row r="162">
      <x:c r="A162" s="85" t="n">
        <x:v>161</x:v>
      </x:c>
      <x:c r="B162" s="86" t="n">
        <x:v>55</x:v>
      </x:c>
      <x:c r="C162" s="95" t="n">
        <x:v>45628</x:v>
      </x:c>
      <x:c r="D162" s="86" t="str">
        <x:v>Sábado</x:v>
      </x:c>
      <x:c r="E162" s="86" t="n">
        <x:v>2</x:v>
      </x:c>
      <x:c r="F162" s="99" t="n">
        <x:v>0.75</x:v>
      </x:c>
      <x:c r="G162" s="91" t="n">
        <x:v>39.49</x:v>
      </x:c>
      <x:c r="H162" s="86" t="n">
        <x:v>1</x:v>
      </x:c>
      <x:c r="I162" s="87" t="n">
        <x:v>1</x:v>
      </x:c>
    </x:row>
    <x:row r="163">
      <x:c r="A163" s="85" t="n">
        <x:v>162</x:v>
      </x:c>
      <x:c r="B163" s="86" t="n">
        <x:v>373</x:v>
      </x:c>
      <x:c r="C163" s="95" t="n">
        <x:v>45937</x:v>
      </x:c>
      <x:c r="D163" s="86" t="str">
        <x:v>Dia útil</x:v>
      </x:c>
      <x:c r="E163" s="86" t="n">
        <x:v>4</x:v>
      </x:c>
      <x:c r="F163" s="99" t="n">
        <x:v>0.5</x:v>
      </x:c>
      <x:c r="G163" s="91" t="n">
        <x:v>88.86</x:v>
      </x:c>
      <x:c r="H163" s="86" t="n">
        <x:v>1</x:v>
      </x:c>
      <x:c r="I163" s="87" t="n">
        <x:v>1</x:v>
      </x:c>
    </x:row>
    <x:row r="164">
      <x:c r="A164" s="85" t="n">
        <x:v>163</x:v>
      </x:c>
      <x:c r="B164" s="86" t="n">
        <x:v>405</x:v>
      </x:c>
      <x:c r="C164" s="95" t="n">
        <x:v>45645</x:v>
      </x:c>
      <x:c r="D164" s="86" t="str">
        <x:v>Sábado</x:v>
      </x:c>
      <x:c r="E164" s="86" t="n">
        <x:v>3</x:v>
      </x:c>
      <x:c r="F164" s="99" t="n">
        <x:v>0.75</x:v>
      </x:c>
      <x:c r="G164" s="91" t="n">
        <x:v>182.57</x:v>
      </x:c>
      <x:c r="H164" s="86" t="n">
        <x:v>1</x:v>
      </x:c>
      <x:c r="I164" s="87" t="n">
        <x:v>10</x:v>
      </x:c>
    </x:row>
    <x:row r="165">
      <x:c r="A165" s="85" t="n">
        <x:v>164</x:v>
      </x:c>
      <x:c r="B165" s="86" t="n">
        <x:v>304</x:v>
      </x:c>
      <x:c r="C165" s="95" t="n">
        <x:v>45659</x:v>
      </x:c>
      <x:c r="D165" s="86" t="str">
        <x:v>Dia útil</x:v>
      </x:c>
      <x:c r="E165" s="86" t="n">
        <x:v>1</x:v>
      </x:c>
      <x:c r="F165" s="99" t="n">
        <x:v>0.5</x:v>
      </x:c>
      <x:c r="G165" s="91" t="n">
        <x:v>15.91</x:v>
      </x:c>
      <x:c r="H165" s="86" t="n">
        <x:v>1</x:v>
      </x:c>
      <x:c r="I165" s="87" t="n">
        <x:v>1</x:v>
      </x:c>
    </x:row>
    <x:row r="166">
      <x:c r="A166" s="85" t="n">
        <x:v>165</x:v>
      </x:c>
      <x:c r="B166" s="86" t="n">
        <x:v>191</x:v>
      </x:c>
      <x:c r="C166" s="95" t="n">
        <x:v>45405</x:v>
      </x:c>
      <x:c r="D166" s="86" t="str">
        <x:v>Dia útil</x:v>
      </x:c>
      <x:c r="E166" s="86" t="n">
        <x:v>6</x:v>
      </x:c>
      <x:c r="F166" s="99" t="n">
        <x:v>0.5</x:v>
      </x:c>
      <x:c r="G166" s="91" t="n">
        <x:v>205.37</x:v>
      </x:c>
      <x:c r="H166" s="86" t="n">
        <x:v>1</x:v>
      </x:c>
      <x:c r="I166" s="87" t="n">
        <x:v>10</x:v>
      </x:c>
    </x:row>
    <x:row r="167">
      <x:c r="A167" s="85" t="n">
        <x:v>166</x:v>
      </x:c>
      <x:c r="B167" s="86" t="n">
        <x:v>244</x:v>
      </x:c>
      <x:c r="C167" s="95" t="n">
        <x:v>45927</x:v>
      </x:c>
      <x:c r="D167" s="86" t="str">
        <x:v>Dia útil</x:v>
      </x:c>
      <x:c r="E167" s="86" t="n">
        <x:v>3</x:v>
      </x:c>
      <x:c r="F167" s="99" t="n">
        <x:v>0.5</x:v>
      </x:c>
      <x:c r="G167" s="91" t="n">
        <x:v>69.18</x:v>
      </x:c>
      <x:c r="H167" s="86" t="n">
        <x:v>0</x:v>
      </x:c>
      <x:c r="I167" s="87" t="n">
        <x:v>1</x:v>
      </x:c>
    </x:row>
    <x:row r="168">
      <x:c r="A168" s="85" t="n">
        <x:v>167</x:v>
      </x:c>
      <x:c r="B168" s="86" t="n">
        <x:v>48</x:v>
      </x:c>
      <x:c r="C168" s="95" t="n">
        <x:v>45977</x:v>
      </x:c>
      <x:c r="D168" s="86" t="str">
        <x:v>Sábado</x:v>
      </x:c>
      <x:c r="E168" s="86" t="n">
        <x:v>4</x:v>
      </x:c>
      <x:c r="F168" s="99" t="n">
        <x:v>0.75</x:v>
      </x:c>
      <x:c r="G168" s="91" t="n">
        <x:v>217.44</x:v>
      </x:c>
      <x:c r="H168" s="86" t="n">
        <x:v>1</x:v>
      </x:c>
      <x:c r="I168" s="87" t="n">
        <x:v>8</x:v>
      </x:c>
    </x:row>
    <x:row r="169">
      <x:c r="A169" s="85" t="n">
        <x:v>168</x:v>
      </x:c>
      <x:c r="B169" s="86" t="n">
        <x:v>259</x:v>
      </x:c>
      <x:c r="C169" s="95" t="n">
        <x:v>45672</x:v>
      </x:c>
      <x:c r="D169" s="86" t="str">
        <x:v>Dia útil</x:v>
      </x:c>
      <x:c r="E169" s="86" t="n">
        <x:v>2</x:v>
      </x:c>
      <x:c r="F169" s="99" t="n">
        <x:v>0.5</x:v>
      </x:c>
      <x:c r="G169" s="91" t="n">
        <x:v>70.45</x:v>
      </x:c>
      <x:c r="H169" s="86" t="n">
        <x:v>1</x:v>
      </x:c>
      <x:c r="I169" s="87" t="n">
        <x:v>4</x:v>
      </x:c>
    </x:row>
    <x:row r="170">
      <x:c r="A170" s="85" t="n">
        <x:v>169</x:v>
      </x:c>
      <x:c r="B170" s="86" t="n">
        <x:v>405</x:v>
      </x:c>
      <x:c r="C170" s="95" t="n">
        <x:v>45717</x:v>
      </x:c>
      <x:c r="D170" s="86" t="str">
        <x:v>Dia útil</x:v>
      </x:c>
      <x:c r="E170" s="86" t="n">
        <x:v>6</x:v>
      </x:c>
      <x:c r="F170" s="99" t="n">
        <x:v>0.5</x:v>
      </x:c>
      <x:c r="G170" s="91" t="n">
        <x:v>312.98</x:v>
      </x:c>
      <x:c r="H170" s="86" t="n">
        <x:v>1</x:v>
      </x:c>
      <x:c r="I170" s="87" t="n">
        <x:v>10</x:v>
      </x:c>
    </x:row>
    <x:row r="171">
      <x:c r="A171" s="85" t="n">
        <x:v>170</x:v>
      </x:c>
      <x:c r="B171" s="86" t="n">
        <x:v>8</x:v>
      </x:c>
      <x:c r="C171" s="95" t="n">
        <x:v>45997</x:v>
      </x:c>
      <x:c r="D171" s="86" t="str">
        <x:v>Dia útil</x:v>
      </x:c>
      <x:c r="E171" s="86" t="n">
        <x:v>8</x:v>
      </x:c>
      <x:c r="F171" s="99" t="n">
        <x:v>0.5</x:v>
      </x:c>
      <x:c r="G171" s="91" t="n">
        <x:v>617.15</x:v>
      </x:c>
      <x:c r="H171" s="86" t="n">
        <x:v>1</x:v>
      </x:c>
      <x:c r="I171" s="87" t="n">
        <x:v>2</x:v>
      </x:c>
    </x:row>
    <x:row r="172">
      <x:c r="A172" s="85" t="n">
        <x:v>171</x:v>
      </x:c>
      <x:c r="B172" s="86" t="n">
        <x:v>31</x:v>
      </x:c>
      <x:c r="C172" s="95" t="n">
        <x:v>45676</x:v>
      </x:c>
      <x:c r="D172" s="86" t="str">
        <x:v>Dia útil</x:v>
      </x:c>
      <x:c r="E172" s="86" t="n">
        <x:v>4</x:v>
      </x:c>
      <x:c r="F172" s="99" t="n">
        <x:v>0.5</x:v>
      </x:c>
      <x:c r="G172" s="91" t="n">
        <x:v>119.79</x:v>
      </x:c>
      <x:c r="H172" s="86" t="n">
        <x:v>1</x:v>
      </x:c>
      <x:c r="I172" s="87" t="n">
        <x:v>2</x:v>
      </x:c>
    </x:row>
    <x:row r="173">
      <x:c r="A173" s="85" t="n">
        <x:v>172</x:v>
      </x:c>
      <x:c r="B173" s="86" t="n">
        <x:v>34</x:v>
      </x:c>
      <x:c r="C173" s="95" t="n">
        <x:v>45719</x:v>
      </x:c>
      <x:c r="D173" s="86" t="str">
        <x:v>Sábado</x:v>
      </x:c>
      <x:c r="E173" s="86" t="n">
        <x:v>1</x:v>
      </x:c>
      <x:c r="F173" s="99" t="n">
        <x:v>0.75</x:v>
      </x:c>
      <x:c r="G173" s="91" t="n">
        <x:v>21.68</x:v>
      </x:c>
      <x:c r="H173" s="86" t="n">
        <x:v>1</x:v>
      </x:c>
      <x:c r="I173" s="87" t="n">
        <x:v>1</x:v>
      </x:c>
    </x:row>
    <x:row r="174">
      <x:c r="A174" s="85" t="n">
        <x:v>173</x:v>
      </x:c>
      <x:c r="B174" s="86" t="n">
        <x:v>398</x:v>
      </x:c>
      <x:c r="C174" s="95" t="n">
        <x:v>45822</x:v>
      </x:c>
      <x:c r="D174" s="86" t="str">
        <x:v>Dia útil</x:v>
      </x:c>
      <x:c r="E174" s="86" t="n">
        <x:v>8</x:v>
      </x:c>
      <x:c r="F174" s="99" t="n">
        <x:v>0.5</x:v>
      </x:c>
      <x:c r="G174" s="91" t="n">
        <x:v>139.61</x:v>
      </x:c>
      <x:c r="H174" s="86" t="n">
        <x:v>1</x:v>
      </x:c>
      <x:c r="I174" s="87" t="n">
        <x:v>1</x:v>
      </x:c>
    </x:row>
    <x:row r="175">
      <x:c r="A175" s="85" t="n">
        <x:v>174</x:v>
      </x:c>
      <x:c r="B175" s="86" t="n">
        <x:v>353</x:v>
      </x:c>
      <x:c r="C175" s="95" t="n">
        <x:v>45937</x:v>
      </x:c>
      <x:c r="D175" s="86" t="str">
        <x:v>Sábado</x:v>
      </x:c>
      <x:c r="E175" s="86" t="n">
        <x:v>4</x:v>
      </x:c>
      <x:c r="F175" s="99" t="n">
        <x:v>0.75</x:v>
      </x:c>
      <x:c r="G175" s="91" t="n">
        <x:v>76.22</x:v>
      </x:c>
      <x:c r="H175" s="86" t="n">
        <x:v>1</x:v>
      </x:c>
      <x:c r="I175" s="87" t="n">
        <x:v>1</x:v>
      </x:c>
    </x:row>
    <x:row r="176">
      <x:c r="A176" s="85" t="n">
        <x:v>175</x:v>
      </x:c>
      <x:c r="B176" s="86" t="n">
        <x:v>70</x:v>
      </x:c>
      <x:c r="C176" s="95" t="n">
        <x:v>45942</x:v>
      </x:c>
      <x:c r="D176" s="86" t="str">
        <x:v>Dia útil</x:v>
      </x:c>
      <x:c r="E176" s="86" t="n">
        <x:v>2</x:v>
      </x:c>
      <x:c r="F176" s="99" t="n">
        <x:v>0.5</x:v>
      </x:c>
      <x:c r="G176" s="91" t="n">
        <x:v>50.71</x:v>
      </x:c>
      <x:c r="H176" s="86" t="n">
        <x:v>1</x:v>
      </x:c>
      <x:c r="I176" s="87" t="n">
        <x:v>3</x:v>
      </x:c>
    </x:row>
    <x:row r="177">
      <x:c r="A177" s="85" t="n">
        <x:v>176</x:v>
      </x:c>
      <x:c r="B177" s="86" t="n">
        <x:v>389</x:v>
      </x:c>
      <x:c r="C177" s="95" t="n">
        <x:v>45394</x:v>
      </x:c>
      <x:c r="D177" s="86" t="str">
        <x:v>Dia útil</x:v>
      </x:c>
      <x:c r="E177" s="86" t="n">
        <x:v>8</x:v>
      </x:c>
      <x:c r="F177" s="99" t="n">
        <x:v>0.5</x:v>
      </x:c>
      <x:c r="G177" s="91" t="n">
        <x:v>216.28</x:v>
      </x:c>
      <x:c r="H177" s="86" t="n">
        <x:v>1</x:v>
      </x:c>
      <x:c r="I177" s="87" t="n">
        <x:v>3</x:v>
      </x:c>
    </x:row>
    <x:row r="178">
      <x:c r="A178" s="85" t="n">
        <x:v>177</x:v>
      </x:c>
      <x:c r="B178" s="86" t="n">
        <x:v>308</x:v>
      </x:c>
      <x:c r="C178" s="95" t="n">
        <x:v>45936</x:v>
      </x:c>
      <x:c r="D178" s="86" t="str">
        <x:v>Domingo/Feriado</x:v>
      </x:c>
      <x:c r="E178" s="86" t="n">
        <x:v>8</x:v>
      </x:c>
      <x:c r="F178" s="99" t="n">
        <x:v>1</x:v>
      </x:c>
      <x:c r="G178" s="91" t="n">
        <x:v>221.39</x:v>
      </x:c>
      <x:c r="H178" s="86" t="n">
        <x:v>1</x:v>
      </x:c>
      <x:c r="I178" s="87" t="n">
        <x:v>3</x:v>
      </x:c>
    </x:row>
    <x:row r="179">
      <x:c r="A179" s="85" t="n">
        <x:v>178</x:v>
      </x:c>
      <x:c r="B179" s="86" t="n">
        <x:v>300</x:v>
      </x:c>
      <x:c r="C179" s="95" t="n">
        <x:v>45556</x:v>
      </x:c>
      <x:c r="D179" s="86" t="str">
        <x:v>Dia útil</x:v>
      </x:c>
      <x:c r="E179" s="86" t="n">
        <x:v>1</x:v>
      </x:c>
      <x:c r="F179" s="99" t="n">
        <x:v>0.5</x:v>
      </x:c>
      <x:c r="G179" s="91" t="n">
        <x:v>33.93</x:v>
      </x:c>
      <x:c r="H179" s="86" t="n">
        <x:v>1</x:v>
      </x:c>
      <x:c r="I179" s="87" t="n">
        <x:v>8</x:v>
      </x:c>
    </x:row>
    <x:row r="180">
      <x:c r="A180" s="85" t="n">
        <x:v>179</x:v>
      </x:c>
      <x:c r="B180" s="86" t="n">
        <x:v>260</x:v>
      </x:c>
      <x:c r="C180" s="95" t="n">
        <x:v>45910</x:v>
      </x:c>
      <x:c r="D180" s="86" t="str">
        <x:v>Sábado</x:v>
      </x:c>
      <x:c r="E180" s="86" t="n">
        <x:v>6</x:v>
      </x:c>
      <x:c r="F180" s="99" t="n">
        <x:v>0.75</x:v>
      </x:c>
      <x:c r="G180" s="91" t="n">
        <x:v>124.39</x:v>
      </x:c>
      <x:c r="H180" s="86" t="n">
        <x:v>1</x:v>
      </x:c>
      <x:c r="I180" s="87" t="n">
        <x:v>1</x:v>
      </x:c>
    </x:row>
    <x:row r="181">
      <x:c r="A181" s="85" t="n">
        <x:v>180</x:v>
      </x:c>
      <x:c r="B181" s="86" t="n">
        <x:v>397</x:v>
      </x:c>
      <x:c r="C181" s="95" t="n">
        <x:v>46019</x:v>
      </x:c>
      <x:c r="D181" s="86" t="str">
        <x:v>Dia útil</x:v>
      </x:c>
      <x:c r="E181" s="86" t="n">
        <x:v>6</x:v>
      </x:c>
      <x:c r="F181" s="99" t="n">
        <x:v>0.5</x:v>
      </x:c>
      <x:c r="G181" s="91" t="n">
        <x:v>298.55</x:v>
      </x:c>
      <x:c r="H181" s="86" t="n">
        <x:v>1</x:v>
      </x:c>
      <x:c r="I181" s="87" t="n">
        <x:v>6</x:v>
      </x:c>
    </x:row>
    <x:row r="182">
      <x:c r="A182" s="85" t="n">
        <x:v>181</x:v>
      </x:c>
      <x:c r="B182" s="86" t="n">
        <x:v>380</x:v>
      </x:c>
      <x:c r="C182" s="95" t="n">
        <x:v>45457</x:v>
      </x:c>
      <x:c r="D182" s="86" t="str">
        <x:v>Domingo/Feriado</x:v>
      </x:c>
      <x:c r="E182" s="86" t="n">
        <x:v>1</x:v>
      </x:c>
      <x:c r="F182" s="99" t="n">
        <x:v>1</x:v>
      </x:c>
      <x:c r="G182" s="91" t="n">
        <x:v>28.95</x:v>
      </x:c>
      <x:c r="H182" s="86" t="n">
        <x:v>1</x:v>
      </x:c>
      <x:c r="I182" s="87" t="n">
        <x:v>1</x:v>
      </x:c>
    </x:row>
    <x:row r="183">
      <x:c r="A183" s="85" t="n">
        <x:v>182</x:v>
      </x:c>
      <x:c r="B183" s="86" t="n">
        <x:v>87</x:v>
      </x:c>
      <x:c r="C183" s="95" t="n">
        <x:v>46018</x:v>
      </x:c>
      <x:c r="D183" s="86" t="str">
        <x:v>Dia útil</x:v>
      </x:c>
      <x:c r="E183" s="86" t="n">
        <x:v>1</x:v>
      </x:c>
      <x:c r="F183" s="99" t="n">
        <x:v>0.5</x:v>
      </x:c>
      <x:c r="G183" s="91" t="n">
        <x:v>27.13</x:v>
      </x:c>
      <x:c r="H183" s="86" t="n">
        <x:v>1</x:v>
      </x:c>
      <x:c r="I183" s="87" t="n">
        <x:v>2</x:v>
      </x:c>
    </x:row>
    <x:row r="184">
      <x:c r="A184" s="85" t="n">
        <x:v>183</x:v>
      </x:c>
      <x:c r="B184" s="86" t="n">
        <x:v>238</x:v>
      </x:c>
      <x:c r="C184" s="95" t="n">
        <x:v>45659</x:v>
      </x:c>
      <x:c r="D184" s="86" t="str">
        <x:v>Dia útil</x:v>
      </x:c>
      <x:c r="E184" s="86" t="n">
        <x:v>4</x:v>
      </x:c>
      <x:c r="F184" s="99" t="n">
        <x:v>0.5</x:v>
      </x:c>
      <x:c r="G184" s="91" t="n">
        <x:v>86.36</x:v>
      </x:c>
      <x:c r="H184" s="86" t="n">
        <x:v>1</x:v>
      </x:c>
      <x:c r="I184" s="87" t="n">
        <x:v>1</x:v>
      </x:c>
    </x:row>
    <x:row r="185">
      <x:c r="A185" s="85" t="n">
        <x:v>184</x:v>
      </x:c>
      <x:c r="B185" s="86" t="n">
        <x:v>104</x:v>
      </x:c>
      <x:c r="C185" s="95" t="n">
        <x:v>45820</x:v>
      </x:c>
      <x:c r="D185" s="86" t="str">
        <x:v>Dia útil</x:v>
      </x:c>
      <x:c r="E185" s="86" t="n">
        <x:v>6</x:v>
      </x:c>
      <x:c r="F185" s="99" t="n">
        <x:v>0.5</x:v>
      </x:c>
      <x:c r="G185" s="91" t="n">
        <x:v>431.7</x:v>
      </x:c>
      <x:c r="H185" s="86" t="n">
        <x:v>1</x:v>
      </x:c>
      <x:c r="I185" s="87" t="n">
        <x:v>2</x:v>
      </x:c>
    </x:row>
    <x:row r="186">
      <x:c r="A186" s="85" t="n">
        <x:v>185</x:v>
      </x:c>
      <x:c r="B186" s="86" t="n">
        <x:v>371</x:v>
      </x:c>
      <x:c r="C186" s="95" t="n">
        <x:v>45643</x:v>
      </x:c>
      <x:c r="D186" s="86" t="str">
        <x:v>Dia útil</x:v>
      </x:c>
      <x:c r="E186" s="86" t="n">
        <x:v>1</x:v>
      </x:c>
      <x:c r="F186" s="99" t="n">
        <x:v>0.5</x:v>
      </x:c>
      <x:c r="G186" s="91" t="n">
        <x:v>65.9</x:v>
      </x:c>
      <x:c r="H186" s="86" t="n">
        <x:v>1</x:v>
      </x:c>
      <x:c r="I186" s="87" t="n">
        <x:v>1</x:v>
      </x:c>
    </x:row>
    <x:row r="187">
      <x:c r="A187" s="85" t="n">
        <x:v>186</x:v>
      </x:c>
      <x:c r="B187" s="86" t="n">
        <x:v>111</x:v>
      </x:c>
      <x:c r="C187" s="95" t="n">
        <x:v>45475</x:v>
      </x:c>
      <x:c r="D187" s="86" t="str">
        <x:v>Sábado</x:v>
      </x:c>
      <x:c r="E187" s="86" t="n">
        <x:v>4</x:v>
      </x:c>
      <x:c r="F187" s="99" t="n">
        <x:v>0.75</x:v>
      </x:c>
      <x:c r="G187" s="91" t="n">
        <x:v>332.94</x:v>
      </x:c>
      <x:c r="H187" s="86" t="n">
        <x:v>1</x:v>
      </x:c>
      <x:c r="I187" s="87" t="n">
        <x:v>2</x:v>
      </x:c>
    </x:row>
    <x:row r="188">
      <x:c r="A188" s="85" t="n">
        <x:v>187</x:v>
      </x:c>
      <x:c r="B188" s="86" t="n">
        <x:v>67</x:v>
      </x:c>
      <x:c r="C188" s="95" t="n">
        <x:v>45664</x:v>
      </x:c>
      <x:c r="D188" s="86" t="str">
        <x:v>Sábado</x:v>
      </x:c>
      <x:c r="E188" s="86" t="n">
        <x:v>3</x:v>
      </x:c>
      <x:c r="F188" s="99" t="n">
        <x:v>0.75</x:v>
      </x:c>
      <x:c r="G188" s="91" t="n">
        <x:v>101.23</x:v>
      </x:c>
      <x:c r="H188" s="86" t="n">
        <x:v>1</x:v>
      </x:c>
      <x:c r="I188" s="87" t="n">
        <x:v>3</x:v>
      </x:c>
    </x:row>
    <x:row r="189">
      <x:c r="A189" s="85" t="n">
        <x:v>188</x:v>
      </x:c>
      <x:c r="B189" s="86" t="n">
        <x:v>258</x:v>
      </x:c>
      <x:c r="C189" s="95" t="n">
        <x:v>46022</x:v>
      </x:c>
      <x:c r="D189" s="86" t="str">
        <x:v>Domingo/Feriado</x:v>
      </x:c>
      <x:c r="E189" s="86" t="n">
        <x:v>1</x:v>
      </x:c>
      <x:c r="F189" s="99" t="n">
        <x:v>1</x:v>
      </x:c>
      <x:c r="G189" s="91" t="n">
        <x:v>31.5</x:v>
      </x:c>
      <x:c r="H189" s="86" t="n">
        <x:v>1</x:v>
      </x:c>
      <x:c r="I189" s="87" t="n">
        <x:v>1</x:v>
      </x:c>
    </x:row>
    <x:row r="190">
      <x:c r="A190" s="85" t="n">
        <x:v>189</x:v>
      </x:c>
      <x:c r="B190" s="86" t="n">
        <x:v>299</x:v>
      </x:c>
      <x:c r="C190" s="95" t="n">
        <x:v>45711</x:v>
      </x:c>
      <x:c r="D190" s="86" t="str">
        <x:v>Domingo/Feriado</x:v>
      </x:c>
      <x:c r="E190" s="86" t="n">
        <x:v>3</x:v>
      </x:c>
      <x:c r="F190" s="99" t="n">
        <x:v>1</x:v>
      </x:c>
      <x:c r="G190" s="91" t="n">
        <x:v>77.4</x:v>
      </x:c>
      <x:c r="H190" s="86" t="n">
        <x:v>1</x:v>
      </x:c>
      <x:c r="I190" s="87" t="n">
        <x:v>1</x:v>
      </x:c>
    </x:row>
    <x:row r="191">
      <x:c r="A191" s="85" t="n">
        <x:v>190</x:v>
      </x:c>
      <x:c r="B191" s="86" t="n">
        <x:v>368</x:v>
      </x:c>
      <x:c r="C191" s="95" t="n">
        <x:v>45760</x:v>
      </x:c>
      <x:c r="D191" s="86" t="str">
        <x:v>Sábado</x:v>
      </x:c>
      <x:c r="E191" s="86" t="n">
        <x:v>8</x:v>
      </x:c>
      <x:c r="F191" s="99" t="n">
        <x:v>0.75</x:v>
      </x:c>
      <x:c r="G191" s="91" t="n">
        <x:v>141.83</x:v>
      </x:c>
      <x:c r="H191" s="86" t="n">
        <x:v>1</x:v>
      </x:c>
      <x:c r="I191" s="87" t="n">
        <x:v>1</x:v>
      </x:c>
    </x:row>
    <x:row r="192">
      <x:c r="A192" s="85" t="n">
        <x:v>191</x:v>
      </x:c>
      <x:c r="B192" s="86" t="n">
        <x:v>262</x:v>
      </x:c>
      <x:c r="C192" s="95" t="n">
        <x:v>45876</x:v>
      </x:c>
      <x:c r="D192" s="86" t="str">
        <x:v>Dia útil</x:v>
      </x:c>
      <x:c r="E192" s="86" t="n">
        <x:v>1</x:v>
      </x:c>
      <x:c r="F192" s="99" t="n">
        <x:v>0.5</x:v>
      </x:c>
      <x:c r="G192" s="91" t="n">
        <x:v>21.43</x:v>
      </x:c>
      <x:c r="H192" s="86" t="n">
        <x:v>1</x:v>
      </x:c>
      <x:c r="I192" s="87" t="n">
        <x:v>1</x:v>
      </x:c>
    </x:row>
    <x:row r="193">
      <x:c r="A193" s="85" t="n">
        <x:v>192</x:v>
      </x:c>
      <x:c r="B193" s="86" t="n">
        <x:v>223</x:v>
      </x:c>
      <x:c r="C193" s="95" t="n">
        <x:v>46004</x:v>
      </x:c>
      <x:c r="D193" s="86" t="str">
        <x:v>Sábado</x:v>
      </x:c>
      <x:c r="E193" s="86" t="n">
        <x:v>2</x:v>
      </x:c>
      <x:c r="F193" s="99" t="n">
        <x:v>0.75</x:v>
      </x:c>
      <x:c r="G193" s="91" t="n">
        <x:v>52.91</x:v>
      </x:c>
      <x:c r="H193" s="86" t="n">
        <x:v>1</x:v>
      </x:c>
      <x:c r="I193" s="87" t="n">
        <x:v>2</x:v>
      </x:c>
    </x:row>
    <x:row r="194">
      <x:c r="A194" s="85" t="n">
        <x:v>193</x:v>
      </x:c>
      <x:c r="B194" s="86" t="n">
        <x:v>343</x:v>
      </x:c>
      <x:c r="C194" s="95" t="n">
        <x:v>45934</x:v>
      </x:c>
      <x:c r="D194" s="86" t="str">
        <x:v>Dia útil</x:v>
      </x:c>
      <x:c r="E194" s="86" t="n">
        <x:v>3</x:v>
      </x:c>
      <x:c r="F194" s="99" t="n">
        <x:v>0.5</x:v>
      </x:c>
      <x:c r="G194" s="91" t="n">
        <x:v>136.52</x:v>
      </x:c>
      <x:c r="H194" s="86" t="n">
        <x:v>1</x:v>
      </x:c>
      <x:c r="I194" s="87" t="n">
        <x:v>8</x:v>
      </x:c>
    </x:row>
    <x:row r="195">
      <x:c r="A195" s="85" t="n">
        <x:v>194</x:v>
      </x:c>
      <x:c r="B195" s="86" t="n">
        <x:v>305</x:v>
      </x:c>
      <x:c r="C195" s="95" t="n">
        <x:v>45456</x:v>
      </x:c>
      <x:c r="D195" s="86" t="str">
        <x:v>Dia útil</x:v>
      </x:c>
      <x:c r="E195" s="86" t="n">
        <x:v>3</x:v>
      </x:c>
      <x:c r="F195" s="99" t="n">
        <x:v>0.5</x:v>
      </x:c>
      <x:c r="G195" s="91" t="n">
        <x:v>68.7</x:v>
      </x:c>
      <x:c r="H195" s="86" t="n">
        <x:v>1</x:v>
      </x:c>
      <x:c r="I195" s="87" t="n">
        <x:v>1</x:v>
      </x:c>
    </x:row>
    <x:row r="196">
      <x:c r="A196" s="85" t="n">
        <x:v>195</x:v>
      </x:c>
      <x:c r="B196" s="86" t="n">
        <x:v>48</x:v>
      </x:c>
      <x:c r="C196" s="95" t="n">
        <x:v>45950</x:v>
      </x:c>
      <x:c r="D196" s="86" t="str">
        <x:v>Dia útil</x:v>
      </x:c>
      <x:c r="E196" s="86" t="n">
        <x:v>6</x:v>
      </x:c>
      <x:c r="F196" s="99" t="n">
        <x:v>0.5</x:v>
      </x:c>
      <x:c r="G196" s="91" t="n">
        <x:v>279.56</x:v>
      </x:c>
      <x:c r="H196" s="86" t="n">
        <x:v>1</x:v>
      </x:c>
      <x:c r="I196" s="87" t="n">
        <x:v>8</x:v>
      </x:c>
    </x:row>
    <x:row r="197">
      <x:c r="A197" s="85" t="n">
        <x:v>196</x:v>
      </x:c>
      <x:c r="B197" s="86" t="n">
        <x:v>45</x:v>
      </x:c>
      <x:c r="C197" s="95" t="n">
        <x:v>45600</x:v>
      </x:c>
      <x:c r="D197" s="86" t="str">
        <x:v>Dia útil</x:v>
      </x:c>
      <x:c r="E197" s="86" t="n">
        <x:v>8</x:v>
      </x:c>
      <x:c r="F197" s="99" t="n">
        <x:v>0.5</x:v>
      </x:c>
      <x:c r="G197" s="91" t="n">
        <x:v>123.69</x:v>
      </x:c>
      <x:c r="H197" s="86" t="n">
        <x:v>1</x:v>
      </x:c>
      <x:c r="I197" s="87" t="n">
        <x:v>1</x:v>
      </x:c>
    </x:row>
    <x:row r="198">
      <x:c r="A198" s="85" t="n">
        <x:v>197</x:v>
      </x:c>
      <x:c r="B198" s="86" t="n">
        <x:v>395</x:v>
      </x:c>
      <x:c r="C198" s="95" t="n">
        <x:v>45886</x:v>
      </x:c>
      <x:c r="D198" s="86" t="str">
        <x:v>Dia útil</x:v>
      </x:c>
      <x:c r="E198" s="86" t="n">
        <x:v>3</x:v>
      </x:c>
      <x:c r="F198" s="99" t="n">
        <x:v>0.5</x:v>
      </x:c>
      <x:c r="G198" s="91" t="n">
        <x:v>121.63</x:v>
      </x:c>
      <x:c r="H198" s="86" t="n">
        <x:v>1</x:v>
      </x:c>
      <x:c r="I198" s="87" t="n">
        <x:v>4</x:v>
      </x:c>
    </x:row>
    <x:row r="199">
      <x:c r="A199" s="85" t="n">
        <x:v>198</x:v>
      </x:c>
      <x:c r="B199" s="86" t="n">
        <x:v>195</x:v>
      </x:c>
      <x:c r="C199" s="95" t="n">
        <x:v>45815</x:v>
      </x:c>
      <x:c r="D199" s="86" t="str">
        <x:v>Domingo/Feriado</x:v>
      </x:c>
      <x:c r="E199" s="86" t="n">
        <x:v>3</x:v>
      </x:c>
      <x:c r="F199" s="99" t="n">
        <x:v>1</x:v>
      </x:c>
      <x:c r="G199" s="91" t="n">
        <x:v>146.47</x:v>
      </x:c>
      <x:c r="H199" s="86" t="n">
        <x:v>1</x:v>
      </x:c>
      <x:c r="I199" s="87" t="n">
        <x:v>4</x:v>
      </x:c>
    </x:row>
    <x:row r="200">
      <x:c r="A200" s="85" t="n">
        <x:v>199</x:v>
      </x:c>
      <x:c r="B200" s="86" t="n">
        <x:v>166</x:v>
      </x:c>
      <x:c r="C200" s="95" t="n">
        <x:v>45989</x:v>
      </x:c>
      <x:c r="D200" s="86" t="str">
        <x:v>Dia útil</x:v>
      </x:c>
      <x:c r="E200" s="86" t="n">
        <x:v>8</x:v>
      </x:c>
      <x:c r="F200" s="99" t="n">
        <x:v>0.5</x:v>
      </x:c>
      <x:c r="G200" s="91" t="n">
        <x:v>123.61</x:v>
      </x:c>
      <x:c r="H200" s="86" t="n">
        <x:v>1</x:v>
      </x:c>
      <x:c r="I200" s="87" t="n">
        <x:v>1</x:v>
      </x:c>
    </x:row>
    <x:row r="201">
      <x:c r="A201" s="85" t="n">
        <x:v>200</x:v>
      </x:c>
      <x:c r="B201" s="86" t="n">
        <x:v>395</x:v>
      </x:c>
      <x:c r="C201" s="95" t="n">
        <x:v>45917</x:v>
      </x:c>
      <x:c r="D201" s="86" t="str">
        <x:v>Sábado</x:v>
      </x:c>
      <x:c r="E201" s="86" t="n">
        <x:v>6</x:v>
      </x:c>
      <x:c r="F201" s="99" t="n">
        <x:v>0.75</x:v>
      </x:c>
      <x:c r="G201" s="91" t="n">
        <x:v>283.81</x:v>
      </x:c>
      <x:c r="H201" s="86" t="n">
        <x:v>0</x:v>
      </x:c>
      <x:c r="I201" s="87" t="n">
        <x:v>4</x:v>
      </x:c>
    </x:row>
    <x:row r="202">
      <x:c r="A202" s="85" t="n">
        <x:v>201</x:v>
      </x:c>
      <x:c r="B202" s="86" t="n">
        <x:v>360</x:v>
      </x:c>
      <x:c r="C202" s="95" t="n">
        <x:v>45879</x:v>
      </x:c>
      <x:c r="D202" s="86" t="str">
        <x:v>Sábado</x:v>
      </x:c>
      <x:c r="E202" s="86" t="n">
        <x:v>1</x:v>
      </x:c>
      <x:c r="F202" s="99" t="n">
        <x:v>0.75</x:v>
      </x:c>
      <x:c r="G202" s="91" t="n">
        <x:v>35.77</x:v>
      </x:c>
      <x:c r="H202" s="86" t="n">
        <x:v>1</x:v>
      </x:c>
      <x:c r="I202" s="87" t="n">
        <x:v>2</x:v>
      </x:c>
    </x:row>
    <x:row r="203">
      <x:c r="A203" s="85" t="n">
        <x:v>202</x:v>
      </x:c>
      <x:c r="B203" s="86" t="n">
        <x:v>394</x:v>
      </x:c>
      <x:c r="C203" s="95" t="n">
        <x:v>45752</x:v>
      </x:c>
      <x:c r="D203" s="86" t="str">
        <x:v>Dia útil</x:v>
      </x:c>
      <x:c r="E203" s="86" t="n">
        <x:v>3</x:v>
      </x:c>
      <x:c r="F203" s="99" t="n">
        <x:v>0.5</x:v>
      </x:c>
      <x:c r="G203" s="91" t="n">
        <x:v>126.22</x:v>
      </x:c>
      <x:c r="H203" s="86" t="n">
        <x:v>1</x:v>
      </x:c>
      <x:c r="I203" s="87" t="n">
        <x:v>9</x:v>
      </x:c>
    </x:row>
    <x:row r="204">
      <x:c r="A204" s="85" t="n">
        <x:v>203</x:v>
      </x:c>
      <x:c r="B204" s="86" t="n">
        <x:v>14</x:v>
      </x:c>
      <x:c r="C204" s="95" t="n">
        <x:v>45933</x:v>
      </x:c>
      <x:c r="D204" s="86" t="str">
        <x:v>Dia útil</x:v>
      </x:c>
      <x:c r="E204" s="86" t="n">
        <x:v>4</x:v>
      </x:c>
      <x:c r="F204" s="99" t="n">
        <x:v>0.5</x:v>
      </x:c>
      <x:c r="G204" s="91" t="n">
        <x:v>91.27</x:v>
      </x:c>
      <x:c r="H204" s="86" t="n">
        <x:v>1</x:v>
      </x:c>
      <x:c r="I204" s="87" t="n">
        <x:v>3</x:v>
      </x:c>
    </x:row>
    <x:row r="205">
      <x:c r="A205" s="85" t="n">
        <x:v>204</x:v>
      </x:c>
      <x:c r="B205" s="86" t="n">
        <x:v>274</x:v>
      </x:c>
      <x:c r="C205" s="95" t="n">
        <x:v>45902</x:v>
      </x:c>
      <x:c r="D205" s="86" t="str">
        <x:v>Dia útil</x:v>
      </x:c>
      <x:c r="E205" s="86" t="n">
        <x:v>3</x:v>
      </x:c>
      <x:c r="F205" s="99" t="n">
        <x:v>0.5</x:v>
      </x:c>
      <x:c r="G205" s="91" t="n">
        <x:v>116.04</x:v>
      </x:c>
      <x:c r="H205" s="86" t="n">
        <x:v>1</x:v>
      </x:c>
      <x:c r="I205" s="87" t="n">
        <x:v>8</x:v>
      </x:c>
    </x:row>
    <x:row r="206">
      <x:c r="A206" s="85" t="n">
        <x:v>205</x:v>
      </x:c>
      <x:c r="B206" s="86" t="n">
        <x:v>265</x:v>
      </x:c>
      <x:c r="C206" s="95" t="n">
        <x:v>45765</x:v>
      </x:c>
      <x:c r="D206" s="86" t="str">
        <x:v>Dia útil</x:v>
      </x:c>
      <x:c r="E206" s="86" t="n">
        <x:v>1</x:v>
      </x:c>
      <x:c r="F206" s="99" t="n">
        <x:v>0.5</x:v>
      </x:c>
      <x:c r="G206" s="91" t="n">
        <x:v>20.51</x:v>
      </x:c>
      <x:c r="H206" s="86" t="n">
        <x:v>1</x:v>
      </x:c>
      <x:c r="I206" s="87" t="n">
        <x:v>1</x:v>
      </x:c>
    </x:row>
    <x:row r="207">
      <x:c r="A207" s="85" t="n">
        <x:v>206</x:v>
      </x:c>
      <x:c r="B207" s="86" t="n">
        <x:v>172</x:v>
      </x:c>
      <x:c r="C207" s="95" t="n">
        <x:v>45436</x:v>
      </x:c>
      <x:c r="D207" s="86" t="str">
        <x:v>Dia útil</x:v>
      </x:c>
      <x:c r="E207" s="86" t="n">
        <x:v>3</x:v>
      </x:c>
      <x:c r="F207" s="99" t="n">
        <x:v>0.5</x:v>
      </x:c>
      <x:c r="G207" s="91" t="n">
        <x:v>50.68</x:v>
      </x:c>
      <x:c r="H207" s="86" t="n">
        <x:v>1</x:v>
      </x:c>
      <x:c r="I207" s="87" t="n">
        <x:v>1</x:v>
      </x:c>
    </x:row>
    <x:row r="208">
      <x:c r="A208" s="85" t="n">
        <x:v>207</x:v>
      </x:c>
      <x:c r="B208" s="86" t="n">
        <x:v>304</x:v>
      </x:c>
      <x:c r="C208" s="95" t="n">
        <x:v>45516</x:v>
      </x:c>
      <x:c r="D208" s="86" t="str">
        <x:v>Sábado</x:v>
      </x:c>
      <x:c r="E208" s="86" t="n">
        <x:v>6</x:v>
      </x:c>
      <x:c r="F208" s="99" t="n">
        <x:v>0.75</x:v>
      </x:c>
      <x:c r="G208" s="91" t="n">
        <x:v>111.39</x:v>
      </x:c>
      <x:c r="H208" s="86" t="n">
        <x:v>1</x:v>
      </x:c>
      <x:c r="I208" s="87" t="n">
        <x:v>1</x:v>
      </x:c>
    </x:row>
    <x:row r="209">
      <x:c r="A209" s="85" t="n">
        <x:v>208</x:v>
      </x:c>
      <x:c r="B209" s="86" t="n">
        <x:v>140</x:v>
      </x:c>
      <x:c r="C209" s="95" t="n">
        <x:v>45885</x:v>
      </x:c>
      <x:c r="D209" s="86" t="str">
        <x:v>Dia útil</x:v>
      </x:c>
      <x:c r="E209" s="86" t="n">
        <x:v>3</x:v>
      </x:c>
      <x:c r="F209" s="99" t="n">
        <x:v>0.5</x:v>
      </x:c>
      <x:c r="G209" s="91" t="n">
        <x:v>76.84</x:v>
      </x:c>
      <x:c r="H209" s="86" t="n">
        <x:v>1</x:v>
      </x:c>
      <x:c r="I209" s="87" t="n">
        <x:v>7</x:v>
      </x:c>
    </x:row>
    <x:row r="210">
      <x:c r="A210" s="85" t="n">
        <x:v>209</x:v>
      </x:c>
      <x:c r="B210" s="86" t="n">
        <x:v>404</x:v>
      </x:c>
      <x:c r="C210" s="95" t="n">
        <x:v>45381</x:v>
      </x:c>
      <x:c r="D210" s="86" t="str">
        <x:v>Dia útil</x:v>
      </x:c>
      <x:c r="E210" s="86" t="n">
        <x:v>1</x:v>
      </x:c>
      <x:c r="F210" s="99" t="n">
        <x:v>0.5</x:v>
      </x:c>
      <x:c r="G210" s="91" t="n">
        <x:v>57.16</x:v>
      </x:c>
      <x:c r="H210" s="86" t="n">
        <x:v>1</x:v>
      </x:c>
      <x:c r="I210" s="87" t="n">
        <x:v>1</x:v>
      </x:c>
    </x:row>
    <x:row r="211">
      <x:c r="A211" s="85" t="n">
        <x:v>210</x:v>
      </x:c>
      <x:c r="B211" s="86" t="n">
        <x:v>11</x:v>
      </x:c>
      <x:c r="C211" s="95" t="n">
        <x:v>45741</x:v>
      </x:c>
      <x:c r="D211" s="86" t="str">
        <x:v>Sábado</x:v>
      </x:c>
      <x:c r="E211" s="86" t="n">
        <x:v>4</x:v>
      </x:c>
      <x:c r="F211" s="99" t="n">
        <x:v>0.75</x:v>
      </x:c>
      <x:c r="G211" s="91" t="n">
        <x:v>253.97</x:v>
      </x:c>
      <x:c r="H211" s="86" t="n">
        <x:v>1</x:v>
      </x:c>
      <x:c r="I211" s="87" t="n">
        <x:v>9</x:v>
      </x:c>
    </x:row>
    <x:row r="212">
      <x:c r="A212" s="85" t="n">
        <x:v>211</x:v>
      </x:c>
      <x:c r="B212" s="86" t="n">
        <x:v>138</x:v>
      </x:c>
      <x:c r="C212" s="95" t="n">
        <x:v>45689</x:v>
      </x:c>
      <x:c r="D212" s="86" t="str">
        <x:v>Dia útil</x:v>
      </x:c>
      <x:c r="E212" s="86" t="n">
        <x:v>2</x:v>
      </x:c>
      <x:c r="F212" s="99" t="n">
        <x:v>0.5</x:v>
      </x:c>
      <x:c r="G212" s="91" t="n">
        <x:v>79.16</x:v>
      </x:c>
      <x:c r="H212" s="86" t="n">
        <x:v>1</x:v>
      </x:c>
      <x:c r="I212" s="87" t="n">
        <x:v>7</x:v>
      </x:c>
    </x:row>
    <x:row r="213">
      <x:c r="A213" s="85" t="n">
        <x:v>212</x:v>
      </x:c>
      <x:c r="B213" s="86" t="n">
        <x:v>218</x:v>
      </x:c>
      <x:c r="C213" s="95" t="n">
        <x:v>45878</x:v>
      </x:c>
      <x:c r="D213" s="86" t="str">
        <x:v>Domingo/Feriado</x:v>
      </x:c>
      <x:c r="E213" s="86" t="n">
        <x:v>3</x:v>
      </x:c>
      <x:c r="F213" s="99" t="n">
        <x:v>1</x:v>
      </x:c>
      <x:c r="G213" s="91" t="n">
        <x:v>270.95</x:v>
      </x:c>
      <x:c r="H213" s="86" t="n">
        <x:v>1</x:v>
      </x:c>
      <x:c r="I213" s="87" t="n">
        <x:v>5</x:v>
      </x:c>
    </x:row>
    <x:row r="214">
      <x:c r="A214" s="85" t="n">
        <x:v>213</x:v>
      </x:c>
      <x:c r="B214" s="86" t="n">
        <x:v>150</x:v>
      </x:c>
      <x:c r="C214" s="95" t="n">
        <x:v>45873</x:v>
      </x:c>
      <x:c r="D214" s="86" t="str">
        <x:v>Sábado</x:v>
      </x:c>
      <x:c r="E214" s="86" t="n">
        <x:v>8</x:v>
      </x:c>
      <x:c r="F214" s="99" t="n">
        <x:v>0.75</x:v>
      </x:c>
      <x:c r="G214" s="91" t="n">
        <x:v>221.01</x:v>
      </x:c>
      <x:c r="H214" s="86" t="n">
        <x:v>1</x:v>
      </x:c>
      <x:c r="I214" s="87" t="n">
        <x:v>1</x:v>
      </x:c>
    </x:row>
    <x:row r="215">
      <x:c r="A215" s="85" t="n">
        <x:v>214</x:v>
      </x:c>
      <x:c r="B215" s="86" t="n">
        <x:v>329</x:v>
      </x:c>
      <x:c r="C215" s="95" t="n">
        <x:v>45968</x:v>
      </x:c>
      <x:c r="D215" s="86" t="str">
        <x:v>Sábado</x:v>
      </x:c>
      <x:c r="E215" s="86" t="n">
        <x:v>6</x:v>
      </x:c>
      <x:c r="F215" s="99" t="n">
        <x:v>0.75</x:v>
      </x:c>
      <x:c r="G215" s="91" t="n">
        <x:v>342.76</x:v>
      </x:c>
      <x:c r="H215" s="86" t="n">
        <x:v>0</x:v>
      </x:c>
      <x:c r="I215" s="87" t="n">
        <x:v>7</x:v>
      </x:c>
    </x:row>
    <x:row r="216">
      <x:c r="A216" s="85" t="n">
        <x:v>215</x:v>
      </x:c>
      <x:c r="B216" s="86" t="n">
        <x:v>182</x:v>
      </x:c>
      <x:c r="C216" s="95" t="n">
        <x:v>45476</x:v>
      </x:c>
      <x:c r="D216" s="86" t="str">
        <x:v>Dia útil</x:v>
      </x:c>
      <x:c r="E216" s="86" t="n">
        <x:v>8</x:v>
      </x:c>
      <x:c r="F216" s="99" t="n">
        <x:v>0.5</x:v>
      </x:c>
      <x:c r="G216" s="91" t="n">
        <x:v>167.45</x:v>
      </x:c>
      <x:c r="H216" s="86" t="n">
        <x:v>1</x:v>
      </x:c>
      <x:c r="I216" s="87" t="n">
        <x:v>1</x:v>
      </x:c>
    </x:row>
    <x:row r="217">
      <x:c r="A217" s="85" t="n">
        <x:v>216</x:v>
      </x:c>
      <x:c r="B217" s="86" t="n">
        <x:v>68</x:v>
      </x:c>
      <x:c r="C217" s="95" t="n">
        <x:v>45812</x:v>
      </x:c>
      <x:c r="D217" s="86" t="str">
        <x:v>Dia útil</x:v>
      </x:c>
      <x:c r="E217" s="86" t="n">
        <x:v>1</x:v>
      </x:c>
      <x:c r="F217" s="99" t="n">
        <x:v>0.5</x:v>
      </x:c>
      <x:c r="G217" s="91" t="n">
        <x:v>30.02</x:v>
      </x:c>
      <x:c r="H217" s="86" t="n">
        <x:v>1</x:v>
      </x:c>
      <x:c r="I217" s="87" t="n">
        <x:v>4</x:v>
      </x:c>
    </x:row>
    <x:row r="218">
      <x:c r="A218" s="85" t="n">
        <x:v>217</x:v>
      </x:c>
      <x:c r="B218" s="86" t="n">
        <x:v>206</x:v>
      </x:c>
      <x:c r="C218" s="95" t="n">
        <x:v>45542</x:v>
      </x:c>
      <x:c r="D218" s="86" t="str">
        <x:v>Dia útil</x:v>
      </x:c>
      <x:c r="E218" s="86" t="n">
        <x:v>6</x:v>
      </x:c>
      <x:c r="F218" s="99" t="n">
        <x:v>0.5</x:v>
      </x:c>
      <x:c r="G218" s="91" t="n">
        <x:v>224.92</x:v>
      </x:c>
      <x:c r="H218" s="86" t="n">
        <x:v>1</x:v>
      </x:c>
      <x:c r="I218" s="87" t="n">
        <x:v>6</x:v>
      </x:c>
    </x:row>
    <x:row r="219">
      <x:c r="A219" s="85" t="n">
        <x:v>218</x:v>
      </x:c>
      <x:c r="B219" s="86" t="n">
        <x:v>337</x:v>
      </x:c>
      <x:c r="C219" s="95" t="n">
        <x:v>45598</x:v>
      </x:c>
      <x:c r="D219" s="86" t="str">
        <x:v>Domingo/Feriado</x:v>
      </x:c>
      <x:c r="E219" s="86" t="n">
        <x:v>1</x:v>
      </x:c>
      <x:c r="F219" s="99" t="n">
        <x:v>1</x:v>
      </x:c>
      <x:c r="G219" s="91" t="n">
        <x:v>72.64</x:v>
      </x:c>
      <x:c r="H219" s="86" t="n">
        <x:v>1</x:v>
      </x:c>
      <x:c r="I219" s="87" t="n">
        <x:v>6</x:v>
      </x:c>
    </x:row>
    <x:row r="220">
      <x:c r="A220" s="85" t="n">
        <x:v>219</x:v>
      </x:c>
      <x:c r="B220" s="86" t="n">
        <x:v>317</x:v>
      </x:c>
      <x:c r="C220" s="95" t="n">
        <x:v>45487</x:v>
      </x:c>
      <x:c r="D220" s="86" t="str">
        <x:v>Dia útil</x:v>
      </x:c>
      <x:c r="E220" s="86" t="n">
        <x:v>1</x:v>
      </x:c>
      <x:c r="F220" s="99" t="n">
        <x:v>0.5</x:v>
      </x:c>
      <x:c r="G220" s="91" t="n">
        <x:v>50.04</x:v>
      </x:c>
      <x:c r="H220" s="86" t="n">
        <x:v>1</x:v>
      </x:c>
      <x:c r="I220" s="87" t="n">
        <x:v>5</x:v>
      </x:c>
    </x:row>
    <x:row r="221">
      <x:c r="A221" s="85" t="n">
        <x:v>220</x:v>
      </x:c>
      <x:c r="B221" s="86" t="n">
        <x:v>67</x:v>
      </x:c>
      <x:c r="C221" s="95" t="n">
        <x:v>45579</x:v>
      </x:c>
      <x:c r="D221" s="86" t="str">
        <x:v>Dia útil</x:v>
      </x:c>
      <x:c r="E221" s="86" t="n">
        <x:v>1</x:v>
      </x:c>
      <x:c r="F221" s="99" t="n">
        <x:v>0.5</x:v>
      </x:c>
      <x:c r="G221" s="91" t="n">
        <x:v>28.92</x:v>
      </x:c>
      <x:c r="H221" s="86" t="n">
        <x:v>1</x:v>
      </x:c>
      <x:c r="I221" s="87" t="n">
        <x:v>3</x:v>
      </x:c>
    </x:row>
    <x:row r="222">
      <x:c r="A222" s="85" t="n">
        <x:v>221</x:v>
      </x:c>
      <x:c r="B222" s="86" t="n">
        <x:v>11</x:v>
      </x:c>
      <x:c r="C222" s="95" t="n">
        <x:v>45711</x:v>
      </x:c>
      <x:c r="D222" s="86" t="str">
        <x:v>Sábado</x:v>
      </x:c>
      <x:c r="E222" s="86" t="n">
        <x:v>2</x:v>
      </x:c>
      <x:c r="F222" s="99" t="n">
        <x:v>0.75</x:v>
      </x:c>
      <x:c r="G222" s="91" t="n">
        <x:v>126.99</x:v>
      </x:c>
      <x:c r="H222" s="86" t="n">
        <x:v>1</x:v>
      </x:c>
      <x:c r="I222" s="87" t="n">
        <x:v>9</x:v>
      </x:c>
    </x:row>
    <x:row r="223">
      <x:c r="A223" s="85" t="n">
        <x:v>222</x:v>
      </x:c>
      <x:c r="B223" s="86" t="n">
        <x:v>109</x:v>
      </x:c>
      <x:c r="C223" s="95" t="n">
        <x:v>45409</x:v>
      </x:c>
      <x:c r="D223" s="86" t="str">
        <x:v>Dia útil</x:v>
      </x:c>
      <x:c r="E223" s="86" t="n">
        <x:v>1</x:v>
      </x:c>
      <x:c r="F223" s="99" t="n">
        <x:v>0.5</x:v>
      </x:c>
      <x:c r="G223" s="91" t="n">
        <x:v>107.97</x:v>
      </x:c>
      <x:c r="H223" s="86" t="n">
        <x:v>1</x:v>
      </x:c>
      <x:c r="I223" s="87" t="n">
        <x:v>8</x:v>
      </x:c>
    </x:row>
    <x:row r="224">
      <x:c r="A224" s="85" t="n">
        <x:v>223</x:v>
      </x:c>
      <x:c r="B224" s="86" t="n">
        <x:v>281</x:v>
      </x:c>
      <x:c r="C224" s="95" t="n">
        <x:v>45686</x:v>
      </x:c>
      <x:c r="D224" s="86" t="str">
        <x:v>Domingo/Feriado</x:v>
      </x:c>
      <x:c r="E224" s="86" t="n">
        <x:v>8</x:v>
      </x:c>
      <x:c r="F224" s="99" t="n">
        <x:v>1</x:v>
      </x:c>
      <x:c r="G224" s="91" t="n">
        <x:v>166.44</x:v>
      </x:c>
      <x:c r="H224" s="86" t="n">
        <x:v>1</x:v>
      </x:c>
      <x:c r="I224" s="87" t="n">
        <x:v>1</x:v>
      </x:c>
    </x:row>
    <x:row r="225">
      <x:c r="A225" s="85" t="n">
        <x:v>224</x:v>
      </x:c>
      <x:c r="B225" s="86" t="n">
        <x:v>286</x:v>
      </x:c>
      <x:c r="C225" s="95" t="n">
        <x:v>45590</x:v>
      </x:c>
      <x:c r="D225" s="86" t="str">
        <x:v>Dia útil</x:v>
      </x:c>
      <x:c r="E225" s="86" t="n">
        <x:v>1</x:v>
      </x:c>
      <x:c r="F225" s="99" t="n">
        <x:v>0.5</x:v>
      </x:c>
      <x:c r="G225" s="91" t="n">
        <x:v>20.06</x:v>
      </x:c>
      <x:c r="H225" s="86" t="n">
        <x:v>1</x:v>
      </x:c>
      <x:c r="I225" s="87" t="n">
        <x:v>1</x:v>
      </x:c>
    </x:row>
    <x:row r="226">
      <x:c r="A226" s="85" t="n">
        <x:v>225</x:v>
      </x:c>
      <x:c r="B226" s="86" t="n">
        <x:v>120</x:v>
      </x:c>
      <x:c r="C226" s="95" t="n">
        <x:v>45742</x:v>
      </x:c>
      <x:c r="D226" s="86" t="str">
        <x:v>Dia útil</x:v>
      </x:c>
      <x:c r="E226" s="86" t="n">
        <x:v>3</x:v>
      </x:c>
      <x:c r="F226" s="99" t="n">
        <x:v>0.5</x:v>
      </x:c>
      <x:c r="G226" s="91" t="n">
        <x:v>196.99</x:v>
      </x:c>
      <x:c r="H226" s="86" t="n">
        <x:v>1</x:v>
      </x:c>
      <x:c r="I226" s="87" t="n">
        <x:v>5</x:v>
      </x:c>
    </x:row>
    <x:row r="227">
      <x:c r="A227" s="85" t="n">
        <x:v>226</x:v>
      </x:c>
      <x:c r="B227" s="86" t="n">
        <x:v>318</x:v>
      </x:c>
      <x:c r="C227" s="95" t="n">
        <x:v>45580</x:v>
      </x:c>
      <x:c r="D227" s="86" t="str">
        <x:v>Dia útil</x:v>
      </x:c>
      <x:c r="E227" s="86" t="n">
        <x:v>2</x:v>
      </x:c>
      <x:c r="F227" s="99" t="n">
        <x:v>0.5</x:v>
      </x:c>
      <x:c r="G227" s="91" t="n">
        <x:v>94.4</x:v>
      </x:c>
      <x:c r="H227" s="86" t="n">
        <x:v>0</x:v>
      </x:c>
      <x:c r="I227" s="87" t="n">
        <x:v>5</x:v>
      </x:c>
    </x:row>
    <x:row r="228">
      <x:c r="A228" s="85" t="n">
        <x:v>227</x:v>
      </x:c>
      <x:c r="B228" s="86" t="n">
        <x:v>250</x:v>
      </x:c>
      <x:c r="C228" s="95" t="n">
        <x:v>45910</x:v>
      </x:c>
      <x:c r="D228" s="86" t="str">
        <x:v>Sábado</x:v>
      </x:c>
      <x:c r="E228" s="86" t="n">
        <x:v>8</x:v>
      </x:c>
      <x:c r="F228" s="99" t="n">
        <x:v>0.75</x:v>
      </x:c>
      <x:c r="G228" s="91" t="n">
        <x:v>315.46</x:v>
      </x:c>
      <x:c r="H228" s="86" t="n">
        <x:v>1</x:v>
      </x:c>
      <x:c r="I228" s="87" t="n">
        <x:v>10</x:v>
      </x:c>
    </x:row>
    <x:row r="229">
      <x:c r="A229" s="85" t="n">
        <x:v>228</x:v>
      </x:c>
      <x:c r="B229" s="86" t="n">
        <x:v>398</x:v>
      </x:c>
      <x:c r="C229" s="95" t="n">
        <x:v>45764</x:v>
      </x:c>
      <x:c r="D229" s="86" t="str">
        <x:v>Domingo/Feriado</x:v>
      </x:c>
      <x:c r="E229" s="86" t="n">
        <x:v>2</x:v>
      </x:c>
      <x:c r="F229" s="99" t="n">
        <x:v>1</x:v>
      </x:c>
      <x:c r="G229" s="91" t="n">
        <x:v>46.54</x:v>
      </x:c>
      <x:c r="H229" s="86" t="n">
        <x:v>1</x:v>
      </x:c>
      <x:c r="I229" s="87" t="n">
        <x:v>1</x:v>
      </x:c>
    </x:row>
    <x:row r="230">
      <x:c r="A230" s="85" t="n">
        <x:v>229</x:v>
      </x:c>
      <x:c r="B230" s="86" t="n">
        <x:v>255</x:v>
      </x:c>
      <x:c r="C230" s="95" t="n">
        <x:v>45664</x:v>
      </x:c>
      <x:c r="D230" s="86" t="str">
        <x:v>Dia útil</x:v>
      </x:c>
      <x:c r="E230" s="86" t="n">
        <x:v>4</x:v>
      </x:c>
      <x:c r="F230" s="99" t="n">
        <x:v>0.5</x:v>
      </x:c>
      <x:c r="G230" s="91" t="n">
        <x:v>88.9</x:v>
      </x:c>
      <x:c r="H230" s="86" t="n">
        <x:v>1</x:v>
      </x:c>
      <x:c r="I230" s="87" t="n">
        <x:v>1</x:v>
      </x:c>
    </x:row>
    <x:row r="231">
      <x:c r="A231" s="85" t="n">
        <x:v>230</x:v>
      </x:c>
      <x:c r="B231" s="86" t="n">
        <x:v>103</x:v>
      </x:c>
      <x:c r="C231" s="95" t="n">
        <x:v>45948</x:v>
      </x:c>
      <x:c r="D231" s="86" t="str">
        <x:v>Domingo/Feriado</x:v>
      </x:c>
      <x:c r="E231" s="86" t="n">
        <x:v>2</x:v>
      </x:c>
      <x:c r="F231" s="99" t="n">
        <x:v>1</x:v>
      </x:c>
      <x:c r="G231" s="91" t="n">
        <x:v>138.67</x:v>
      </x:c>
      <x:c r="H231" s="86" t="n">
        <x:v>1</x:v>
      </x:c>
      <x:c r="I231" s="87" t="n">
        <x:v>5</x:v>
      </x:c>
    </x:row>
    <x:row r="232">
      <x:c r="A232" s="85" t="n">
        <x:v>231</x:v>
      </x:c>
      <x:c r="B232" s="86" t="n">
        <x:v>387</x:v>
      </x:c>
      <x:c r="C232" s="95" t="n">
        <x:v>45979</x:v>
      </x:c>
      <x:c r="D232" s="86" t="str">
        <x:v>Sábado</x:v>
      </x:c>
      <x:c r="E232" s="86" t="n">
        <x:v>6</x:v>
      </x:c>
      <x:c r="F232" s="99" t="n">
        <x:v>0.75</x:v>
      </x:c>
      <x:c r="G232" s="91" t="n">
        <x:v>332.49</x:v>
      </x:c>
      <x:c r="H232" s="86" t="n">
        <x:v>1</x:v>
      </x:c>
      <x:c r="I232" s="87" t="n">
        <x:v>5</x:v>
      </x:c>
    </x:row>
    <x:row r="233">
      <x:c r="A233" s="85" t="n">
        <x:v>232</x:v>
      </x:c>
      <x:c r="B233" s="86" t="n">
        <x:v>65</x:v>
      </x:c>
      <x:c r="C233" s="95" t="n">
        <x:v>45967</x:v>
      </x:c>
      <x:c r="D233" s="86" t="str">
        <x:v>Domingo/Feriado</x:v>
      </x:c>
      <x:c r="E233" s="86" t="n">
        <x:v>3</x:v>
      </x:c>
      <x:c r="F233" s="99" t="n">
        <x:v>1</x:v>
      </x:c>
      <x:c r="G233" s="91" t="n">
        <x:v>436.21</x:v>
      </x:c>
      <x:c r="H233" s="86" t="n">
        <x:v>1</x:v>
      </x:c>
      <x:c r="I233" s="87" t="n">
        <x:v>6</x:v>
      </x:c>
    </x:row>
    <x:row r="234">
      <x:c r="A234" s="85" t="n">
        <x:v>233</x:v>
      </x:c>
      <x:c r="B234" s="86" t="n">
        <x:v>285</x:v>
      </x:c>
      <x:c r="C234" s="95" t="n">
        <x:v>45699</x:v>
      </x:c>
      <x:c r="D234" s="86" t="str">
        <x:v>Dia útil</x:v>
      </x:c>
      <x:c r="E234" s="86" t="n">
        <x:v>3</x:v>
      </x:c>
      <x:c r="F234" s="99" t="n">
        <x:v>0.5</x:v>
      </x:c>
      <x:c r="G234" s="91" t="n">
        <x:v>63.94</x:v>
      </x:c>
      <x:c r="H234" s="86" t="n">
        <x:v>1</x:v>
      </x:c>
      <x:c r="I234" s="87" t="n">
        <x:v>1</x:v>
      </x:c>
    </x:row>
    <x:row r="235">
      <x:c r="A235" s="85" t="n">
        <x:v>234</x:v>
      </x:c>
      <x:c r="B235" s="86" t="n">
        <x:v>289</x:v>
      </x:c>
      <x:c r="C235" s="95" t="n">
        <x:v>45868</x:v>
      </x:c>
      <x:c r="D235" s="86" t="str">
        <x:v>Dia útil</x:v>
      </x:c>
      <x:c r="E235" s="86" t="n">
        <x:v>8</x:v>
      </x:c>
      <x:c r="F235" s="99" t="n">
        <x:v>0.5</x:v>
      </x:c>
      <x:c r="G235" s="91" t="n">
        <x:v>149.61</x:v>
      </x:c>
      <x:c r="H235" s="86" t="n">
        <x:v>1</x:v>
      </x:c>
      <x:c r="I235" s="87" t="n">
        <x:v>1</x:v>
      </x:c>
    </x:row>
    <x:row r="236">
      <x:c r="A236" s="85" t="n">
        <x:v>235</x:v>
      </x:c>
      <x:c r="B236" s="86" t="n">
        <x:v>42</x:v>
      </x:c>
      <x:c r="C236" s="95" t="n">
        <x:v>45745</x:v>
      </x:c>
      <x:c r="D236" s="86" t="str">
        <x:v>Domingo/Feriado</x:v>
      </x:c>
      <x:c r="E236" s="86" t="n">
        <x:v>6</x:v>
      </x:c>
      <x:c r="F236" s="99" t="n">
        <x:v>1</x:v>
      </x:c>
      <x:c r="G236" s="91" t="n">
        <x:v>262.76</x:v>
      </x:c>
      <x:c r="H236" s="86" t="n">
        <x:v>1</x:v>
      </x:c>
      <x:c r="I236" s="87" t="n">
        <x:v>2</x:v>
      </x:c>
    </x:row>
    <x:row r="237">
      <x:c r="A237" s="85" t="n">
        <x:v>236</x:v>
      </x:c>
      <x:c r="B237" s="86" t="n">
        <x:v>131</x:v>
      </x:c>
      <x:c r="C237" s="95" t="n">
        <x:v>45375</x:v>
      </x:c>
      <x:c r="D237" s="86" t="str">
        <x:v>Dia útil</x:v>
      </x:c>
      <x:c r="E237" s="86" t="n">
        <x:v>2</x:v>
      </x:c>
      <x:c r="F237" s="99" t="n">
        <x:v>0.5</x:v>
      </x:c>
      <x:c r="G237" s="91" t="n">
        <x:v>75.13</x:v>
      </x:c>
      <x:c r="H237" s="86" t="n">
        <x:v>1</x:v>
      </x:c>
      <x:c r="I237" s="87" t="n">
        <x:v>8</x:v>
      </x:c>
    </x:row>
    <x:row r="238">
      <x:c r="A238" s="85" t="n">
        <x:v>237</x:v>
      </x:c>
      <x:c r="B238" s="86" t="n">
        <x:v>81</x:v>
      </x:c>
      <x:c r="C238" s="95" t="n">
        <x:v>45721</x:v>
      </x:c>
      <x:c r="D238" s="86" t="str">
        <x:v>Sábado</x:v>
      </x:c>
      <x:c r="E238" s="86" t="n">
        <x:v>3</x:v>
      </x:c>
      <x:c r="F238" s="99" t="n">
        <x:v>0.75</x:v>
      </x:c>
      <x:c r="G238" s="91" t="n">
        <x:v>87.39</x:v>
      </x:c>
      <x:c r="H238" s="86" t="n">
        <x:v>1</x:v>
      </x:c>
      <x:c r="I238" s="87" t="n">
        <x:v>3</x:v>
      </x:c>
    </x:row>
    <x:row r="239">
      <x:c r="A239" s="85" t="n">
        <x:v>238</x:v>
      </x:c>
      <x:c r="B239" s="86" t="n">
        <x:v>362</x:v>
      </x:c>
      <x:c r="C239" s="95" t="n">
        <x:v>45823</x:v>
      </x:c>
      <x:c r="D239" s="86" t="str">
        <x:v>Dia útil</x:v>
      </x:c>
      <x:c r="E239" s="86" t="n">
        <x:v>4</x:v>
      </x:c>
      <x:c r="F239" s="99" t="n">
        <x:v>0.5</x:v>
      </x:c>
      <x:c r="G239" s="91" t="n">
        <x:v>135.32</x:v>
      </x:c>
      <x:c r="H239" s="86" t="n">
        <x:v>1</x:v>
      </x:c>
      <x:c r="I239" s="87" t="n">
        <x:v>10</x:v>
      </x:c>
    </x:row>
    <x:row r="240">
      <x:c r="A240" s="85" t="n">
        <x:v>239</x:v>
      </x:c>
      <x:c r="B240" s="86" t="n">
        <x:v>102</x:v>
      </x:c>
      <x:c r="C240" s="95" t="n">
        <x:v>45393</x:v>
      </x:c>
      <x:c r="D240" s="86" t="str">
        <x:v>Dia útil</x:v>
      </x:c>
      <x:c r="E240" s="86" t="n">
        <x:v>8</x:v>
      </x:c>
      <x:c r="F240" s="99" t="n">
        <x:v>0.5</x:v>
      </x:c>
      <x:c r="G240" s="91" t="n">
        <x:v>349.6</x:v>
      </x:c>
      <x:c r="H240" s="86" t="n">
        <x:v>1</x:v>
      </x:c>
      <x:c r="I240" s="87" t="n">
        <x:v>4</x:v>
      </x:c>
    </x:row>
    <x:row r="241">
      <x:c r="A241" s="85" t="n">
        <x:v>240</x:v>
      </x:c>
      <x:c r="B241" s="86" t="n">
        <x:v>199</x:v>
      </x:c>
      <x:c r="C241" s="95" t="n">
        <x:v>45503</x:v>
      </x:c>
      <x:c r="D241" s="86" t="str">
        <x:v>Dia útil</x:v>
      </x:c>
      <x:c r="E241" s="86" t="n">
        <x:v>3</x:v>
      </x:c>
      <x:c r="F241" s="99" t="n">
        <x:v>0.5</x:v>
      </x:c>
      <x:c r="G241" s="91" t="n">
        <x:v>119.92</x:v>
      </x:c>
      <x:c r="H241" s="86" t="n">
        <x:v>1</x:v>
      </x:c>
      <x:c r="I241" s="87" t="n">
        <x:v>9</x:v>
      </x:c>
    </x:row>
    <x:row r="242">
      <x:c r="A242" s="85" t="n">
        <x:v>241</x:v>
      </x:c>
      <x:c r="B242" s="86" t="n">
        <x:v>212</x:v>
      </x:c>
      <x:c r="C242" s="95" t="n">
        <x:v>45740</x:v>
      </x:c>
      <x:c r="D242" s="86" t="str">
        <x:v>Dia útil</x:v>
      </x:c>
      <x:c r="E242" s="86" t="n">
        <x:v>2</x:v>
      </x:c>
      <x:c r="F242" s="99" t="n">
        <x:v>0.5</x:v>
      </x:c>
      <x:c r="G242" s="91" t="n">
        <x:v>54.7</x:v>
      </x:c>
      <x:c r="H242" s="86" t="n">
        <x:v>1</x:v>
      </x:c>
      <x:c r="I242" s="87" t="n">
        <x:v>3</x:v>
      </x:c>
    </x:row>
    <x:row r="243">
      <x:c r="A243" s="85" t="n">
        <x:v>242</x:v>
      </x:c>
      <x:c r="B243" s="86" t="n">
        <x:v>400</x:v>
      </x:c>
      <x:c r="C243" s="95" t="n">
        <x:v>45332</x:v>
      </x:c>
      <x:c r="D243" s="86" t="str">
        <x:v>Dia útil</x:v>
      </x:c>
      <x:c r="E243" s="86" t="n">
        <x:v>4</x:v>
      </x:c>
      <x:c r="F243" s="99" t="n">
        <x:v>0.5</x:v>
      </x:c>
      <x:c r="G243" s="91" t="n">
        <x:v>63.29</x:v>
      </x:c>
      <x:c r="H243" s="86" t="n">
        <x:v>1</x:v>
      </x:c>
      <x:c r="I243" s="87" t="n">
        <x:v>1</x:v>
      </x:c>
    </x:row>
    <x:row r="244">
      <x:c r="A244" s="85" t="n">
        <x:v>243</x:v>
      </x:c>
      <x:c r="B244" s="86" t="n">
        <x:v>4</x:v>
      </x:c>
      <x:c r="C244" s="95" t="n">
        <x:v>45992</x:v>
      </x:c>
      <x:c r="D244" s="86" t="str">
        <x:v>Dia útil</x:v>
      </x:c>
      <x:c r="E244" s="86" t="n">
        <x:v>1</x:v>
      </x:c>
      <x:c r="F244" s="99" t="n">
        <x:v>0.5</x:v>
      </x:c>
      <x:c r="G244" s="91" t="n">
        <x:v>31.55</x:v>
      </x:c>
      <x:c r="H244" s="86" t="n">
        <x:v>1</x:v>
      </x:c>
      <x:c r="I244" s="87" t="n">
        <x:v>3</x:v>
      </x:c>
    </x:row>
    <x:row r="245">
      <x:c r="A245" s="85" t="n">
        <x:v>244</x:v>
      </x:c>
      <x:c r="B245" s="86" t="n">
        <x:v>192</x:v>
      </x:c>
      <x:c r="C245" s="95" t="n">
        <x:v>45332</x:v>
      </x:c>
      <x:c r="D245" s="86" t="str">
        <x:v>Dia útil</x:v>
      </x:c>
      <x:c r="E245" s="86" t="n">
        <x:v>2</x:v>
      </x:c>
      <x:c r="F245" s="99" t="n">
        <x:v>0.5</x:v>
      </x:c>
      <x:c r="G245" s="91" t="n">
        <x:v>109.87</x:v>
      </x:c>
      <x:c r="H245" s="86" t="n">
        <x:v>1</x:v>
      </x:c>
      <x:c r="I245" s="87" t="n">
        <x:v>9</x:v>
      </x:c>
    </x:row>
    <x:row r="246">
      <x:c r="A246" s="85" t="n">
        <x:v>245</x:v>
      </x:c>
      <x:c r="B246" s="86" t="n">
        <x:v>178</x:v>
      </x:c>
      <x:c r="C246" s="95" t="n">
        <x:v>45964</x:v>
      </x:c>
      <x:c r="D246" s="86" t="str">
        <x:v>Dia útil</x:v>
      </x:c>
      <x:c r="E246" s="86" t="n">
        <x:v>6</x:v>
      </x:c>
      <x:c r="F246" s="99" t="n">
        <x:v>0.5</x:v>
      </x:c>
      <x:c r="G246" s="91" t="n">
        <x:v>194.26</x:v>
      </x:c>
      <x:c r="H246" s="86" t="n">
        <x:v>1</x:v>
      </x:c>
      <x:c r="I246" s="87" t="n">
        <x:v>2</x:v>
      </x:c>
    </x:row>
    <x:row r="247">
      <x:c r="A247" s="85" t="n">
        <x:v>246</x:v>
      </x:c>
      <x:c r="B247" s="86" t="n">
        <x:v>258</x:v>
      </x:c>
      <x:c r="C247" s="95" t="n">
        <x:v>45781</x:v>
      </x:c>
      <x:c r="D247" s="86" t="str">
        <x:v>Sábado</x:v>
      </x:c>
      <x:c r="E247" s="86" t="n">
        <x:v>2</x:v>
      </x:c>
      <x:c r="F247" s="99" t="n">
        <x:v>0.75</x:v>
      </x:c>
      <x:c r="G247" s="91" t="n">
        <x:v>55.13</x:v>
      </x:c>
      <x:c r="H247" s="86" t="n">
        <x:v>1</x:v>
      </x:c>
      <x:c r="I247" s="87" t="n">
        <x:v>1</x:v>
      </x:c>
    </x:row>
    <x:row r="248">
      <x:c r="A248" s="85" t="n">
        <x:v>247</x:v>
      </x:c>
      <x:c r="B248" s="86" t="n">
        <x:v>253</x:v>
      </x:c>
      <x:c r="C248" s="95" t="n">
        <x:v>45469</x:v>
      </x:c>
      <x:c r="D248" s="86" t="str">
        <x:v>Sábado</x:v>
      </x:c>
      <x:c r="E248" s="86" t="n">
        <x:v>6</x:v>
      </x:c>
      <x:c r="F248" s="99" t="n">
        <x:v>0.75</x:v>
      </x:c>
      <x:c r="G248" s="91" t="n">
        <x:v>156.89</x:v>
      </x:c>
      <x:c r="H248" s="86" t="n">
        <x:v>1</x:v>
      </x:c>
      <x:c r="I248" s="87" t="n">
        <x:v>2</x:v>
      </x:c>
    </x:row>
    <x:row r="249">
      <x:c r="A249" s="85" t="n">
        <x:v>248</x:v>
      </x:c>
      <x:c r="B249" s="86" t="n">
        <x:v>188</x:v>
      </x:c>
      <x:c r="C249" s="95" t="n">
        <x:v>45398</x:v>
      </x:c>
      <x:c r="D249" s="86" t="str">
        <x:v>Dia útil</x:v>
      </x:c>
      <x:c r="E249" s="86" t="n">
        <x:v>1</x:v>
      </x:c>
      <x:c r="F249" s="99" t="n">
        <x:v>0.5</x:v>
      </x:c>
      <x:c r="G249" s="91" t="n">
        <x:v>21</x:v>
      </x:c>
      <x:c r="H249" s="86" t="n">
        <x:v>1</x:v>
      </x:c>
      <x:c r="I249" s="87" t="n">
        <x:v>1</x:v>
      </x:c>
    </x:row>
    <x:row r="250">
      <x:c r="A250" s="85" t="n">
        <x:v>249</x:v>
      </x:c>
      <x:c r="B250" s="86" t="n">
        <x:v>232</x:v>
      </x:c>
      <x:c r="C250" s="95" t="n">
        <x:v>45310</x:v>
      </x:c>
      <x:c r="D250" s="86" t="str">
        <x:v>Sábado</x:v>
      </x:c>
      <x:c r="E250" s="86" t="n">
        <x:v>1</x:v>
      </x:c>
      <x:c r="F250" s="99" t="n">
        <x:v>0.75</x:v>
      </x:c>
      <x:c r="G250" s="91" t="n">
        <x:v>26.72</x:v>
      </x:c>
      <x:c r="H250" s="86" t="n">
        <x:v>1</x:v>
      </x:c>
      <x:c r="I250" s="87" t="n">
        <x:v>1</x:v>
      </x:c>
    </x:row>
    <x:row r="251">
      <x:c r="A251" s="85" t="n">
        <x:v>250</x:v>
      </x:c>
      <x:c r="B251" s="86" t="n">
        <x:v>61</x:v>
      </x:c>
      <x:c r="C251" s="95" t="n">
        <x:v>45991</x:v>
      </x:c>
      <x:c r="D251" s="86" t="str">
        <x:v>Sábado</x:v>
      </x:c>
      <x:c r="E251" s="86" t="n">
        <x:v>1</x:v>
      </x:c>
      <x:c r="F251" s="99" t="n">
        <x:v>0.75</x:v>
      </x:c>
      <x:c r="G251" s="91" t="n">
        <x:v>74.7</x:v>
      </x:c>
      <x:c r="H251" s="86" t="n">
        <x:v>1</x:v>
      </x:c>
      <x:c r="I251" s="87" t="n">
        <x:v>4</x:v>
      </x:c>
    </x:row>
    <x:row r="252">
      <x:c r="A252" s="85" t="n">
        <x:v>251</x:v>
      </x:c>
      <x:c r="B252" s="86" t="n">
        <x:v>320</x:v>
      </x:c>
      <x:c r="C252" s="95" t="n">
        <x:v>45620</x:v>
      </x:c>
      <x:c r="D252" s="86" t="str">
        <x:v>Domingo/Feriado</x:v>
      </x:c>
      <x:c r="E252" s="86" t="n">
        <x:v>2</x:v>
      </x:c>
      <x:c r="F252" s="99" t="n">
        <x:v>1</x:v>
      </x:c>
      <x:c r="G252" s="91" t="n">
        <x:v>58.97</x:v>
      </x:c>
      <x:c r="H252" s="86" t="n">
        <x:v>1</x:v>
      </x:c>
      <x:c r="I252" s="87" t="n">
        <x:v>1</x:v>
      </x:c>
    </x:row>
    <x:row r="253">
      <x:c r="A253" s="85" t="n">
        <x:v>252</x:v>
      </x:c>
      <x:c r="B253" s="86" t="n">
        <x:v>339</x:v>
      </x:c>
      <x:c r="C253" s="95" t="n">
        <x:v>45813</x:v>
      </x:c>
      <x:c r="D253" s="86" t="str">
        <x:v>Dia útil</x:v>
      </x:c>
      <x:c r="E253" s="86" t="n">
        <x:v>6</x:v>
      </x:c>
      <x:c r="F253" s="99" t="n">
        <x:v>0.5</x:v>
      </x:c>
      <x:c r="G253" s="91" t="n">
        <x:v>259.74</x:v>
      </x:c>
      <x:c r="H253" s="86" t="n">
        <x:v>1</x:v>
      </x:c>
      <x:c r="I253" s="87" t="n">
        <x:v>7</x:v>
      </x:c>
    </x:row>
    <x:row r="254">
      <x:c r="A254" s="85" t="n">
        <x:v>253</x:v>
      </x:c>
      <x:c r="B254" s="86" t="n">
        <x:v>26</x:v>
      </x:c>
      <x:c r="C254" s="95" t="n">
        <x:v>45890</x:v>
      </x:c>
      <x:c r="D254" s="86" t="str">
        <x:v>Dia útil</x:v>
      </x:c>
      <x:c r="E254" s="86" t="n">
        <x:v>3</x:v>
      </x:c>
      <x:c r="F254" s="99" t="n">
        <x:v>0.5</x:v>
      </x:c>
      <x:c r="G254" s="91" t="n">
        <x:v>173.63</x:v>
      </x:c>
      <x:c r="H254" s="86" t="n">
        <x:v>1</x:v>
      </x:c>
      <x:c r="I254" s="87" t="n">
        <x:v>3</x:v>
      </x:c>
    </x:row>
    <x:row r="255">
      <x:c r="A255" s="85" t="n">
        <x:v>254</x:v>
      </x:c>
      <x:c r="B255" s="86" t="n">
        <x:v>233</x:v>
      </x:c>
      <x:c r="C255" s="95" t="n">
        <x:v>45951</x:v>
      </x:c>
      <x:c r="D255" s="86" t="str">
        <x:v>Sábado</x:v>
      </x:c>
      <x:c r="E255" s="86" t="n">
        <x:v>8</x:v>
      </x:c>
      <x:c r="F255" s="99" t="n">
        <x:v>0.75</x:v>
      </x:c>
      <x:c r="G255" s="91" t="n">
        <x:v>304.4</x:v>
      </x:c>
      <x:c r="H255" s="86" t="n">
        <x:v>1</x:v>
      </x:c>
      <x:c r="I255" s="87" t="n">
        <x:v>2</x:v>
      </x:c>
    </x:row>
    <x:row r="256">
      <x:c r="A256" s="85" t="n">
        <x:v>255</x:v>
      </x:c>
      <x:c r="B256" s="86" t="n">
        <x:v>391</x:v>
      </x:c>
      <x:c r="C256" s="95" t="n">
        <x:v>45914</x:v>
      </x:c>
      <x:c r="D256" s="86" t="str">
        <x:v>Dia útil</x:v>
      </x:c>
      <x:c r="E256" s="86" t="n">
        <x:v>8</x:v>
      </x:c>
      <x:c r="F256" s="99" t="n">
        <x:v>0.5</x:v>
      </x:c>
      <x:c r="G256" s="91" t="n">
        <x:v>250.86</x:v>
      </x:c>
      <x:c r="H256" s="86" t="n">
        <x:v>1</x:v>
      </x:c>
      <x:c r="I256" s="87" t="n">
        <x:v>2</x:v>
      </x:c>
    </x:row>
    <x:row r="257">
      <x:c r="A257" s="85" t="n">
        <x:v>256</x:v>
      </x:c>
      <x:c r="B257" s="86" t="n">
        <x:v>23</x:v>
      </x:c>
      <x:c r="C257" s="95" t="n">
        <x:v>45702</x:v>
      </x:c>
      <x:c r="D257" s="86" t="str">
        <x:v>Domingo/Feriado</x:v>
      </x:c>
      <x:c r="E257" s="86" t="n">
        <x:v>2</x:v>
      </x:c>
      <x:c r="F257" s="99" t="n">
        <x:v>1</x:v>
      </x:c>
      <x:c r="G257" s="91" t="n">
        <x:v>177.66</x:v>
      </x:c>
      <x:c r="H257" s="86" t="n">
        <x:v>1</x:v>
      </x:c>
      <x:c r="I257" s="87" t="n">
        <x:v>5</x:v>
      </x:c>
    </x:row>
    <x:row r="258">
      <x:c r="A258" s="85" t="n">
        <x:v>257</x:v>
      </x:c>
      <x:c r="B258" s="86" t="n">
        <x:v>387</x:v>
      </x:c>
      <x:c r="C258" s="95" t="n">
        <x:v>45498</x:v>
      </x:c>
      <x:c r="D258" s="86" t="str">
        <x:v>Dia útil</x:v>
      </x:c>
      <x:c r="E258" s="86" t="n">
        <x:v>2</x:v>
      </x:c>
      <x:c r="F258" s="99" t="n">
        <x:v>0.5</x:v>
      </x:c>
      <x:c r="G258" s="91" t="n">
        <x:v>95</x:v>
      </x:c>
      <x:c r="H258" s="86" t="n">
        <x:v>1</x:v>
      </x:c>
      <x:c r="I258" s="87" t="n">
        <x:v>5</x:v>
      </x:c>
    </x:row>
    <x:row r="259">
      <x:c r="A259" s="85" t="n">
        <x:v>258</x:v>
      </x:c>
      <x:c r="B259" s="86" t="n">
        <x:v>1</x:v>
      </x:c>
      <x:c r="C259" s="95" t="n">
        <x:v>45598</x:v>
      </x:c>
      <x:c r="D259" s="86" t="str">
        <x:v>Dia útil</x:v>
      </x:c>
      <x:c r="E259" s="86" t="n">
        <x:v>4</x:v>
      </x:c>
      <x:c r="F259" s="99" t="n">
        <x:v>0.5</x:v>
      </x:c>
      <x:c r="G259" s="91" t="n">
        <x:v>131.52</x:v>
      </x:c>
      <x:c r="H259" s="86" t="n">
        <x:v>1</x:v>
      </x:c>
      <x:c r="I259" s="87" t="n">
        <x:v>2</x:v>
      </x:c>
    </x:row>
    <x:row r="260">
      <x:c r="A260" s="85" t="n">
        <x:v>259</x:v>
      </x:c>
      <x:c r="B260" s="86" t="n">
        <x:v>384</x:v>
      </x:c>
      <x:c r="C260" s="95" t="n">
        <x:v>45714</x:v>
      </x:c>
      <x:c r="D260" s="86" t="str">
        <x:v>Domingo/Feriado</x:v>
      </x:c>
      <x:c r="E260" s="86" t="n">
        <x:v>8</x:v>
      </x:c>
      <x:c r="F260" s="99" t="n">
        <x:v>1</x:v>
      </x:c>
      <x:c r="G260" s="91" t="n">
        <x:v>648.29</x:v>
      </x:c>
      <x:c r="H260" s="86" t="n">
        <x:v>1</x:v>
      </x:c>
      <x:c r="I260" s="87" t="n">
        <x:v>5</x:v>
      </x:c>
    </x:row>
    <x:row r="261">
      <x:c r="A261" s="85" t="n">
        <x:v>260</x:v>
      </x:c>
      <x:c r="B261" s="86" t="n">
        <x:v>410</x:v>
      </x:c>
      <x:c r="C261" s="95" t="n">
        <x:v>45534</x:v>
      </x:c>
      <x:c r="D261" s="86" t="str">
        <x:v>Dia útil</x:v>
      </x:c>
      <x:c r="E261" s="86" t="n">
        <x:v>3</x:v>
      </x:c>
      <x:c r="F261" s="99" t="n">
        <x:v>0.5</x:v>
      </x:c>
      <x:c r="G261" s="91" t="n">
        <x:v>67.67</x:v>
      </x:c>
      <x:c r="H261" s="86" t="n">
        <x:v>1</x:v>
      </x:c>
      <x:c r="I261" s="87" t="n">
        <x:v>2</x:v>
      </x:c>
    </x:row>
    <x:row r="262">
      <x:c r="A262" s="85" t="n">
        <x:v>261</x:v>
      </x:c>
      <x:c r="B262" s="86" t="n">
        <x:v>150</x:v>
      </x:c>
      <x:c r="C262" s="95" t="n">
        <x:v>45990</x:v>
      </x:c>
      <x:c r="D262" s="86" t="str">
        <x:v>Dia útil</x:v>
      </x:c>
      <x:c r="E262" s="86" t="n">
        <x:v>3</x:v>
      </x:c>
      <x:c r="F262" s="99" t="n">
        <x:v>0.5</x:v>
      </x:c>
      <x:c r="G262" s="91" t="n">
        <x:v>71.04</x:v>
      </x:c>
      <x:c r="H262" s="86" t="n">
        <x:v>1</x:v>
      </x:c>
      <x:c r="I262" s="87" t="n">
        <x:v>1</x:v>
      </x:c>
    </x:row>
    <x:row r="263">
      <x:c r="A263" s="85" t="n">
        <x:v>262</x:v>
      </x:c>
      <x:c r="B263" s="86" t="n">
        <x:v>140</x:v>
      </x:c>
      <x:c r="C263" s="95" t="n">
        <x:v>45923</x:v>
      </x:c>
      <x:c r="D263" s="86" t="str">
        <x:v>Dia útil</x:v>
      </x:c>
      <x:c r="E263" s="86" t="n">
        <x:v>6</x:v>
      </x:c>
      <x:c r="F263" s="99" t="n">
        <x:v>0.5</x:v>
      </x:c>
      <x:c r="G263" s="91" t="n">
        <x:v>153.68</x:v>
      </x:c>
      <x:c r="H263" s="86" t="n">
        <x:v>0</x:v>
      </x:c>
      <x:c r="I263" s="87" t="n">
        <x:v>7</x:v>
      </x:c>
    </x:row>
    <x:row r="264">
      <x:c r="A264" s="85" t="n">
        <x:v>263</x:v>
      </x:c>
      <x:c r="B264" s="86" t="n">
        <x:v>165</x:v>
      </x:c>
      <x:c r="C264" s="95" t="n">
        <x:v>45940</x:v>
      </x:c>
      <x:c r="D264" s="86" t="str">
        <x:v>Dia útil</x:v>
      </x:c>
      <x:c r="E264" s="86" t="n">
        <x:v>2</x:v>
      </x:c>
      <x:c r="F264" s="99" t="n">
        <x:v>0.5</x:v>
      </x:c>
      <x:c r="G264" s="91" t="n">
        <x:v>65.67</x:v>
      </x:c>
      <x:c r="H264" s="86" t="n">
        <x:v>1</x:v>
      </x:c>
      <x:c r="I264" s="87" t="n">
        <x:v>4</x:v>
      </x:c>
    </x:row>
    <x:row r="265">
      <x:c r="A265" s="85" t="n">
        <x:v>264</x:v>
      </x:c>
      <x:c r="B265" s="86" t="n">
        <x:v>378</x:v>
      </x:c>
      <x:c r="C265" s="95" t="n">
        <x:v>45741</x:v>
      </x:c>
      <x:c r="D265" s="86" t="str">
        <x:v>Sábado</x:v>
      </x:c>
      <x:c r="E265" s="86" t="n">
        <x:v>6</x:v>
      </x:c>
      <x:c r="F265" s="99" t="n">
        <x:v>0.75</x:v>
      </x:c>
      <x:c r="G265" s="91" t="n">
        <x:v>468.64</x:v>
      </x:c>
      <x:c r="H265" s="86" t="n">
        <x:v>1</x:v>
      </x:c>
      <x:c r="I265" s="87" t="n">
        <x:v>5</x:v>
      </x:c>
    </x:row>
    <x:row r="266">
      <x:c r="A266" s="85" t="n">
        <x:v>265</x:v>
      </x:c>
      <x:c r="B266" s="86" t="n">
        <x:v>16</x:v>
      </x:c>
      <x:c r="C266" s="95" t="n">
        <x:v>45531</x:v>
      </x:c>
      <x:c r="D266" s="86" t="str">
        <x:v>Domingo/Feriado</x:v>
      </x:c>
      <x:c r="E266" s="86" t="n">
        <x:v>2</x:v>
      </x:c>
      <x:c r="F266" s="99" t="n">
        <x:v>1</x:v>
      </x:c>
      <x:c r="G266" s="91" t="n">
        <x:v>165.36</x:v>
      </x:c>
      <x:c r="H266" s="86" t="n">
        <x:v>1</x:v>
      </x:c>
      <x:c r="I266" s="87" t="n">
        <x:v>5</x:v>
      </x:c>
    </x:row>
    <x:row r="267">
      <x:c r="A267" s="85" t="n">
        <x:v>266</x:v>
      </x:c>
      <x:c r="B267" s="86" t="n">
        <x:v>14</x:v>
      </x:c>
      <x:c r="C267" s="95" t="n">
        <x:v>45885</x:v>
      </x:c>
      <x:c r="D267" s="86" t="str">
        <x:v>Dia útil</x:v>
      </x:c>
      <x:c r="E267" s="86" t="n">
        <x:v>4</x:v>
      </x:c>
      <x:c r="F267" s="99" t="n">
        <x:v>0.5</x:v>
      </x:c>
      <x:c r="G267" s="91" t="n">
        <x:v>91.27</x:v>
      </x:c>
      <x:c r="H267" s="86" t="n">
        <x:v>1</x:v>
      </x:c>
      <x:c r="I267" s="87" t="n">
        <x:v>3</x:v>
      </x:c>
    </x:row>
    <x:row r="268">
      <x:c r="A268" s="85" t="n">
        <x:v>267</x:v>
      </x:c>
      <x:c r="B268" s="86" t="n">
        <x:v>107</x:v>
      </x:c>
      <x:c r="C268" s="95" t="n">
        <x:v>45864</x:v>
      </x:c>
      <x:c r="D268" s="86" t="str">
        <x:v>Dia útil</x:v>
      </x:c>
      <x:c r="E268" s="86" t="n">
        <x:v>4</x:v>
      </x:c>
      <x:c r="F268" s="99" t="n">
        <x:v>0.5</x:v>
      </x:c>
      <x:c r="G268" s="91" t="n">
        <x:v>146.07</x:v>
      </x:c>
      <x:c r="H268" s="86" t="n">
        <x:v>1</x:v>
      </x:c>
      <x:c r="I268" s="87" t="n">
        <x:v>7</x:v>
      </x:c>
    </x:row>
    <x:row r="269">
      <x:c r="A269" s="85" t="n">
        <x:v>268</x:v>
      </x:c>
      <x:c r="B269" s="86" t="n">
        <x:v>287</x:v>
      </x:c>
      <x:c r="C269" s="95" t="n">
        <x:v>45299</x:v>
      </x:c>
      <x:c r="D269" s="86" t="str">
        <x:v>Sábado</x:v>
      </x:c>
      <x:c r="E269" s="86" t="n">
        <x:v>6</x:v>
      </x:c>
      <x:c r="F269" s="99" t="n">
        <x:v>0.75</x:v>
      </x:c>
      <x:c r="G269" s="91" t="n">
        <x:v>463.43</x:v>
      </x:c>
      <x:c r="H269" s="86" t="n">
        <x:v>1</x:v>
      </x:c>
      <x:c r="I269" s="87" t="n">
        <x:v>5</x:v>
      </x:c>
    </x:row>
    <x:row r="270">
      <x:c r="A270" s="85" t="n">
        <x:v>269</x:v>
      </x:c>
      <x:c r="B270" s="86" t="n">
        <x:v>309</x:v>
      </x:c>
      <x:c r="C270" s="95" t="n">
        <x:v>45955</x:v>
      </x:c>
      <x:c r="D270" s="86" t="str">
        <x:v>Dia útil</x:v>
      </x:c>
      <x:c r="E270" s="86" t="n">
        <x:v>2</x:v>
      </x:c>
      <x:c r="F270" s="99" t="n">
        <x:v>0.5</x:v>
      </x:c>
      <x:c r="G270" s="91" t="n">
        <x:v>46.84</x:v>
      </x:c>
      <x:c r="H270" s="86" t="n">
        <x:v>1</x:v>
      </x:c>
      <x:c r="I270" s="87" t="n">
        <x:v>10</x:v>
      </x:c>
    </x:row>
    <x:row r="271">
      <x:c r="A271" s="85" t="n">
        <x:v>270</x:v>
      </x:c>
      <x:c r="B271" s="86" t="n">
        <x:v>357</x:v>
      </x:c>
      <x:c r="C271" s="95" t="n">
        <x:v>45909</x:v>
      </x:c>
      <x:c r="D271" s="86" t="str">
        <x:v>Dia útil</x:v>
      </x:c>
      <x:c r="E271" s="86" t="n">
        <x:v>6</x:v>
      </x:c>
      <x:c r="F271" s="99" t="n">
        <x:v>0.5</x:v>
      </x:c>
      <x:c r="G271" s="91" t="n">
        <x:v>298.15</x:v>
      </x:c>
      <x:c r="H271" s="86" t="n">
        <x:v>1</x:v>
      </x:c>
      <x:c r="I271" s="87" t="n">
        <x:v>10</x:v>
      </x:c>
    </x:row>
    <x:row r="272">
      <x:c r="A272" s="85" t="n">
        <x:v>271</x:v>
      </x:c>
      <x:c r="B272" s="86" t="n">
        <x:v>23</x:v>
      </x:c>
      <x:c r="C272" s="95" t="n">
        <x:v>45548</x:v>
      </x:c>
      <x:c r="D272" s="86" t="str">
        <x:v>Domingo/Feriado</x:v>
      </x:c>
      <x:c r="E272" s="86" t="n">
        <x:v>6</x:v>
      </x:c>
      <x:c r="F272" s="99" t="n">
        <x:v>1</x:v>
      </x:c>
      <x:c r="G272" s="91" t="n">
        <x:v>532.98</x:v>
      </x:c>
      <x:c r="H272" s="86" t="n">
        <x:v>1</x:v>
      </x:c>
      <x:c r="I272" s="87" t="n">
        <x:v>5</x:v>
      </x:c>
    </x:row>
    <x:row r="273">
      <x:c r="A273" s="85" t="n">
        <x:v>272</x:v>
      </x:c>
      <x:c r="B273" s="86" t="n">
        <x:v>93</x:v>
      </x:c>
      <x:c r="C273" s="95" t="n">
        <x:v>45731</x:v>
      </x:c>
      <x:c r="D273" s="86" t="str">
        <x:v>Dia útil</x:v>
      </x:c>
      <x:c r="E273" s="86" t="n">
        <x:v>8</x:v>
      </x:c>
      <x:c r="F273" s="99" t="n">
        <x:v>0.5</x:v>
      </x:c>
      <x:c r="G273" s="91" t="n">
        <x:v>278.1</x:v>
      </x:c>
      <x:c r="H273" s="86" t="n">
        <x:v>1</x:v>
      </x:c>
      <x:c r="I273" s="87" t="n">
        <x:v>8</x:v>
      </x:c>
    </x:row>
    <x:row r="274">
      <x:c r="A274" s="85" t="n">
        <x:v>273</x:v>
      </x:c>
      <x:c r="B274" s="86" t="n">
        <x:v>234</x:v>
      </x:c>
      <x:c r="C274" s="95" t="n">
        <x:v>45850</x:v>
      </x:c>
      <x:c r="D274" s="86" t="str">
        <x:v>Dia útil</x:v>
      </x:c>
      <x:c r="E274" s="86" t="n">
        <x:v>6</x:v>
      </x:c>
      <x:c r="F274" s="99" t="n">
        <x:v>0.5</x:v>
      </x:c>
      <x:c r="G274" s="91" t="n">
        <x:v>99.64</x:v>
      </x:c>
      <x:c r="H274" s="86" t="n">
        <x:v>1</x:v>
      </x:c>
      <x:c r="I274" s="87" t="n">
        <x:v>1</x:v>
      </x:c>
    </x:row>
    <x:row r="275">
      <x:c r="A275" s="85" t="n">
        <x:v>274</x:v>
      </x:c>
      <x:c r="B275" s="86" t="n">
        <x:v>23</x:v>
      </x:c>
      <x:c r="C275" s="95" t="n">
        <x:v>45962</x:v>
      </x:c>
      <x:c r="D275" s="86" t="str">
        <x:v>Domingo/Feriado</x:v>
      </x:c>
      <x:c r="E275" s="86" t="n">
        <x:v>4</x:v>
      </x:c>
      <x:c r="F275" s="99" t="n">
        <x:v>1</x:v>
      </x:c>
      <x:c r="G275" s="91" t="n">
        <x:v>355.32</x:v>
      </x:c>
      <x:c r="H275" s="86" t="n">
        <x:v>0</x:v>
      </x:c>
      <x:c r="I275" s="87" t="n">
        <x:v>5</x:v>
      </x:c>
    </x:row>
    <x:row r="276">
      <x:c r="A276" s="85" t="n">
        <x:v>275</x:v>
      </x:c>
      <x:c r="B276" s="86" t="n">
        <x:v>12</x:v>
      </x:c>
      <x:c r="C276" s="95" t="n">
        <x:v>45695</x:v>
      </x:c>
      <x:c r="D276" s="86" t="str">
        <x:v>Dia útil</x:v>
      </x:c>
      <x:c r="E276" s="86" t="n">
        <x:v>1</x:v>
      </x:c>
      <x:c r="F276" s="99" t="n">
        <x:v>0.5</x:v>
      </x:c>
      <x:c r="G276" s="91" t="n">
        <x:v>16.78</x:v>
      </x:c>
      <x:c r="H276" s="86" t="n">
        <x:v>1</x:v>
      </x:c>
      <x:c r="I276" s="87" t="n">
        <x:v>1</x:v>
      </x:c>
    </x:row>
    <x:row r="277">
      <x:c r="A277" s="85" t="n">
        <x:v>276</x:v>
      </x:c>
      <x:c r="B277" s="86" t="n">
        <x:v>289</x:v>
      </x:c>
      <x:c r="C277" s="95" t="n">
        <x:v>45964</x:v>
      </x:c>
      <x:c r="D277" s="86" t="str">
        <x:v>Dia útil</x:v>
      </x:c>
      <x:c r="E277" s="86" t="n">
        <x:v>3</x:v>
      </x:c>
      <x:c r="F277" s="99" t="n">
        <x:v>0.5</x:v>
      </x:c>
      <x:c r="G277" s="91" t="n">
        <x:v>56.11</x:v>
      </x:c>
      <x:c r="H277" s="86" t="n">
        <x:v>1</x:v>
      </x:c>
      <x:c r="I277" s="87" t="n">
        <x:v>1</x:v>
      </x:c>
    </x:row>
    <x:row r="278">
      <x:c r="A278" s="85" t="n">
        <x:v>277</x:v>
      </x:c>
      <x:c r="B278" s="86" t="n">
        <x:v>31</x:v>
      </x:c>
      <x:c r="C278" s="95" t="n">
        <x:v>45763</x:v>
      </x:c>
      <x:c r="D278" s="86" t="str">
        <x:v>Dia útil</x:v>
      </x:c>
      <x:c r="E278" s="86" t="n">
        <x:v>4</x:v>
      </x:c>
      <x:c r="F278" s="99" t="n">
        <x:v>0.5</x:v>
      </x:c>
      <x:c r="G278" s="91" t="n">
        <x:v>119.79</x:v>
      </x:c>
      <x:c r="H278" s="86" t="n">
        <x:v>1</x:v>
      </x:c>
      <x:c r="I278" s="87" t="n">
        <x:v>2</x:v>
      </x:c>
    </x:row>
    <x:row r="279">
      <x:c r="A279" s="85" t="n">
        <x:v>278</x:v>
      </x:c>
      <x:c r="B279" s="86" t="n">
        <x:v>90</x:v>
      </x:c>
      <x:c r="C279" s="95" t="n">
        <x:v>45402</x:v>
      </x:c>
      <x:c r="D279" s="86" t="str">
        <x:v>Sábado</x:v>
      </x:c>
      <x:c r="E279" s="86" t="n">
        <x:v>1</x:v>
      </x:c>
      <x:c r="F279" s="99" t="n">
        <x:v>0.75</x:v>
      </x:c>
      <x:c r="G279" s="91" t="n">
        <x:v>42.36</x:v>
      </x:c>
      <x:c r="H279" s="86" t="n">
        <x:v>1</x:v>
      </x:c>
      <x:c r="I279" s="87" t="n">
        <x:v>6</x:v>
      </x:c>
    </x:row>
    <x:row r="280">
      <x:c r="A280" s="85" t="n">
        <x:v>279</x:v>
      </x:c>
      <x:c r="B280" s="86" t="n">
        <x:v>115</x:v>
      </x:c>
      <x:c r="C280" s="95" t="n">
        <x:v>45926</x:v>
      </x:c>
      <x:c r="D280" s="86" t="str">
        <x:v>Dia útil</x:v>
      </x:c>
      <x:c r="E280" s="86" t="n">
        <x:v>8</x:v>
      </x:c>
      <x:c r="F280" s="99" t="n">
        <x:v>0.5</x:v>
      </x:c>
      <x:c r="G280" s="91" t="n">
        <x:v>299.68</x:v>
      </x:c>
      <x:c r="H280" s="86" t="n">
        <x:v>1</x:v>
      </x:c>
      <x:c r="I280" s="87" t="n">
        <x:v>4</x:v>
      </x:c>
    </x:row>
    <x:row r="281">
      <x:c r="A281" s="85" t="n">
        <x:v>280</x:v>
      </x:c>
      <x:c r="B281" s="86" t="n">
        <x:v>375</x:v>
      </x:c>
      <x:c r="C281" s="95" t="n">
        <x:v>45971</x:v>
      </x:c>
      <x:c r="D281" s="86" t="str">
        <x:v>Sábado</x:v>
      </x:c>
      <x:c r="E281" s="86" t="n">
        <x:v>1</x:v>
      </x:c>
      <x:c r="F281" s="99" t="n">
        <x:v>0.75</x:v>
      </x:c>
      <x:c r="G281" s="91" t="n">
        <x:v>18.33</x:v>
      </x:c>
      <x:c r="H281" s="86" t="n">
        <x:v>1</x:v>
      </x:c>
      <x:c r="I281" s="87" t="n">
        <x:v>1</x:v>
      </x:c>
    </x:row>
    <x:row r="282">
      <x:c r="A282" s="85" t="n">
        <x:v>281</x:v>
      </x:c>
      <x:c r="B282" s="86" t="n">
        <x:v>356</x:v>
      </x:c>
      <x:c r="C282" s="95" t="n">
        <x:v>45976</x:v>
      </x:c>
      <x:c r="D282" s="86" t="str">
        <x:v>Dia útil</x:v>
      </x:c>
      <x:c r="E282" s="86" t="n">
        <x:v>4</x:v>
      </x:c>
      <x:c r="F282" s="99" t="n">
        <x:v>0.5</x:v>
      </x:c>
      <x:c r="G282" s="91" t="n">
        <x:v>183.33</x:v>
      </x:c>
      <x:c r="H282" s="86" t="n">
        <x:v>1</x:v>
      </x:c>
      <x:c r="I282" s="87" t="n">
        <x:v>8</x:v>
      </x:c>
    </x:row>
    <x:row r="283">
      <x:c r="A283" s="85" t="n">
        <x:v>282</x:v>
      </x:c>
      <x:c r="B283" s="86" t="n">
        <x:v>33</x:v>
      </x:c>
      <x:c r="C283" s="95" t="n">
        <x:v>45667</x:v>
      </x:c>
      <x:c r="D283" s="86" t="str">
        <x:v>Dia útil</x:v>
      </x:c>
      <x:c r="E283" s="86" t="n">
        <x:v>2</x:v>
      </x:c>
      <x:c r="F283" s="99" t="n">
        <x:v>0.5</x:v>
      </x:c>
      <x:c r="G283" s="91" t="n">
        <x:v>83.12</x:v>
      </x:c>
      <x:c r="H283" s="86" t="n">
        <x:v>0</x:v>
      </x:c>
      <x:c r="I283" s="87" t="n">
        <x:v>9</x:v>
      </x:c>
    </x:row>
    <x:row r="284">
      <x:c r="A284" s="85" t="n">
        <x:v>283</x:v>
      </x:c>
      <x:c r="B284" s="86" t="n">
        <x:v>129</x:v>
      </x:c>
      <x:c r="C284" s="95" t="n">
        <x:v>45994</x:v>
      </x:c>
      <x:c r="D284" s="86" t="str">
        <x:v>Dia útil</x:v>
      </x:c>
      <x:c r="E284" s="86" t="n">
        <x:v>4</x:v>
      </x:c>
      <x:c r="F284" s="99" t="n">
        <x:v>0.5</x:v>
      </x:c>
      <x:c r="G284" s="91" t="n">
        <x:v>94.54</x:v>
      </x:c>
      <x:c r="H284" s="86" t="n">
        <x:v>1</x:v>
      </x:c>
      <x:c r="I284" s="87" t="n">
        <x:v>1</x:v>
      </x:c>
    </x:row>
    <x:row r="285">
      <x:c r="A285" s="85" t="n">
        <x:v>284</x:v>
      </x:c>
      <x:c r="B285" s="86" t="n">
        <x:v>324</x:v>
      </x:c>
      <x:c r="C285" s="95" t="n">
        <x:v>46018</x:v>
      </x:c>
      <x:c r="D285" s="86" t="str">
        <x:v>Dia útil</x:v>
      </x:c>
      <x:c r="E285" s="86" t="n">
        <x:v>2</x:v>
      </x:c>
      <x:c r="F285" s="99" t="n">
        <x:v>0.5</x:v>
      </x:c>
      <x:c r="G285" s="91" t="n">
        <x:v>64.47</x:v>
      </x:c>
      <x:c r="H285" s="86" t="n">
        <x:v>0</x:v>
      </x:c>
      <x:c r="I285" s="87" t="n">
        <x:v>7</x:v>
      </x:c>
    </x:row>
    <x:row r="286">
      <x:c r="A286" s="85" t="n">
        <x:v>285</x:v>
      </x:c>
      <x:c r="B286" s="86" t="n">
        <x:v>208</x:v>
      </x:c>
      <x:c r="C286" s="95" t="n">
        <x:v>45572</x:v>
      </x:c>
      <x:c r="D286" s="86" t="str">
        <x:v>Domingo/Feriado</x:v>
      </x:c>
      <x:c r="E286" s="86" t="n">
        <x:v>8</x:v>
      </x:c>
      <x:c r="F286" s="99" t="n">
        <x:v>1</x:v>
      </x:c>
      <x:c r="G286" s="91" t="n">
        <x:v>654.5</x:v>
      </x:c>
      <x:c r="H286" s="86" t="n">
        <x:v>1</x:v>
      </x:c>
      <x:c r="I286" s="87" t="n">
        <x:v>9</x:v>
      </x:c>
    </x:row>
    <x:row r="287">
      <x:c r="A287" s="85" t="n">
        <x:v>286</x:v>
      </x:c>
      <x:c r="B287" s="86" t="n">
        <x:v>213</x:v>
      </x:c>
      <x:c r="C287" s="95" t="n">
        <x:v>45710</x:v>
      </x:c>
      <x:c r="D287" s="86" t="str">
        <x:v>Dia útil</x:v>
      </x:c>
      <x:c r="E287" s="86" t="n">
        <x:v>8</x:v>
      </x:c>
      <x:c r="F287" s="99" t="n">
        <x:v>0.5</x:v>
      </x:c>
      <x:c r="G287" s="91" t="n">
        <x:v>194.25</x:v>
      </x:c>
      <x:c r="H287" s="86" t="n">
        <x:v>1</x:v>
      </x:c>
      <x:c r="I287" s="87" t="n">
        <x:v>2</x:v>
      </x:c>
    </x:row>
    <x:row r="288">
      <x:c r="A288" s="85" t="n">
        <x:v>287</x:v>
      </x:c>
      <x:c r="B288" s="86" t="n">
        <x:v>113</x:v>
      </x:c>
      <x:c r="C288" s="95" t="n">
        <x:v>45682</x:v>
      </x:c>
      <x:c r="D288" s="86" t="str">
        <x:v>Dia útil</x:v>
      </x:c>
      <x:c r="E288" s="86" t="n">
        <x:v>3</x:v>
      </x:c>
      <x:c r="F288" s="99" t="n">
        <x:v>0.5</x:v>
      </x:c>
      <x:c r="G288" s="91" t="n">
        <x:v>67.04</x:v>
      </x:c>
      <x:c r="H288" s="86" t="n">
        <x:v>1</x:v>
      </x:c>
      <x:c r="I288" s="87" t="n">
        <x:v>1</x:v>
      </x:c>
    </x:row>
    <x:row r="289">
      <x:c r="A289" s="85" t="n">
        <x:v>288</x:v>
      </x:c>
      <x:c r="B289" s="86" t="n">
        <x:v>189</x:v>
      </x:c>
      <x:c r="C289" s="95" t="n">
        <x:v>45890</x:v>
      </x:c>
      <x:c r="D289" s="86" t="str">
        <x:v>Sábado</x:v>
      </x:c>
      <x:c r="E289" s="86" t="n">
        <x:v>4</x:v>
      </x:c>
      <x:c r="F289" s="99" t="n">
        <x:v>0.75</x:v>
      </x:c>
      <x:c r="G289" s="91" t="n">
        <x:v>586.85</x:v>
      </x:c>
      <x:c r="H289" s="86" t="n">
        <x:v>1</x:v>
      </x:c>
      <x:c r="I289" s="87" t="n">
        <x:v>9</x:v>
      </x:c>
    </x:row>
    <x:row r="290">
      <x:c r="A290" s="85" t="n">
        <x:v>289</x:v>
      </x:c>
      <x:c r="B290" s="86" t="n">
        <x:v>137</x:v>
      </x:c>
      <x:c r="C290" s="95" t="n">
        <x:v>45924</x:v>
      </x:c>
      <x:c r="D290" s="86" t="str">
        <x:v>Dia útil</x:v>
      </x:c>
      <x:c r="E290" s="86" t="n">
        <x:v>8</x:v>
      </x:c>
      <x:c r="F290" s="99" t="n">
        <x:v>0.5</x:v>
      </x:c>
      <x:c r="G290" s="91" t="n">
        <x:v>419.27</x:v>
      </x:c>
      <x:c r="H290" s="86" t="n">
        <x:v>1</x:v>
      </x:c>
      <x:c r="I290" s="87" t="n">
        <x:v>10</x:v>
      </x:c>
    </x:row>
    <x:row r="291">
      <x:c r="A291" s="85" t="n">
        <x:v>290</x:v>
      </x:c>
      <x:c r="B291" s="86" t="n">
        <x:v>161</x:v>
      </x:c>
      <x:c r="C291" s="95" t="n">
        <x:v>45496</x:v>
      </x:c>
      <x:c r="D291" s="86" t="str">
        <x:v>Sábado</x:v>
      </x:c>
      <x:c r="E291" s="86" t="n">
        <x:v>4</x:v>
      </x:c>
      <x:c r="F291" s="99" t="n">
        <x:v>0.75</x:v>
      </x:c>
      <x:c r="G291" s="91" t="n">
        <x:v>101.96</x:v>
      </x:c>
      <x:c r="H291" s="86" t="n">
        <x:v>1</x:v>
      </x:c>
      <x:c r="I291" s="87" t="n">
        <x:v>1</x:v>
      </x:c>
    </x:row>
    <x:row r="292">
      <x:c r="A292" s="85" t="n">
        <x:v>291</x:v>
      </x:c>
      <x:c r="B292" s="86" t="n">
        <x:v>155</x:v>
      </x:c>
      <x:c r="C292" s="95" t="n">
        <x:v>46020</x:v>
      </x:c>
      <x:c r="D292" s="86" t="str">
        <x:v>Dia útil</x:v>
      </x:c>
      <x:c r="E292" s="86" t="n">
        <x:v>2</x:v>
      </x:c>
      <x:c r="F292" s="99" t="n">
        <x:v>0.5</x:v>
      </x:c>
      <x:c r="G292" s="91" t="n">
        <x:v>39.95</x:v>
      </x:c>
      <x:c r="H292" s="86" t="n">
        <x:v>1</x:v>
      </x:c>
      <x:c r="I292" s="87" t="n">
        <x:v>1</x:v>
      </x:c>
    </x:row>
    <x:row r="293">
      <x:c r="A293" s="85" t="n">
        <x:v>292</x:v>
      </x:c>
      <x:c r="B293" s="86" t="n">
        <x:v>311</x:v>
      </x:c>
      <x:c r="C293" s="95" t="n">
        <x:v>45548</x:v>
      </x:c>
      <x:c r="D293" s="86" t="str">
        <x:v>Sábado</x:v>
      </x:c>
      <x:c r="E293" s="86" t="n">
        <x:v>6</x:v>
      </x:c>
      <x:c r="F293" s="99" t="n">
        <x:v>0.75</x:v>
      </x:c>
      <x:c r="G293" s="91" t="n">
        <x:v>776.23</x:v>
      </x:c>
      <x:c r="H293" s="86" t="n">
        <x:v>0</x:v>
      </x:c>
      <x:c r="I293" s="87" t="n">
        <x:v>5</x:v>
      </x:c>
    </x:row>
    <x:row r="294">
      <x:c r="A294" s="85" t="n">
        <x:v>293</x:v>
      </x:c>
      <x:c r="B294" s="86" t="n">
        <x:v>45</x:v>
      </x:c>
      <x:c r="C294" s="95" t="n">
        <x:v>45967</x:v>
      </x:c>
      <x:c r="D294" s="86" t="str">
        <x:v>Dia útil</x:v>
      </x:c>
      <x:c r="E294" s="86" t="n">
        <x:v>1</x:v>
      </x:c>
      <x:c r="F294" s="99" t="n">
        <x:v>0.5</x:v>
      </x:c>
      <x:c r="G294" s="91" t="n">
        <x:v>15.46</x:v>
      </x:c>
      <x:c r="H294" s="86" t="n">
        <x:v>1</x:v>
      </x:c>
      <x:c r="I294" s="87" t="n">
        <x:v>1</x:v>
      </x:c>
    </x:row>
    <x:row r="295">
      <x:c r="A295" s="85" t="n">
        <x:v>294</x:v>
      </x:c>
      <x:c r="B295" s="86" t="n">
        <x:v>372</x:v>
      </x:c>
      <x:c r="C295" s="95" t="n">
        <x:v>45921</x:v>
      </x:c>
      <x:c r="D295" s="86" t="str">
        <x:v>Domingo/Feriado</x:v>
      </x:c>
      <x:c r="E295" s="86" t="n">
        <x:v>8</x:v>
      </x:c>
      <x:c r="F295" s="99" t="n">
        <x:v>1</x:v>
      </x:c>
      <x:c r="G295" s="91" t="n">
        <x:v>268.99</x:v>
      </x:c>
      <x:c r="H295" s="86" t="n">
        <x:v>1</x:v>
      </x:c>
      <x:c r="I295" s="87" t="n">
        <x:v>2</x:v>
      </x:c>
    </x:row>
    <x:row r="296">
      <x:c r="A296" s="85" t="n">
        <x:v>295</x:v>
      </x:c>
      <x:c r="B296" s="86" t="n">
        <x:v>414</x:v>
      </x:c>
      <x:c r="C296" s="95" t="n">
        <x:v>45553</x:v>
      </x:c>
      <x:c r="D296" s="86" t="str">
        <x:v>Dia útil</x:v>
      </x:c>
      <x:c r="E296" s="86" t="n">
        <x:v>2</x:v>
      </x:c>
      <x:c r="F296" s="99" t="n">
        <x:v>0.5</x:v>
      </x:c>
      <x:c r="G296" s="91" t="n">
        <x:v>71.32</x:v>
      </x:c>
      <x:c r="H296" s="86" t="n">
        <x:v>1</x:v>
      </x:c>
      <x:c r="I296" s="87" t="n">
        <x:v>10</x:v>
      </x:c>
    </x:row>
    <x:row r="297">
      <x:c r="A297" s="85" t="n">
        <x:v>296</x:v>
      </x:c>
      <x:c r="B297" s="86" t="n">
        <x:v>347</x:v>
      </x:c>
      <x:c r="C297" s="95" t="n">
        <x:v>45974</x:v>
      </x:c>
      <x:c r="D297" s="86" t="str">
        <x:v>Dia útil</x:v>
      </x:c>
      <x:c r="E297" s="86" t="n">
        <x:v>1</x:v>
      </x:c>
      <x:c r="F297" s="99" t="n">
        <x:v>0.5</x:v>
      </x:c>
      <x:c r="G297" s="91" t="n">
        <x:v>31.47</x:v>
      </x:c>
      <x:c r="H297" s="86" t="n">
        <x:v>1</x:v>
      </x:c>
      <x:c r="I297" s="87" t="n">
        <x:v>7</x:v>
      </x:c>
    </x:row>
    <x:row r="298">
      <x:c r="A298" s="85" t="n">
        <x:v>297</x:v>
      </x:c>
      <x:c r="B298" s="86" t="n">
        <x:v>220</x:v>
      </x:c>
      <x:c r="C298" s="95" t="n">
        <x:v>45781</x:v>
      </x:c>
      <x:c r="D298" s="86" t="str">
        <x:v>Dia útil</x:v>
      </x:c>
      <x:c r="E298" s="86" t="n">
        <x:v>1</x:v>
      </x:c>
      <x:c r="F298" s="99" t="n">
        <x:v>0.5</x:v>
      </x:c>
      <x:c r="G298" s="91" t="n">
        <x:v>31.61</x:v>
      </x:c>
      <x:c r="H298" s="86" t="n">
        <x:v>1</x:v>
      </x:c>
      <x:c r="I298" s="87" t="n">
        <x:v>7</x:v>
      </x:c>
    </x:row>
    <x:row r="299">
      <x:c r="A299" s="85" t="n">
        <x:v>298</x:v>
      </x:c>
      <x:c r="B299" s="86" t="n">
        <x:v>262</x:v>
      </x:c>
      <x:c r="C299" s="95" t="n">
        <x:v>45935</x:v>
      </x:c>
      <x:c r="D299" s="86" t="str">
        <x:v>Dia útil</x:v>
      </x:c>
      <x:c r="E299" s="86" t="n">
        <x:v>8</x:v>
      </x:c>
      <x:c r="F299" s="99" t="n">
        <x:v>0.5</x:v>
      </x:c>
      <x:c r="G299" s="91" t="n">
        <x:v>171.46</x:v>
      </x:c>
      <x:c r="H299" s="86" t="n">
        <x:v>1</x:v>
      </x:c>
      <x:c r="I299" s="87" t="n">
        <x:v>1</x:v>
      </x:c>
    </x:row>
    <x:row r="300">
      <x:c r="A300" s="85" t="n">
        <x:v>299</x:v>
      </x:c>
      <x:c r="B300" s="86" t="n">
        <x:v>74</x:v>
      </x:c>
      <x:c r="C300" s="95" t="n">
        <x:v>45807</x:v>
      </x:c>
      <x:c r="D300" s="86" t="str">
        <x:v>Sábado</x:v>
      </x:c>
      <x:c r="E300" s="86" t="n">
        <x:v>4</x:v>
      </x:c>
      <x:c r="F300" s="99" t="n">
        <x:v>0.75</x:v>
      </x:c>
      <x:c r="G300" s="91" t="n">
        <x:v>76.03</x:v>
      </x:c>
      <x:c r="H300" s="86" t="n">
        <x:v>1</x:v>
      </x:c>
      <x:c r="I300" s="87" t="n">
        <x:v>1</x:v>
      </x:c>
    </x:row>
    <x:row r="301">
      <x:c r="A301" s="85" t="n">
        <x:v>300</x:v>
      </x:c>
      <x:c r="B301" s="86" t="n">
        <x:v>324</x:v>
      </x:c>
      <x:c r="C301" s="95" t="n">
        <x:v>45980</x:v>
      </x:c>
      <x:c r="D301" s="86" t="str">
        <x:v>Sábado</x:v>
      </x:c>
      <x:c r="E301" s="86" t="n">
        <x:v>3</x:v>
      </x:c>
      <x:c r="F301" s="99" t="n">
        <x:v>0.75</x:v>
      </x:c>
      <x:c r="G301" s="91" t="n">
        <x:v>112.83</x:v>
      </x:c>
      <x:c r="H301" s="86" t="n">
        <x:v>1</x:v>
      </x:c>
      <x:c r="I301" s="87" t="n">
        <x:v>7</x:v>
      </x:c>
    </x:row>
    <x:row r="302">
      <x:c r="A302" s="85" t="n">
        <x:v>301</x:v>
      </x:c>
      <x:c r="B302" s="86" t="n">
        <x:v>96</x:v>
      </x:c>
      <x:c r="C302" s="95" t="n">
        <x:v>45904</x:v>
      </x:c>
      <x:c r="D302" s="86" t="str">
        <x:v>Sábado</x:v>
      </x:c>
      <x:c r="E302" s="86" t="n">
        <x:v>3</x:v>
      </x:c>
      <x:c r="F302" s="99" t="n">
        <x:v>0.75</x:v>
      </x:c>
      <x:c r="G302" s="91" t="n">
        <x:v>62.94</x:v>
      </x:c>
      <x:c r="H302" s="86" t="n">
        <x:v>1</x:v>
      </x:c>
      <x:c r="I302" s="87" t="n">
        <x:v>1</x:v>
      </x:c>
    </x:row>
    <x:row r="303">
      <x:c r="A303" s="85" t="n">
        <x:v>302</x:v>
      </x:c>
      <x:c r="B303" s="86" t="n">
        <x:v>393</x:v>
      </x:c>
      <x:c r="C303" s="95" t="n">
        <x:v>45914</x:v>
      </x:c>
      <x:c r="D303" s="86" t="str">
        <x:v>Sábado</x:v>
      </x:c>
      <x:c r="E303" s="86" t="n">
        <x:v>6</x:v>
      </x:c>
      <x:c r="F303" s="99" t="n">
        <x:v>0.75</x:v>
      </x:c>
      <x:c r="G303" s="91" t="n">
        <x:v>123.58</x:v>
      </x:c>
      <x:c r="H303" s="86" t="n">
        <x:v>1</x:v>
      </x:c>
      <x:c r="I303" s="87" t="n">
        <x:v>1</x:v>
      </x:c>
    </x:row>
    <x:row r="304">
      <x:c r="A304" s="85" t="n">
        <x:v>303</x:v>
      </x:c>
      <x:c r="B304" s="86" t="n">
        <x:v>174</x:v>
      </x:c>
      <x:c r="C304" s="95" t="n">
        <x:v>45567</x:v>
      </x:c>
      <x:c r="D304" s="86" t="str">
        <x:v>Dia útil</x:v>
      </x:c>
      <x:c r="E304" s="86" t="n">
        <x:v>3</x:v>
      </x:c>
      <x:c r="F304" s="99" t="n">
        <x:v>0.5</x:v>
      </x:c>
      <x:c r="G304" s="91" t="n">
        <x:v>103.72</x:v>
      </x:c>
      <x:c r="H304" s="86" t="n">
        <x:v>1</x:v>
      </x:c>
      <x:c r="I304" s="87" t="n">
        <x:v>2</x:v>
      </x:c>
    </x:row>
    <x:row r="305">
      <x:c r="A305" s="85" t="n">
        <x:v>304</x:v>
      </x:c>
      <x:c r="B305" s="86" t="n">
        <x:v>355</x:v>
      </x:c>
      <x:c r="C305" s="95" t="n">
        <x:v>45670</x:v>
      </x:c>
      <x:c r="D305" s="86" t="str">
        <x:v>Dia útil</x:v>
      </x:c>
      <x:c r="E305" s="86" t="n">
        <x:v>4</x:v>
      </x:c>
      <x:c r="F305" s="99" t="n">
        <x:v>0.5</x:v>
      </x:c>
      <x:c r="G305" s="91" t="n">
        <x:v>72.12</x:v>
      </x:c>
      <x:c r="H305" s="86" t="n">
        <x:v>1</x:v>
      </x:c>
      <x:c r="I305" s="87" t="n">
        <x:v>1</x:v>
      </x:c>
    </x:row>
    <x:row r="306">
      <x:c r="A306" s="85" t="n">
        <x:v>305</x:v>
      </x:c>
      <x:c r="B306" s="86" t="n">
        <x:v>85</x:v>
      </x:c>
      <x:c r="C306" s="95" t="n">
        <x:v>45947</x:v>
      </x:c>
      <x:c r="D306" s="86" t="str">
        <x:v>Dia útil</x:v>
      </x:c>
      <x:c r="E306" s="86" t="n">
        <x:v>2</x:v>
      </x:c>
      <x:c r="F306" s="99" t="n">
        <x:v>0.5</x:v>
      </x:c>
      <x:c r="G306" s="91" t="n">
        <x:v>111.43</x:v>
      </x:c>
      <x:c r="H306" s="86" t="n">
        <x:v>1</x:v>
      </x:c>
      <x:c r="I306" s="87" t="n">
        <x:v>1</x:v>
      </x:c>
    </x:row>
    <x:row r="307">
      <x:c r="A307" s="85" t="n">
        <x:v>306</x:v>
      </x:c>
      <x:c r="B307" s="86" t="n">
        <x:v>53</x:v>
      </x:c>
      <x:c r="C307" s="95" t="n">
        <x:v>45863</x:v>
      </x:c>
      <x:c r="D307" s="86" t="str">
        <x:v>Sábado</x:v>
      </x:c>
      <x:c r="E307" s="86" t="n">
        <x:v>1</x:v>
      </x:c>
      <x:c r="F307" s="99" t="n">
        <x:v>0.75</x:v>
      </x:c>
      <x:c r="G307" s="91" t="n">
        <x:v>36.82</x:v>
      </x:c>
      <x:c r="H307" s="86" t="n">
        <x:v>1</x:v>
      </x:c>
      <x:c r="I307" s="87" t="n">
        <x:v>7</x:v>
      </x:c>
    </x:row>
    <x:row r="308">
      <x:c r="A308" s="85" t="n">
        <x:v>307</x:v>
      </x:c>
      <x:c r="B308" s="86" t="n">
        <x:v>147</x:v>
      </x:c>
      <x:c r="C308" s="95" t="n">
        <x:v>45914</x:v>
      </x:c>
      <x:c r="D308" s="86" t="str">
        <x:v>Dia útil</x:v>
      </x:c>
      <x:c r="E308" s="86" t="n">
        <x:v>3</x:v>
      </x:c>
      <x:c r="F308" s="99" t="n">
        <x:v>0.5</x:v>
      </x:c>
      <x:c r="G308" s="91" t="n">
        <x:v>248.44</x:v>
      </x:c>
      <x:c r="H308" s="86" t="n">
        <x:v>1</x:v>
      </x:c>
      <x:c r="I308" s="87" t="n">
        <x:v>7</x:v>
      </x:c>
    </x:row>
    <x:row r="309">
      <x:c r="A309" s="85" t="n">
        <x:v>308</x:v>
      </x:c>
      <x:c r="B309" s="86" t="n">
        <x:v>145</x:v>
      </x:c>
      <x:c r="C309" s="95" t="n">
        <x:v>45995</x:v>
      </x:c>
      <x:c r="D309" s="86" t="str">
        <x:v>Dia útil</x:v>
      </x:c>
      <x:c r="E309" s="86" t="n">
        <x:v>4</x:v>
      </x:c>
      <x:c r="F309" s="99" t="n">
        <x:v>0.5</x:v>
      </x:c>
      <x:c r="G309" s="91" t="n">
        <x:v>115.6</x:v>
      </x:c>
      <x:c r="H309" s="86" t="n">
        <x:v>1</x:v>
      </x:c>
      <x:c r="I309" s="87" t="n">
        <x:v>2</x:v>
      </x:c>
    </x:row>
    <x:row r="310">
      <x:c r="A310" s="85" t="n">
        <x:v>309</x:v>
      </x:c>
      <x:c r="B310" s="86" t="n">
        <x:v>338</x:v>
      </x:c>
      <x:c r="C310" s="95" t="n">
        <x:v>45764</x:v>
      </x:c>
      <x:c r="D310" s="86" t="str">
        <x:v>Dia útil</x:v>
      </x:c>
      <x:c r="E310" s="86" t="n">
        <x:v>3</x:v>
      </x:c>
      <x:c r="F310" s="99" t="n">
        <x:v>0.5</x:v>
      </x:c>
      <x:c r="G310" s="91" t="n">
        <x:v>81.74</x:v>
      </x:c>
      <x:c r="H310" s="86" t="n">
        <x:v>1</x:v>
      </x:c>
      <x:c r="I310" s="87" t="n">
        <x:v>3</x:v>
      </x:c>
    </x:row>
    <x:row r="311">
      <x:c r="A311" s="85" t="n">
        <x:v>310</x:v>
      </x:c>
      <x:c r="B311" s="86" t="n">
        <x:v>33</x:v>
      </x:c>
      <x:c r="C311" s="95" t="n">
        <x:v>45651</x:v>
      </x:c>
      <x:c r="D311" s="86" t="str">
        <x:v>Domingo/Feriado</x:v>
      </x:c>
      <x:c r="E311" s="86" t="n">
        <x:v>2</x:v>
      </x:c>
      <x:c r="F311" s="99" t="n">
        <x:v>1</x:v>
      </x:c>
      <x:c r="G311" s="91" t="n">
        <x:v>110.83</x:v>
      </x:c>
      <x:c r="H311" s="86" t="n">
        <x:v>1</x:v>
      </x:c>
      <x:c r="I311" s="87" t="n">
        <x:v>9</x:v>
      </x:c>
    </x:row>
    <x:row r="312">
      <x:c r="A312" s="85" t="n">
        <x:v>311</x:v>
      </x:c>
      <x:c r="B312" s="86" t="n">
        <x:v>354</x:v>
      </x:c>
      <x:c r="C312" s="95" t="n">
        <x:v>45617</x:v>
      </x:c>
      <x:c r="D312" s="86" t="str">
        <x:v>Domingo/Feriado</x:v>
      </x:c>
      <x:c r="E312" s="86" t="n">
        <x:v>3</x:v>
      </x:c>
      <x:c r="F312" s="99" t="n">
        <x:v>1</x:v>
      </x:c>
      <x:c r="G312" s="91" t="n">
        <x:v>409.36</x:v>
      </x:c>
      <x:c r="H312" s="86" t="n">
        <x:v>1</x:v>
      </x:c>
      <x:c r="I312" s="87" t="n">
        <x:v>9</x:v>
      </x:c>
    </x:row>
    <x:row r="313">
      <x:c r="A313" s="85" t="n">
        <x:v>312</x:v>
      </x:c>
      <x:c r="B313" s="86" t="n">
        <x:v>374</x:v>
      </x:c>
      <x:c r="C313" s="95" t="n">
        <x:v>45353</x:v>
      </x:c>
      <x:c r="D313" s="86" t="str">
        <x:v>Sábado</x:v>
      </x:c>
      <x:c r="E313" s="86" t="n">
        <x:v>4</x:v>
      </x:c>
      <x:c r="F313" s="99" t="n">
        <x:v>0.75</x:v>
      </x:c>
      <x:c r="G313" s="91" t="n">
        <x:v>82.34</x:v>
      </x:c>
      <x:c r="H313" s="86" t="n">
        <x:v>1</x:v>
      </x:c>
      <x:c r="I313" s="87" t="n">
        <x:v>1</x:v>
      </x:c>
    </x:row>
    <x:row r="314">
      <x:c r="A314" s="85" t="n">
        <x:v>313</x:v>
      </x:c>
      <x:c r="B314" s="86" t="n">
        <x:v>16</x:v>
      </x:c>
      <x:c r="C314" s="95" t="n">
        <x:v>45844</x:v>
      </x:c>
      <x:c r="D314" s="86" t="str">
        <x:v>Dia útil</x:v>
      </x:c>
      <x:c r="E314" s="86" t="n">
        <x:v>4</x:v>
      </x:c>
      <x:c r="F314" s="99" t="n">
        <x:v>0.5</x:v>
      </x:c>
      <x:c r="G314" s="91" t="n">
        <x:v>248.04</x:v>
      </x:c>
      <x:c r="H314" s="86" t="n">
        <x:v>1</x:v>
      </x:c>
      <x:c r="I314" s="87" t="n">
        <x:v>5</x:v>
      </x:c>
    </x:row>
    <x:row r="315">
      <x:c r="A315" s="85" t="n">
        <x:v>314</x:v>
      </x:c>
      <x:c r="B315" s="86" t="n">
        <x:v>257</x:v>
      </x:c>
      <x:c r="C315" s="95" t="n">
        <x:v>45939</x:v>
      </x:c>
      <x:c r="D315" s="86" t="str">
        <x:v>Dia útil</x:v>
      </x:c>
      <x:c r="E315" s="86" t="n">
        <x:v>8</x:v>
      </x:c>
      <x:c r="F315" s="99" t="n">
        <x:v>0.5</x:v>
      </x:c>
      <x:c r="G315" s="91" t="n">
        <x:v>416.26</x:v>
      </x:c>
      <x:c r="H315" s="86" t="n">
        <x:v>0</x:v>
      </x:c>
      <x:c r="I315" s="87" t="n">
        <x:v>6</x:v>
      </x:c>
    </x:row>
    <x:row r="316">
      <x:c r="A316" s="85" t="n">
        <x:v>315</x:v>
      </x:c>
      <x:c r="B316" s="86" t="n">
        <x:v>132</x:v>
      </x:c>
      <x:c r="C316" s="95" t="n">
        <x:v>46021</x:v>
      </x:c>
      <x:c r="D316" s="86" t="str">
        <x:v>Dia útil</x:v>
      </x:c>
      <x:c r="E316" s="86" t="n">
        <x:v>1</x:v>
      </x:c>
      <x:c r="F316" s="99" t="n">
        <x:v>0.5</x:v>
      </x:c>
      <x:c r="G316" s="91" t="n">
        <x:v>39.64</x:v>
      </x:c>
      <x:c r="H316" s="86" t="n">
        <x:v>1</x:v>
      </x:c>
      <x:c r="I316" s="87" t="n">
        <x:v>4</x:v>
      </x:c>
    </x:row>
    <x:row r="317">
      <x:c r="A317" s="85" t="n">
        <x:v>316</x:v>
      </x:c>
      <x:c r="B317" s="86" t="n">
        <x:v>26</x:v>
      </x:c>
      <x:c r="C317" s="95" t="n">
        <x:v>45990</x:v>
      </x:c>
      <x:c r="D317" s="86" t="str">
        <x:v>Dia útil</x:v>
      </x:c>
      <x:c r="E317" s="86" t="n">
        <x:v>1</x:v>
      </x:c>
      <x:c r="F317" s="99" t="n">
        <x:v>0.5</x:v>
      </x:c>
      <x:c r="G317" s="91" t="n">
        <x:v>57.88</x:v>
      </x:c>
      <x:c r="H317" s="86" t="n">
        <x:v>1</x:v>
      </x:c>
      <x:c r="I317" s="87" t="n">
        <x:v>3</x:v>
      </x:c>
    </x:row>
    <x:row r="318">
      <x:c r="A318" s="85" t="n">
        <x:v>317</x:v>
      </x:c>
      <x:c r="B318" s="86" t="n">
        <x:v>366</x:v>
      </x:c>
      <x:c r="C318" s="95" t="n">
        <x:v>45740</x:v>
      </x:c>
      <x:c r="D318" s="86" t="str">
        <x:v>Sábado</x:v>
      </x:c>
      <x:c r="E318" s="86" t="n">
        <x:v>4</x:v>
      </x:c>
      <x:c r="F318" s="99" t="n">
        <x:v>0.75</x:v>
      </x:c>
      <x:c r="G318" s="91" t="n">
        <x:v>75.16</x:v>
      </x:c>
      <x:c r="H318" s="86" t="n">
        <x:v>1</x:v>
      </x:c>
      <x:c r="I318" s="87" t="n">
        <x:v>1</x:v>
      </x:c>
    </x:row>
    <x:row r="319">
      <x:c r="A319" s="85" t="n">
        <x:v>318</x:v>
      </x:c>
      <x:c r="B319" s="86" t="n">
        <x:v>229</x:v>
      </x:c>
      <x:c r="C319" s="95" t="n">
        <x:v>45393</x:v>
      </x:c>
      <x:c r="D319" s="86" t="str">
        <x:v>Dia útil</x:v>
      </x:c>
      <x:c r="E319" s="86" t="n">
        <x:v>4</x:v>
      </x:c>
      <x:c r="F319" s="99" t="n">
        <x:v>0.5</x:v>
      </x:c>
      <x:c r="G319" s="91" t="n">
        <x:v>134.67</x:v>
      </x:c>
      <x:c r="H319" s="86" t="n">
        <x:v>1</x:v>
      </x:c>
      <x:c r="I319" s="87" t="n">
        <x:v>10</x:v>
      </x:c>
    </x:row>
    <x:row r="320">
      <x:c r="A320" s="85" t="n">
        <x:v>319</x:v>
      </x:c>
      <x:c r="B320" s="86" t="n">
        <x:v>141</x:v>
      </x:c>
      <x:c r="C320" s="95" t="n">
        <x:v>45886</x:v>
      </x:c>
      <x:c r="D320" s="86" t="str">
        <x:v>Dia útil</x:v>
      </x:c>
      <x:c r="E320" s="86" t="n">
        <x:v>4</x:v>
      </x:c>
      <x:c r="F320" s="99" t="n">
        <x:v>0.5</x:v>
      </x:c>
      <x:c r="G320" s="91" t="n">
        <x:v>118.43</x:v>
      </x:c>
      <x:c r="H320" s="86" t="n">
        <x:v>1</x:v>
      </x:c>
      <x:c r="I320" s="87" t="n">
        <x:v>4</x:v>
      </x:c>
    </x:row>
    <x:row r="321">
      <x:c r="A321" s="85" t="n">
        <x:v>320</x:v>
      </x:c>
      <x:c r="B321" s="86" t="n">
        <x:v>309</x:v>
      </x:c>
      <x:c r="C321" s="95" t="n">
        <x:v>45868</x:v>
      </x:c>
      <x:c r="D321" s="86" t="str">
        <x:v>Dia útil</x:v>
      </x:c>
      <x:c r="E321" s="86" t="n">
        <x:v>8</x:v>
      </x:c>
      <x:c r="F321" s="99" t="n">
        <x:v>0.5</x:v>
      </x:c>
      <x:c r="G321" s="91" t="n">
        <x:v>187.35</x:v>
      </x:c>
      <x:c r="H321" s="86" t="n">
        <x:v>1</x:v>
      </x:c>
      <x:c r="I321" s="87" t="n">
        <x:v>10</x:v>
      </x:c>
    </x:row>
    <x:row r="322">
      <x:c r="A322" s="85" t="n">
        <x:v>321</x:v>
      </x:c>
      <x:c r="B322" s="86" t="n">
        <x:v>102</x:v>
      </x:c>
      <x:c r="C322" s="95" t="n">
        <x:v>45744</x:v>
      </x:c>
      <x:c r="D322" s="86" t="str">
        <x:v>Dia útil</x:v>
      </x:c>
      <x:c r="E322" s="86" t="n">
        <x:v>8</x:v>
      </x:c>
      <x:c r="F322" s="99" t="n">
        <x:v>0.5</x:v>
      </x:c>
      <x:c r="G322" s="91" t="n">
        <x:v>349.6</x:v>
      </x:c>
      <x:c r="H322" s="86" t="n">
        <x:v>1</x:v>
      </x:c>
      <x:c r="I322" s="87" t="n">
        <x:v>4</x:v>
      </x:c>
    </x:row>
    <x:row r="323">
      <x:c r="A323" s="85" t="n">
        <x:v>322</x:v>
      </x:c>
      <x:c r="B323" s="86" t="n">
        <x:v>371</x:v>
      </x:c>
      <x:c r="C323" s="95" t="n">
        <x:v>45934</x:v>
      </x:c>
      <x:c r="D323" s="86" t="str">
        <x:v>Dia útil</x:v>
      </x:c>
      <x:c r="E323" s="86" t="n">
        <x:v>8</x:v>
      </x:c>
      <x:c r="F323" s="99" t="n">
        <x:v>0.5</x:v>
      </x:c>
      <x:c r="G323" s="91" t="n">
        <x:v>527.19</x:v>
      </x:c>
      <x:c r="H323" s="86" t="n">
        <x:v>1</x:v>
      </x:c>
      <x:c r="I323" s="87" t="n">
        <x:v>1</x:v>
      </x:c>
    </x:row>
    <x:row r="324">
      <x:c r="A324" s="85" t="n">
        <x:v>323</x:v>
      </x:c>
      <x:c r="B324" s="86" t="n">
        <x:v>62</x:v>
      </x:c>
      <x:c r="C324" s="95" t="n">
        <x:v>45508</x:v>
      </x:c>
      <x:c r="D324" s="86" t="str">
        <x:v>Dia útil</x:v>
      </x:c>
      <x:c r="E324" s="86" t="n">
        <x:v>6</x:v>
      </x:c>
      <x:c r="F324" s="99" t="n">
        <x:v>0.5</x:v>
      </x:c>
      <x:c r="G324" s="91" t="n">
        <x:v>184.84</x:v>
      </x:c>
      <x:c r="H324" s="86" t="n">
        <x:v>1</x:v>
      </x:c>
      <x:c r="I324" s="87" t="n">
        <x:v>2</x:v>
      </x:c>
    </x:row>
    <x:row r="325">
      <x:c r="A325" s="85" t="n">
        <x:v>324</x:v>
      </x:c>
      <x:c r="B325" s="86" t="n">
        <x:v>92</x:v>
      </x:c>
      <x:c r="C325" s="95" t="n">
        <x:v>45608</x:v>
      </x:c>
      <x:c r="D325" s="86" t="str">
        <x:v>Dia útil</x:v>
      </x:c>
      <x:c r="E325" s="86" t="n">
        <x:v>6</x:v>
      </x:c>
      <x:c r="F325" s="99" t="n">
        <x:v>0.5</x:v>
      </x:c>
      <x:c r="G325" s="91" t="n">
        <x:v>383.68</x:v>
      </x:c>
      <x:c r="H325" s="86" t="n">
        <x:v>1</x:v>
      </x:c>
      <x:c r="I325" s="87" t="n">
        <x:v>9</x:v>
      </x:c>
    </x:row>
    <x:row r="326">
      <x:c r="A326" s="85" t="n">
        <x:v>325</x:v>
      </x:c>
      <x:c r="B326" s="86" t="n">
        <x:v>47</x:v>
      </x:c>
      <x:c r="C326" s="95" t="n">
        <x:v>46021</x:v>
      </x:c>
      <x:c r="D326" s="86" t="str">
        <x:v>Dia útil</x:v>
      </x:c>
      <x:c r="E326" s="86" t="n">
        <x:v>3</x:v>
      </x:c>
      <x:c r="F326" s="99" t="n">
        <x:v>0.5</x:v>
      </x:c>
      <x:c r="G326" s="91" t="n">
        <x:v>63.69</x:v>
      </x:c>
      <x:c r="H326" s="86" t="n">
        <x:v>1</x:v>
      </x:c>
      <x:c r="I326" s="87" t="n">
        <x:v>1</x:v>
      </x:c>
    </x:row>
    <x:row r="327">
      <x:c r="A327" s="85" t="n">
        <x:v>326</x:v>
      </x:c>
      <x:c r="B327" s="86" t="n">
        <x:v>269</x:v>
      </x:c>
      <x:c r="C327" s="95" t="n">
        <x:v>45978</x:v>
      </x:c>
      <x:c r="D327" s="86" t="str">
        <x:v>Dia útil</x:v>
      </x:c>
      <x:c r="E327" s="86" t="n">
        <x:v>1</x:v>
      </x:c>
      <x:c r="F327" s="99" t="n">
        <x:v>0.5</x:v>
      </x:c>
      <x:c r="G327" s="91" t="n">
        <x:v>43.26</x:v>
      </x:c>
      <x:c r="H327" s="86" t="n">
        <x:v>1</x:v>
      </x:c>
      <x:c r="I327" s="87" t="n">
        <x:v>4</x:v>
      </x:c>
    </x:row>
    <x:row r="328">
      <x:c r="A328" s="85" t="n">
        <x:v>327</x:v>
      </x:c>
      <x:c r="B328" s="86" t="n">
        <x:v>212</x:v>
      </x:c>
      <x:c r="C328" s="95" t="n">
        <x:v>45471</x:v>
      </x:c>
      <x:c r="D328" s="86" t="str">
        <x:v>Dia útil</x:v>
      </x:c>
      <x:c r="E328" s="86" t="n">
        <x:v>3</x:v>
      </x:c>
      <x:c r="F328" s="99" t="n">
        <x:v>0.5</x:v>
      </x:c>
      <x:c r="G328" s="91" t="n">
        <x:v>82.05</x:v>
      </x:c>
      <x:c r="H328" s="86" t="n">
        <x:v>1</x:v>
      </x:c>
      <x:c r="I328" s="87" t="n">
        <x:v>3</x:v>
      </x:c>
    </x:row>
    <x:row r="329">
      <x:c r="A329" s="85" t="n">
        <x:v>328</x:v>
      </x:c>
      <x:c r="B329" s="86" t="n">
        <x:v>307</x:v>
      </x:c>
      <x:c r="C329" s="95" t="n">
        <x:v>45362</x:v>
      </x:c>
      <x:c r="D329" s="86" t="str">
        <x:v>Dia útil</x:v>
      </x:c>
      <x:c r="E329" s="86" t="n">
        <x:v>6</x:v>
      </x:c>
      <x:c r="F329" s="99" t="n">
        <x:v>0.5</x:v>
      </x:c>
      <x:c r="G329" s="91" t="n">
        <x:v>177.21</x:v>
      </x:c>
      <x:c r="H329" s="86" t="n">
        <x:v>1</x:v>
      </x:c>
      <x:c r="I329" s="87" t="n">
        <x:v>3</x:v>
      </x:c>
    </x:row>
    <x:row r="330">
      <x:c r="A330" s="85" t="n">
        <x:v>329</x:v>
      </x:c>
      <x:c r="B330" s="86" t="n">
        <x:v>60</x:v>
      </x:c>
      <x:c r="C330" s="95" t="n">
        <x:v>45561</x:v>
      </x:c>
      <x:c r="D330" s="86" t="str">
        <x:v>Sábado</x:v>
      </x:c>
      <x:c r="E330" s="86" t="n">
        <x:v>4</x:v>
      </x:c>
      <x:c r="F330" s="99" t="n">
        <x:v>0.75</x:v>
      </x:c>
      <x:c r="G330" s="91" t="n">
        <x:v>326.24</x:v>
      </x:c>
      <x:c r="H330" s="86" t="n">
        <x:v>1</x:v>
      </x:c>
      <x:c r="I330" s="87" t="n">
        <x:v>5</x:v>
      </x:c>
    </x:row>
    <x:row r="331">
      <x:c r="A331" s="85" t="n">
        <x:v>330</x:v>
      </x:c>
      <x:c r="B331" s="86" t="n">
        <x:v>84</x:v>
      </x:c>
      <x:c r="C331" s="95" t="n">
        <x:v>45952</x:v>
      </x:c>
      <x:c r="D331" s="86" t="str">
        <x:v>Dia útil</x:v>
      </x:c>
      <x:c r="E331" s="86" t="n">
        <x:v>6</x:v>
      </x:c>
      <x:c r="F331" s="99" t="n">
        <x:v>0.5</x:v>
      </x:c>
      <x:c r="G331" s="91" t="n">
        <x:v>228.03</x:v>
      </x:c>
      <x:c r="H331" s="86" t="n">
        <x:v>1</x:v>
      </x:c>
      <x:c r="I331" s="87" t="n">
        <x:v>4</x:v>
      </x:c>
    </x:row>
    <x:row r="332">
      <x:c r="A332" s="85" t="n">
        <x:v>331</x:v>
      </x:c>
      <x:c r="B332" s="86" t="n">
        <x:v>90</x:v>
      </x:c>
      <x:c r="C332" s="95" t="n">
        <x:v>45379</x:v>
      </x:c>
      <x:c r="D332" s="86" t="str">
        <x:v>Dia útil</x:v>
      </x:c>
      <x:c r="E332" s="86" t="n">
        <x:v>2</x:v>
      </x:c>
      <x:c r="F332" s="99" t="n">
        <x:v>0.5</x:v>
      </x:c>
      <x:c r="G332" s="91" t="n">
        <x:v>72.62</x:v>
      </x:c>
      <x:c r="H332" s="86" t="n">
        <x:v>1</x:v>
      </x:c>
      <x:c r="I332" s="87" t="n">
        <x:v>6</x:v>
      </x:c>
    </x:row>
    <x:row r="333">
      <x:c r="A333" s="85" t="n">
        <x:v>332</x:v>
      </x:c>
      <x:c r="B333" s="86" t="n">
        <x:v>330</x:v>
      </x:c>
      <x:c r="C333" s="95" t="n">
        <x:v>45628</x:v>
      </x:c>
      <x:c r="D333" s="86" t="str">
        <x:v>Dia útil</x:v>
      </x:c>
      <x:c r="E333" s="86" t="n">
        <x:v>3</x:v>
      </x:c>
      <x:c r="F333" s="99" t="n">
        <x:v>0.5</x:v>
      </x:c>
      <x:c r="G333" s="91" t="n">
        <x:v>62.09</x:v>
      </x:c>
      <x:c r="H333" s="86" t="n">
        <x:v>1</x:v>
      </x:c>
      <x:c r="I333" s="87" t="n">
        <x:v>1</x:v>
      </x:c>
    </x:row>
    <x:row r="334">
      <x:c r="A334" s="85" t="n">
        <x:v>333</x:v>
      </x:c>
      <x:c r="B334" s="86" t="n">
        <x:v>14</x:v>
      </x:c>
      <x:c r="C334" s="95" t="n">
        <x:v>46005</x:v>
      </x:c>
      <x:c r="D334" s="86" t="str">
        <x:v>Dia útil</x:v>
      </x:c>
      <x:c r="E334" s="86" t="n">
        <x:v>4</x:v>
      </x:c>
      <x:c r="F334" s="99" t="n">
        <x:v>0.5</x:v>
      </x:c>
      <x:c r="G334" s="91" t="n">
        <x:v>91.27</x:v>
      </x:c>
      <x:c r="H334" s="86" t="n">
        <x:v>1</x:v>
      </x:c>
      <x:c r="I334" s="87" t="n">
        <x:v>3</x:v>
      </x:c>
    </x:row>
    <x:row r="335">
      <x:c r="A335" s="85" t="n">
        <x:v>334</x:v>
      </x:c>
      <x:c r="B335" s="86" t="n">
        <x:v>321</x:v>
      </x:c>
      <x:c r="C335" s="95" t="n">
        <x:v>45847</x:v>
      </x:c>
      <x:c r="D335" s="86" t="str">
        <x:v>Sábado</x:v>
      </x:c>
      <x:c r="E335" s="86" t="n">
        <x:v>3</x:v>
      </x:c>
      <x:c r="F335" s="99" t="n">
        <x:v>0.75</x:v>
      </x:c>
      <x:c r="G335" s="91" t="n">
        <x:v>75.19</x:v>
      </x:c>
      <x:c r="H335" s="86" t="n">
        <x:v>1</x:v>
      </x:c>
      <x:c r="I335" s="87" t="n">
        <x:v>7</x:v>
      </x:c>
    </x:row>
    <x:row r="336">
      <x:c r="A336" s="85" t="n">
        <x:v>335</x:v>
      </x:c>
      <x:c r="B336" s="86" t="n">
        <x:v>89</x:v>
      </x:c>
      <x:c r="C336" s="95" t="n">
        <x:v>45493</x:v>
      </x:c>
      <x:c r="D336" s="86" t="str">
        <x:v>Dia útil</x:v>
      </x:c>
      <x:c r="E336" s="86" t="n">
        <x:v>3</x:v>
      </x:c>
      <x:c r="F336" s="99" t="n">
        <x:v>0.5</x:v>
      </x:c>
      <x:c r="G336" s="91" t="n">
        <x:v>64.42</x:v>
      </x:c>
      <x:c r="H336" s="86" t="n">
        <x:v>1</x:v>
      </x:c>
      <x:c r="I336" s="87" t="n">
        <x:v>3</x:v>
      </x:c>
    </x:row>
    <x:row r="337">
      <x:c r="A337" s="85" t="n">
        <x:v>336</x:v>
      </x:c>
      <x:c r="B337" s="86" t="n">
        <x:v>57</x:v>
      </x:c>
      <x:c r="C337" s="95" t="n">
        <x:v>45879</x:v>
      </x:c>
      <x:c r="D337" s="86" t="str">
        <x:v>Dia útil</x:v>
      </x:c>
      <x:c r="E337" s="86" t="n">
        <x:v>4</x:v>
      </x:c>
      <x:c r="F337" s="99" t="n">
        <x:v>0.5</x:v>
      </x:c>
      <x:c r="G337" s="91" t="n">
        <x:v>178.73</x:v>
      </x:c>
      <x:c r="H337" s="86" t="n">
        <x:v>1</x:v>
      </x:c>
      <x:c r="I337" s="87" t="n">
        <x:v>5</x:v>
      </x:c>
    </x:row>
    <x:row r="338">
      <x:c r="A338" s="85" t="n">
        <x:v>337</x:v>
      </x:c>
      <x:c r="B338" s="86" t="n">
        <x:v>228</x:v>
      </x:c>
      <x:c r="C338" s="95" t="n">
        <x:v>45345</x:v>
      </x:c>
      <x:c r="D338" s="86" t="str">
        <x:v>Dia útil</x:v>
      </x:c>
      <x:c r="E338" s="86" t="n">
        <x:v>2</x:v>
      </x:c>
      <x:c r="F338" s="99" t="n">
        <x:v>0.5</x:v>
      </x:c>
      <x:c r="G338" s="91" t="n">
        <x:v>59.26</x:v>
      </x:c>
      <x:c r="H338" s="86" t="n">
        <x:v>1</x:v>
      </x:c>
      <x:c r="I338" s="87" t="n">
        <x:v>3</x:v>
      </x:c>
    </x:row>
    <x:row r="339">
      <x:c r="A339" s="85" t="n">
        <x:v>338</x:v>
      </x:c>
      <x:c r="B339" s="86" t="n">
        <x:v>319</x:v>
      </x:c>
      <x:c r="C339" s="95" t="n">
        <x:v>45966</x:v>
      </x:c>
      <x:c r="D339" s="86" t="str">
        <x:v>Dia útil</x:v>
      </x:c>
      <x:c r="E339" s="86" t="n">
        <x:v>1</x:v>
      </x:c>
      <x:c r="F339" s="99" t="n">
        <x:v>0.5</x:v>
      </x:c>
      <x:c r="G339" s="91" t="n">
        <x:v>42.85</x:v>
      </x:c>
      <x:c r="H339" s="86" t="n">
        <x:v>1</x:v>
      </x:c>
      <x:c r="I339" s="87" t="n">
        <x:v>8</x:v>
      </x:c>
    </x:row>
    <x:row r="340">
      <x:c r="A340" s="85" t="n">
        <x:v>339</x:v>
      </x:c>
      <x:c r="B340" s="86" t="n">
        <x:v>51</x:v>
      </x:c>
      <x:c r="C340" s="95" t="n">
        <x:v>45928</x:v>
      </x:c>
      <x:c r="D340" s="86" t="str">
        <x:v>Dia útil</x:v>
      </x:c>
      <x:c r="E340" s="86" t="n">
        <x:v>3</x:v>
      </x:c>
      <x:c r="F340" s="99" t="n">
        <x:v>0.5</x:v>
      </x:c>
      <x:c r="G340" s="91" t="n">
        <x:v>60.05</x:v>
      </x:c>
      <x:c r="H340" s="86" t="n">
        <x:v>1</x:v>
      </x:c>
      <x:c r="I340" s="87" t="n">
        <x:v>1</x:v>
      </x:c>
    </x:row>
    <x:row r="341">
      <x:c r="A341" s="85" t="n">
        <x:v>340</x:v>
      </x:c>
      <x:c r="B341" s="86" t="n">
        <x:v>78</x:v>
      </x:c>
      <x:c r="C341" s="95" t="n">
        <x:v>45972</x:v>
      </x:c>
      <x:c r="D341" s="86" t="str">
        <x:v>Domingo/Feriado</x:v>
      </x:c>
      <x:c r="E341" s="86" t="n">
        <x:v>3</x:v>
      </x:c>
      <x:c r="F341" s="99" t="n">
        <x:v>1</x:v>
      </x:c>
      <x:c r="G341" s="91" t="n">
        <x:v>188.71</x:v>
      </x:c>
      <x:c r="H341" s="86" t="n">
        <x:v>1</x:v>
      </x:c>
      <x:c r="I341" s="87" t="n">
        <x:v>1</x:v>
      </x:c>
    </x:row>
    <x:row r="342">
      <x:c r="A342" s="85" t="n">
        <x:v>341</x:v>
      </x:c>
      <x:c r="B342" s="86" t="n">
        <x:v>89</x:v>
      </x:c>
      <x:c r="C342" s="95" t="n">
        <x:v>45989</x:v>
      </x:c>
      <x:c r="D342" s="86" t="str">
        <x:v>Sábado</x:v>
      </x:c>
      <x:c r="E342" s="86" t="n">
        <x:v>4</x:v>
      </x:c>
      <x:c r="F342" s="99" t="n">
        <x:v>0.75</x:v>
      </x:c>
      <x:c r="G342" s="91" t="n">
        <x:v>100.2</x:v>
      </x:c>
      <x:c r="H342" s="86" t="n">
        <x:v>1</x:v>
      </x:c>
      <x:c r="I342" s="87" t="n">
        <x:v>3</x:v>
      </x:c>
    </x:row>
    <x:row r="343">
      <x:c r="A343" s="85" t="n">
        <x:v>342</x:v>
      </x:c>
      <x:c r="B343" s="86" t="n">
        <x:v>238</x:v>
      </x:c>
      <x:c r="C343" s="95" t="n">
        <x:v>45892</x:v>
      </x:c>
      <x:c r="D343" s="86" t="str">
        <x:v>Domingo/Feriado</x:v>
      </x:c>
      <x:c r="E343" s="86" t="n">
        <x:v>6</x:v>
      </x:c>
      <x:c r="F343" s="99" t="n">
        <x:v>1</x:v>
      </x:c>
      <x:c r="G343" s="91" t="n">
        <x:v>172.73</x:v>
      </x:c>
      <x:c r="H343" s="86" t="n">
        <x:v>1</x:v>
      </x:c>
      <x:c r="I343" s="87" t="n">
        <x:v>1</x:v>
      </x:c>
    </x:row>
    <x:row r="344">
      <x:c r="A344" s="85" t="n">
        <x:v>343</x:v>
      </x:c>
      <x:c r="B344" s="86" t="n">
        <x:v>140</x:v>
      </x:c>
      <x:c r="C344" s="95" t="n">
        <x:v>45994</x:v>
      </x:c>
      <x:c r="D344" s="86" t="str">
        <x:v>Sábado</x:v>
      </x:c>
      <x:c r="E344" s="86" t="n">
        <x:v>6</x:v>
      </x:c>
      <x:c r="F344" s="99" t="n">
        <x:v>0.75</x:v>
      </x:c>
      <x:c r="G344" s="91" t="n">
        <x:v>179.29</x:v>
      </x:c>
      <x:c r="H344" s="86" t="n">
        <x:v>1</x:v>
      </x:c>
      <x:c r="I344" s="87" t="n">
        <x:v>7</x:v>
      </x:c>
    </x:row>
    <x:row r="345">
      <x:c r="A345" s="85" t="n">
        <x:v>344</x:v>
      </x:c>
      <x:c r="B345" s="86" t="n">
        <x:v>40</x:v>
      </x:c>
      <x:c r="C345" s="95" t="n">
        <x:v>45972</x:v>
      </x:c>
      <x:c r="D345" s="86" t="str">
        <x:v>Dia útil</x:v>
      </x:c>
      <x:c r="E345" s="86" t="n">
        <x:v>1</x:v>
      </x:c>
      <x:c r="F345" s="99" t="n">
        <x:v>0.5</x:v>
      </x:c>
      <x:c r="G345" s="91" t="n">
        <x:v>16.67</x:v>
      </x:c>
      <x:c r="H345" s="86" t="n">
        <x:v>1</x:v>
      </x:c>
      <x:c r="I345" s="87" t="n">
        <x:v>1</x:v>
      </x:c>
    </x:row>
    <x:row r="346">
      <x:c r="A346" s="85" t="n">
        <x:v>345</x:v>
      </x:c>
      <x:c r="B346" s="86" t="n">
        <x:v>147</x:v>
      </x:c>
      <x:c r="C346" s="95" t="n">
        <x:v>45975</x:v>
      </x:c>
      <x:c r="D346" s="86" t="str">
        <x:v>Dia útil</x:v>
      </x:c>
      <x:c r="E346" s="86" t="n">
        <x:v>8</x:v>
      </x:c>
      <x:c r="F346" s="99" t="n">
        <x:v>0.5</x:v>
      </x:c>
      <x:c r="G346" s="91" t="n">
        <x:v>662.5</x:v>
      </x:c>
      <x:c r="H346" s="86" t="n">
        <x:v>1</x:v>
      </x:c>
      <x:c r="I346" s="87" t="n">
        <x:v>7</x:v>
      </x:c>
    </x:row>
    <x:row r="347">
      <x:c r="A347" s="85" t="n">
        <x:v>346</x:v>
      </x:c>
      <x:c r="B347" s="86" t="n">
        <x:v>398</x:v>
      </x:c>
      <x:c r="C347" s="95" t="n">
        <x:v>45796</x:v>
      </x:c>
      <x:c r="D347" s="86" t="str">
        <x:v>Domingo/Feriado</x:v>
      </x:c>
      <x:c r="E347" s="86" t="n">
        <x:v>8</x:v>
      </x:c>
      <x:c r="F347" s="99" t="n">
        <x:v>1</x:v>
      </x:c>
      <x:c r="G347" s="91" t="n">
        <x:v>186.15</x:v>
      </x:c>
      <x:c r="H347" s="86" t="n">
        <x:v>1</x:v>
      </x:c>
      <x:c r="I347" s="87" t="n">
        <x:v>1</x:v>
      </x:c>
    </x:row>
    <x:row r="348">
      <x:c r="A348" s="85" t="n">
        <x:v>347</x:v>
      </x:c>
      <x:c r="B348" s="86" t="n">
        <x:v>392</x:v>
      </x:c>
      <x:c r="C348" s="95" t="n">
        <x:v>45331</x:v>
      </x:c>
      <x:c r="D348" s="86" t="str">
        <x:v>Sábado</x:v>
      </x:c>
      <x:c r="E348" s="86" t="n">
        <x:v>3</x:v>
      </x:c>
      <x:c r="F348" s="99" t="n">
        <x:v>0.75</x:v>
      </x:c>
      <x:c r="G348" s="91" t="n">
        <x:v>156.07</x:v>
      </x:c>
      <x:c r="H348" s="86" t="n">
        <x:v>1</x:v>
      </x:c>
      <x:c r="I348" s="87" t="n">
        <x:v>7</x:v>
      </x:c>
    </x:row>
    <x:row r="349">
      <x:c r="A349" s="85" t="n">
        <x:v>348</x:v>
      </x:c>
      <x:c r="B349" s="86" t="n">
        <x:v>193</x:v>
      </x:c>
      <x:c r="C349" s="95" t="n">
        <x:v>46008</x:v>
      </x:c>
      <x:c r="D349" s="86" t="str">
        <x:v>Dia útil</x:v>
      </x:c>
      <x:c r="E349" s="86" t="n">
        <x:v>8</x:v>
      </x:c>
      <x:c r="F349" s="99" t="n">
        <x:v>0.5</x:v>
      </x:c>
      <x:c r="G349" s="91" t="n">
        <x:v>333.92</x:v>
      </x:c>
      <x:c r="H349" s="86" t="n">
        <x:v>1</x:v>
      </x:c>
      <x:c r="I349" s="87" t="n">
        <x:v>6</x:v>
      </x:c>
    </x:row>
    <x:row r="350">
      <x:c r="A350" s="85" t="n">
        <x:v>349</x:v>
      </x:c>
      <x:c r="B350" s="86" t="n">
        <x:v>376</x:v>
      </x:c>
      <x:c r="C350" s="95" t="n">
        <x:v>45845</x:v>
      </x:c>
      <x:c r="D350" s="86" t="str">
        <x:v>Dia útil</x:v>
      </x:c>
      <x:c r="E350" s="86" t="n">
        <x:v>2</x:v>
      </x:c>
      <x:c r="F350" s="99" t="n">
        <x:v>0.5</x:v>
      </x:c>
      <x:c r="G350" s="91" t="n">
        <x:v>127.65</x:v>
      </x:c>
      <x:c r="H350" s="86" t="n">
        <x:v>1</x:v>
      </x:c>
      <x:c r="I350" s="87" t="n">
        <x:v>4</x:v>
      </x:c>
    </x:row>
    <x:row r="351">
      <x:c r="A351" s="85" t="n">
        <x:v>350</x:v>
      </x:c>
      <x:c r="B351" s="86" t="n">
        <x:v>74</x:v>
      </x:c>
      <x:c r="C351" s="95" t="n">
        <x:v>45906</x:v>
      </x:c>
      <x:c r="D351" s="86" t="str">
        <x:v>Dia útil</x:v>
      </x:c>
      <x:c r="E351" s="86" t="n">
        <x:v>4</x:v>
      </x:c>
      <x:c r="F351" s="99" t="n">
        <x:v>0.5</x:v>
      </x:c>
      <x:c r="G351" s="91" t="n">
        <x:v>65.17</x:v>
      </x:c>
      <x:c r="H351" s="86" t="n">
        <x:v>1</x:v>
      </x:c>
      <x:c r="I351" s="87" t="n">
        <x:v>1</x:v>
      </x:c>
    </x:row>
    <x:row r="352">
      <x:c r="A352" s="85" t="n">
        <x:v>351</x:v>
      </x:c>
      <x:c r="B352" s="86" t="n">
        <x:v>292</x:v>
      </x:c>
      <x:c r="C352" s="95" t="n">
        <x:v>45597</x:v>
      </x:c>
      <x:c r="D352" s="86" t="str">
        <x:v>Dia útil</x:v>
      </x:c>
      <x:c r="E352" s="86" t="n">
        <x:v>6</x:v>
      </x:c>
      <x:c r="F352" s="99" t="n">
        <x:v>0.5</x:v>
      </x:c>
      <x:c r="G352" s="91" t="n">
        <x:v>268.45</x:v>
      </x:c>
      <x:c r="H352" s="86" t="n">
        <x:v>1</x:v>
      </x:c>
      <x:c r="I352" s="87" t="n">
        <x:v>7</x:v>
      </x:c>
    </x:row>
    <x:row r="353">
      <x:c r="A353" s="85" t="n">
        <x:v>352</x:v>
      </x:c>
      <x:c r="B353" s="86" t="n">
        <x:v>193</x:v>
      </x:c>
      <x:c r="C353" s="95" t="n">
        <x:v>45811</x:v>
      </x:c>
      <x:c r="D353" s="86" t="str">
        <x:v>Sábado</x:v>
      </x:c>
      <x:c r="E353" s="86" t="n">
        <x:v>3</x:v>
      </x:c>
      <x:c r="F353" s="99" t="n">
        <x:v>0.75</x:v>
      </x:c>
      <x:c r="G353" s="91" t="n">
        <x:v>146.09</x:v>
      </x:c>
      <x:c r="H353" s="86" t="n">
        <x:v>1</x:v>
      </x:c>
      <x:c r="I353" s="87" t="n">
        <x:v>6</x:v>
      </x:c>
    </x:row>
    <x:row r="354">
      <x:c r="A354" s="85" t="n">
        <x:v>353</x:v>
      </x:c>
      <x:c r="B354" s="86" t="n">
        <x:v>328</x:v>
      </x:c>
      <x:c r="C354" s="95" t="n">
        <x:v>46012</x:v>
      </x:c>
      <x:c r="D354" s="86" t="str">
        <x:v>Dia útil</x:v>
      </x:c>
      <x:c r="E354" s="86" t="n">
        <x:v>1</x:v>
      </x:c>
      <x:c r="F354" s="99" t="n">
        <x:v>0.5</x:v>
      </x:c>
      <x:c r="G354" s="91" t="n">
        <x:v>42.58</x:v>
      </x:c>
      <x:c r="H354" s="86" t="n">
        <x:v>1</x:v>
      </x:c>
      <x:c r="I354" s="87" t="n">
        <x:v>6</x:v>
      </x:c>
    </x:row>
    <x:row r="355">
      <x:c r="A355" s="85" t="n">
        <x:v>354</x:v>
      </x:c>
      <x:c r="B355" s="86" t="n">
        <x:v>166</x:v>
      </x:c>
      <x:c r="C355" s="95" t="n">
        <x:v>45915</x:v>
      </x:c>
      <x:c r="D355" s="86" t="str">
        <x:v>Sábado</x:v>
      </x:c>
      <x:c r="E355" s="86" t="n">
        <x:v>3</x:v>
      </x:c>
      <x:c r="F355" s="99" t="n">
        <x:v>0.75</x:v>
      </x:c>
      <x:c r="G355" s="91" t="n">
        <x:v>54.08</x:v>
      </x:c>
      <x:c r="H355" s="86" t="n">
        <x:v>1</x:v>
      </x:c>
      <x:c r="I355" s="87" t="n">
        <x:v>1</x:v>
      </x:c>
    </x:row>
    <x:row r="356">
      <x:c r="A356" s="85" t="n">
        <x:v>355</x:v>
      </x:c>
      <x:c r="B356" s="86" t="n">
        <x:v>370</x:v>
      </x:c>
      <x:c r="C356" s="95" t="n">
        <x:v>45997</x:v>
      </x:c>
      <x:c r="D356" s="86" t="str">
        <x:v>Dia útil</x:v>
      </x:c>
      <x:c r="E356" s="86" t="n">
        <x:v>4</x:v>
      </x:c>
      <x:c r="F356" s="99" t="n">
        <x:v>0.5</x:v>
      </x:c>
      <x:c r="G356" s="91" t="n">
        <x:v>168.95</x:v>
      </x:c>
      <x:c r="H356" s="86" t="n">
        <x:v>1</x:v>
      </x:c>
      <x:c r="I356" s="87" t="n">
        <x:v>4</x:v>
      </x:c>
    </x:row>
    <x:row r="357">
      <x:c r="A357" s="85" t="n">
        <x:v>356</x:v>
      </x:c>
      <x:c r="B357" s="86" t="n">
        <x:v>87</x:v>
      </x:c>
      <x:c r="C357" s="95" t="n">
        <x:v>45971</x:v>
      </x:c>
      <x:c r="D357" s="86" t="str">
        <x:v>Sábado</x:v>
      </x:c>
      <x:c r="E357" s="86" t="n">
        <x:v>6</x:v>
      </x:c>
      <x:c r="F357" s="99" t="n">
        <x:v>0.75</x:v>
      </x:c>
      <x:c r="G357" s="91" t="n">
        <x:v>189.88</x:v>
      </x:c>
      <x:c r="H357" s="86" t="n">
        <x:v>1</x:v>
      </x:c>
      <x:c r="I357" s="87" t="n">
        <x:v>2</x:v>
      </x:c>
    </x:row>
    <x:row r="358">
      <x:c r="A358" s="85" t="n">
        <x:v>357</x:v>
      </x:c>
      <x:c r="B358" s="86" t="n">
        <x:v>398</x:v>
      </x:c>
      <x:c r="C358" s="95" t="n">
        <x:v>45992</x:v>
      </x:c>
      <x:c r="D358" s="86" t="str">
        <x:v>Sábado</x:v>
      </x:c>
      <x:c r="E358" s="86" t="n">
        <x:v>6</x:v>
      </x:c>
      <x:c r="F358" s="99" t="n">
        <x:v>0.75</x:v>
      </x:c>
      <x:c r="G358" s="91" t="n">
        <x:v>122.16</x:v>
      </x:c>
      <x:c r="H358" s="86" t="n">
        <x:v>1</x:v>
      </x:c>
      <x:c r="I358" s="87" t="n">
        <x:v>1</x:v>
      </x:c>
    </x:row>
    <x:row r="359">
      <x:c r="A359" s="85" t="n">
        <x:v>358</x:v>
      </x:c>
      <x:c r="B359" s="86" t="n">
        <x:v>168</x:v>
      </x:c>
      <x:c r="C359" s="95" t="n">
        <x:v>45819</x:v>
      </x:c>
      <x:c r="D359" s="86" t="str">
        <x:v>Domingo/Feriado</x:v>
      </x:c>
      <x:c r="E359" s="86" t="n">
        <x:v>6</x:v>
      </x:c>
      <x:c r="F359" s="99" t="n">
        <x:v>1</x:v>
      </x:c>
      <x:c r="G359" s="91" t="n">
        <x:v>356.02</x:v>
      </x:c>
      <x:c r="H359" s="86" t="n">
        <x:v>1</x:v>
      </x:c>
      <x:c r="I359" s="87" t="n">
        <x:v>8</x:v>
      </x:c>
    </x:row>
    <x:row r="360">
      <x:c r="A360" s="85" t="n">
        <x:v>359</x:v>
      </x:c>
      <x:c r="B360" s="86" t="n">
        <x:v>219</x:v>
      </x:c>
      <x:c r="C360" s="95" t="n">
        <x:v>45686</x:v>
      </x:c>
      <x:c r="D360" s="86" t="str">
        <x:v>Dia útil</x:v>
      </x:c>
      <x:c r="E360" s="86" t="n">
        <x:v>4</x:v>
      </x:c>
      <x:c r="F360" s="99" t="n">
        <x:v>0.5</x:v>
      </x:c>
      <x:c r="G360" s="91" t="n">
        <x:v>257.31</x:v>
      </x:c>
      <x:c r="H360" s="86" t="n">
        <x:v>1</x:v>
      </x:c>
      <x:c r="I360" s="87" t="n">
        <x:v>5</x:v>
      </x:c>
    </x:row>
    <x:row r="361">
      <x:c r="A361" s="85" t="n">
        <x:v>360</x:v>
      </x:c>
      <x:c r="B361" s="86" t="n">
        <x:v>142</x:v>
      </x:c>
      <x:c r="C361" s="95" t="n">
        <x:v>45840</x:v>
      </x:c>
      <x:c r="D361" s="86" t="str">
        <x:v>Dia útil</x:v>
      </x:c>
      <x:c r="E361" s="86" t="n">
        <x:v>6</x:v>
      </x:c>
      <x:c r="F361" s="99" t="n">
        <x:v>0.5</x:v>
      </x:c>
      <x:c r="G361" s="91" t="n">
        <x:v>194.51</x:v>
      </x:c>
      <x:c r="H361" s="86" t="n">
        <x:v>1</x:v>
      </x:c>
      <x:c r="I361" s="87" t="n">
        <x:v>4</x:v>
      </x:c>
    </x:row>
    <x:row r="362">
      <x:c r="A362" s="85" t="n">
        <x:v>361</x:v>
      </x:c>
      <x:c r="B362" s="86" t="n">
        <x:v>372</x:v>
      </x:c>
      <x:c r="C362" s="95" t="n">
        <x:v>45975</x:v>
      </x:c>
      <x:c r="D362" s="86" t="str">
        <x:v>Dia útil</x:v>
      </x:c>
      <x:c r="E362" s="86" t="n">
        <x:v>6</x:v>
      </x:c>
      <x:c r="F362" s="99" t="n">
        <x:v>0.5</x:v>
      </x:c>
      <x:c r="G362" s="91" t="n">
        <x:v>151.31</x:v>
      </x:c>
      <x:c r="H362" s="86" t="n">
        <x:v>0</x:v>
      </x:c>
      <x:c r="I362" s="87" t="n">
        <x:v>2</x:v>
      </x:c>
    </x:row>
    <x:row r="363">
      <x:c r="A363" s="85" t="n">
        <x:v>362</x:v>
      </x:c>
      <x:c r="B363" s="86" t="n">
        <x:v>147</x:v>
      </x:c>
      <x:c r="C363" s="95" t="n">
        <x:v>45961</x:v>
      </x:c>
      <x:c r="D363" s="86" t="str">
        <x:v>Dia útil</x:v>
      </x:c>
      <x:c r="E363" s="86" t="n">
        <x:v>3</x:v>
      </x:c>
      <x:c r="F363" s="99" t="n">
        <x:v>0.5</x:v>
      </x:c>
      <x:c r="G363" s="91" t="n">
        <x:v>248.44</x:v>
      </x:c>
      <x:c r="H363" s="86" t="n">
        <x:v>1</x:v>
      </x:c>
      <x:c r="I363" s="87" t="n">
        <x:v>7</x:v>
      </x:c>
    </x:row>
    <x:row r="364">
      <x:c r="A364" s="85" t="n">
        <x:v>363</x:v>
      </x:c>
      <x:c r="B364" s="86" t="n">
        <x:v>108</x:v>
      </x:c>
      <x:c r="C364" s="95" t="n">
        <x:v>45601</x:v>
      </x:c>
      <x:c r="D364" s="86" t="str">
        <x:v>Dia útil</x:v>
      </x:c>
      <x:c r="E364" s="86" t="n">
        <x:v>6</x:v>
      </x:c>
      <x:c r="F364" s="99" t="n">
        <x:v>0.5</x:v>
      </x:c>
      <x:c r="G364" s="91" t="n">
        <x:v>106.85</x:v>
      </x:c>
      <x:c r="H364" s="86" t="n">
        <x:v>1</x:v>
      </x:c>
      <x:c r="I364" s="87" t="n">
        <x:v>1</x:v>
      </x:c>
    </x:row>
    <x:row r="365">
      <x:c r="A365" s="85" t="n">
        <x:v>364</x:v>
      </x:c>
      <x:c r="B365" s="86" t="n">
        <x:v>70</x:v>
      </x:c>
      <x:c r="C365" s="95" t="n">
        <x:v>45605</x:v>
      </x:c>
      <x:c r="D365" s="86" t="str">
        <x:v>Sábado</x:v>
      </x:c>
      <x:c r="E365" s="86" t="n">
        <x:v>3</x:v>
      </x:c>
      <x:c r="F365" s="99" t="n">
        <x:v>0.75</x:v>
      </x:c>
      <x:c r="G365" s="91" t="n">
        <x:v>88.74</x:v>
      </x:c>
      <x:c r="H365" s="86" t="n">
        <x:v>1</x:v>
      </x:c>
      <x:c r="I365" s="87" t="n">
        <x:v>3</x:v>
      </x:c>
    </x:row>
    <x:row r="366">
      <x:c r="A366" s="85" t="n">
        <x:v>365</x:v>
      </x:c>
      <x:c r="B366" s="86" t="n">
        <x:v>260</x:v>
      </x:c>
      <x:c r="C366" s="95" t="n">
        <x:v>45900</x:v>
      </x:c>
      <x:c r="D366" s="86" t="str">
        <x:v>Sábado</x:v>
      </x:c>
      <x:c r="E366" s="86" t="n">
        <x:v>4</x:v>
      </x:c>
      <x:c r="F366" s="99" t="n">
        <x:v>0.75</x:v>
      </x:c>
      <x:c r="G366" s="91" t="n">
        <x:v>82.93</x:v>
      </x:c>
      <x:c r="H366" s="86" t="n">
        <x:v>1</x:v>
      </x:c>
      <x:c r="I366" s="87" t="n">
        <x:v>1</x:v>
      </x:c>
    </x:row>
    <x:row r="367">
      <x:c r="A367" s="85" t="n">
        <x:v>366</x:v>
      </x:c>
      <x:c r="B367" s="86" t="n">
        <x:v>15</x:v>
      </x:c>
      <x:c r="C367" s="95" t="n">
        <x:v>45501</x:v>
      </x:c>
      <x:c r="D367" s="86" t="str">
        <x:v>Dia útil</x:v>
      </x:c>
      <x:c r="E367" s="86" t="n">
        <x:v>3</x:v>
      </x:c>
      <x:c r="F367" s="99" t="n">
        <x:v>0.5</x:v>
      </x:c>
      <x:c r="G367" s="91" t="n">
        <x:v>203.59</x:v>
      </x:c>
      <x:c r="H367" s="86" t="n">
        <x:v>1</x:v>
      </x:c>
      <x:c r="I367" s="87" t="n">
        <x:v>2</x:v>
      </x:c>
    </x:row>
    <x:row r="368">
      <x:c r="A368" s="85" t="n">
        <x:v>367</x:v>
      </x:c>
      <x:c r="B368" s="86" t="n">
        <x:v>22</x:v>
      </x:c>
      <x:c r="C368" s="95" t="n">
        <x:v>45909</x:v>
      </x:c>
      <x:c r="D368" s="86" t="str">
        <x:v>Domingo/Feriado</x:v>
      </x:c>
      <x:c r="E368" s="86" t="n">
        <x:v>6</x:v>
      </x:c>
      <x:c r="F368" s="99" t="n">
        <x:v>1</x:v>
      </x:c>
      <x:c r="G368" s="91" t="n">
        <x:v>496.28</x:v>
      </x:c>
      <x:c r="H368" s="86" t="n">
        <x:v>1</x:v>
      </x:c>
      <x:c r="I368" s="87" t="n">
        <x:v>9</x:v>
      </x:c>
    </x:row>
    <x:row r="369">
      <x:c r="A369" s="85" t="n">
        <x:v>368</x:v>
      </x:c>
      <x:c r="B369" s="86" t="n">
        <x:v>94</x:v>
      </x:c>
      <x:c r="C369" s="95" t="n">
        <x:v>45682</x:v>
      </x:c>
      <x:c r="D369" s="86" t="str">
        <x:v>Dia útil</x:v>
      </x:c>
      <x:c r="E369" s="86" t="n">
        <x:v>2</x:v>
      </x:c>
      <x:c r="F369" s="99" t="n">
        <x:v>0.5</x:v>
      </x:c>
      <x:c r="G369" s="91" t="n">
        <x:v>208.56</x:v>
      </x:c>
      <x:c r="H369" s="86" t="n">
        <x:v>1</x:v>
      </x:c>
      <x:c r="I369" s="87" t="n">
        <x:v>5</x:v>
      </x:c>
    </x:row>
    <x:row r="370">
      <x:c r="A370" s="85" t="n">
        <x:v>369</x:v>
      </x:c>
      <x:c r="B370" s="86" t="n">
        <x:v>176</x:v>
      </x:c>
      <x:c r="C370" s="95" t="n">
        <x:v>45922</x:v>
      </x:c>
      <x:c r="D370" s="86" t="str">
        <x:v>Dia útil</x:v>
      </x:c>
      <x:c r="E370" s="86" t="n">
        <x:v>6</x:v>
      </x:c>
      <x:c r="F370" s="99" t="n">
        <x:v>0.5</x:v>
      </x:c>
      <x:c r="G370" s="91" t="n">
        <x:v>284.81</x:v>
      </x:c>
      <x:c r="H370" s="86" t="n">
        <x:v>0</x:v>
      </x:c>
      <x:c r="I370" s="87" t="n">
        <x:v>10</x:v>
      </x:c>
    </x:row>
    <x:row r="371">
      <x:c r="A371" s="85" t="n">
        <x:v>370</x:v>
      </x:c>
      <x:c r="B371" s="86" t="n">
        <x:v>347</x:v>
      </x:c>
      <x:c r="C371" s="95" t="n">
        <x:v>45981</x:v>
      </x:c>
      <x:c r="D371" s="86" t="str">
        <x:v>Sábado</x:v>
      </x:c>
      <x:c r="E371" s="86" t="n">
        <x:v>1</x:v>
      </x:c>
      <x:c r="F371" s="99" t="n">
        <x:v>0.75</x:v>
      </x:c>
      <x:c r="G371" s="91" t="n">
        <x:v>36.72</x:v>
      </x:c>
      <x:c r="H371" s="86" t="n">
        <x:v>1</x:v>
      </x:c>
      <x:c r="I371" s="87" t="n">
        <x:v>7</x:v>
      </x:c>
    </x:row>
    <x:row r="372">
      <x:c r="A372" s="85" t="n">
        <x:v>371</x:v>
      </x:c>
      <x:c r="B372" s="86" t="n">
        <x:v>324</x:v>
      </x:c>
      <x:c r="C372" s="95" t="n">
        <x:v>45956</x:v>
      </x:c>
      <x:c r="D372" s="86" t="str">
        <x:v>Dia útil</x:v>
      </x:c>
      <x:c r="E372" s="86" t="n">
        <x:v>2</x:v>
      </x:c>
      <x:c r="F372" s="99" t="n">
        <x:v>0.5</x:v>
      </x:c>
      <x:c r="G372" s="91" t="n">
        <x:v>64.47</x:v>
      </x:c>
      <x:c r="H372" s="86" t="n">
        <x:v>1</x:v>
      </x:c>
      <x:c r="I372" s="87" t="n">
        <x:v>7</x:v>
      </x:c>
    </x:row>
    <x:row r="373">
      <x:c r="A373" s="85" t="n">
        <x:v>372</x:v>
      </x:c>
      <x:c r="B373" s="86" t="n">
        <x:v>390</x:v>
      </x:c>
      <x:c r="C373" s="95" t="n">
        <x:v>45916</x:v>
      </x:c>
      <x:c r="D373" s="86" t="str">
        <x:v>Sábado</x:v>
      </x:c>
      <x:c r="E373" s="86" t="n">
        <x:v>1</x:v>
      </x:c>
      <x:c r="F373" s="99" t="n">
        <x:v>0.75</x:v>
      </x:c>
      <x:c r="G373" s="91" t="n">
        <x:v>55.52</x:v>
      </x:c>
      <x:c r="H373" s="86" t="n">
        <x:v>1</x:v>
      </x:c>
      <x:c r="I373" s="87" t="n">
        <x:v>5</x:v>
      </x:c>
    </x:row>
    <x:row r="374">
      <x:c r="A374" s="85" t="n">
        <x:v>373</x:v>
      </x:c>
      <x:c r="B374" s="86" t="n">
        <x:v>283</x:v>
      </x:c>
      <x:c r="C374" s="95" t="n">
        <x:v>45898</x:v>
      </x:c>
      <x:c r="D374" s="86" t="str">
        <x:v>Dia útil</x:v>
      </x:c>
      <x:c r="E374" s="86" t="n">
        <x:v>6</x:v>
      </x:c>
      <x:c r="F374" s="99" t="n">
        <x:v>0.5</x:v>
      </x:c>
      <x:c r="G374" s="91" t="n">
        <x:v>137.9</x:v>
      </x:c>
      <x:c r="H374" s="86" t="n">
        <x:v>0</x:v>
      </x:c>
      <x:c r="I374" s="87" t="n">
        <x:v>1</x:v>
      </x:c>
    </x:row>
    <x:row r="375">
      <x:c r="A375" s="85" t="n">
        <x:v>374</x:v>
      </x:c>
      <x:c r="B375" s="86" t="n">
        <x:v>37</x:v>
      </x:c>
      <x:c r="C375" s="95" t="n">
        <x:v>45744</x:v>
      </x:c>
      <x:c r="D375" s="86" t="str">
        <x:v>Dia útil</x:v>
      </x:c>
      <x:c r="E375" s="86" t="n">
        <x:v>8</x:v>
      </x:c>
      <x:c r="F375" s="99" t="n">
        <x:v>0.5</x:v>
      </x:c>
      <x:c r="G375" s="91" t="n">
        <x:v>174.5</x:v>
      </x:c>
      <x:c r="H375" s="86" t="n">
        <x:v>1</x:v>
      </x:c>
      <x:c r="I375" s="87" t="n">
        <x:v>3</x:v>
      </x:c>
    </x:row>
    <x:row r="376">
      <x:c r="A376" s="85" t="n">
        <x:v>375</x:v>
      </x:c>
      <x:c r="B376" s="86" t="n">
        <x:v>297</x:v>
      </x:c>
      <x:c r="C376" s="95" t="n">
        <x:v>45989</x:v>
      </x:c>
      <x:c r="D376" s="86" t="str">
        <x:v>Dia útil</x:v>
      </x:c>
      <x:c r="E376" s="86" t="n">
        <x:v>3</x:v>
      </x:c>
      <x:c r="F376" s="99" t="n">
        <x:v>0.5</x:v>
      </x:c>
      <x:c r="G376" s="91" t="n">
        <x:v>85.32</x:v>
      </x:c>
      <x:c r="H376" s="86" t="n">
        <x:v>1</x:v>
      </x:c>
      <x:c r="I376" s="87" t="n">
        <x:v>3</x:v>
      </x:c>
    </x:row>
    <x:row r="377">
      <x:c r="A377" s="85" t="n">
        <x:v>376</x:v>
      </x:c>
      <x:c r="B377" s="86" t="n">
        <x:v>38</x:v>
      </x:c>
      <x:c r="C377" s="95" t="n">
        <x:v>45557</x:v>
      </x:c>
      <x:c r="D377" s="86" t="str">
        <x:v>Dia útil</x:v>
      </x:c>
      <x:c r="E377" s="86" t="n">
        <x:v>8</x:v>
      </x:c>
      <x:c r="F377" s="99" t="n">
        <x:v>0.5</x:v>
      </x:c>
      <x:c r="G377" s="91" t="n">
        <x:v>888.02</x:v>
      </x:c>
      <x:c r="H377" s="86" t="n">
        <x:v>1</x:v>
      </x:c>
      <x:c r="I377" s="87" t="n">
        <x:v>5</x:v>
      </x:c>
    </x:row>
    <x:row r="378">
      <x:c r="A378" s="85" t="n">
        <x:v>377</x:v>
      </x:c>
      <x:c r="B378" s="86" t="n">
        <x:v>219</x:v>
      </x:c>
      <x:c r="C378" s="95" t="n">
        <x:v>45955</x:v>
      </x:c>
      <x:c r="D378" s="86" t="str">
        <x:v>Dia útil</x:v>
      </x:c>
      <x:c r="E378" s="86" t="n">
        <x:v>1</x:v>
      </x:c>
      <x:c r="F378" s="99" t="n">
        <x:v>0.5</x:v>
      </x:c>
      <x:c r="G378" s="91" t="n">
        <x:v>64.33</x:v>
      </x:c>
      <x:c r="H378" s="86" t="n">
        <x:v>1</x:v>
      </x:c>
      <x:c r="I378" s="87" t="n">
        <x:v>5</x:v>
      </x:c>
    </x:row>
    <x:row r="379">
      <x:c r="A379" s="85" t="n">
        <x:v>378</x:v>
      </x:c>
      <x:c r="B379" s="86" t="n">
        <x:v>185</x:v>
      </x:c>
      <x:c r="C379" s="95" t="n">
        <x:v>45913</x:v>
      </x:c>
      <x:c r="D379" s="86" t="str">
        <x:v>Dia útil</x:v>
      </x:c>
      <x:c r="E379" s="86" t="n">
        <x:v>1</x:v>
      </x:c>
      <x:c r="F379" s="99" t="n">
        <x:v>0.5</x:v>
      </x:c>
      <x:c r="G379" s="91" t="n">
        <x:v>54.66</x:v>
      </x:c>
      <x:c r="H379" s="86" t="n">
        <x:v>1</x:v>
      </x:c>
      <x:c r="I379" s="87" t="n">
        <x:v>1</x:v>
      </x:c>
    </x:row>
    <x:row r="380">
      <x:c r="A380" s="85" t="n">
        <x:v>379</x:v>
      </x:c>
      <x:c r="B380" s="86" t="n">
        <x:v>91</x:v>
      </x:c>
      <x:c r="C380" s="95" t="n">
        <x:v>45891</x:v>
      </x:c>
      <x:c r="D380" s="86" t="str">
        <x:v>Sábado</x:v>
      </x:c>
      <x:c r="E380" s="86" t="n">
        <x:v>8</x:v>
      </x:c>
      <x:c r="F380" s="99" t="n">
        <x:v>0.75</x:v>
      </x:c>
      <x:c r="G380" s="91" t="n">
        <x:v>501.2</x:v>
      </x:c>
      <x:c r="H380" s="86" t="n">
        <x:v>1</x:v>
      </x:c>
      <x:c r="I380" s="87" t="n">
        <x:v>1</x:v>
      </x:c>
    </x:row>
    <x:row r="381">
      <x:c r="A381" s="85" t="n">
        <x:v>380</x:v>
      </x:c>
      <x:c r="B381" s="86" t="n">
        <x:v>397</x:v>
      </x:c>
      <x:c r="C381" s="95" t="n">
        <x:v>45374</x:v>
      </x:c>
      <x:c r="D381" s="86" t="str">
        <x:v>Sábado</x:v>
      </x:c>
      <x:c r="E381" s="86" t="n">
        <x:v>4</x:v>
      </x:c>
      <x:c r="F381" s="99" t="n">
        <x:v>0.75</x:v>
      </x:c>
      <x:c r="G381" s="91" t="n">
        <x:v>232.2</x:v>
      </x:c>
      <x:c r="H381" s="86" t="n">
        <x:v>1</x:v>
      </x:c>
      <x:c r="I381" s="87" t="n">
        <x:v>6</x:v>
      </x:c>
    </x:row>
    <x:row r="382">
      <x:c r="A382" s="85" t="n">
        <x:v>381</x:v>
      </x:c>
      <x:c r="B382" s="86" t="n">
        <x:v>144</x:v>
      </x:c>
      <x:c r="C382" s="95" t="n">
        <x:v>45945</x:v>
      </x:c>
      <x:c r="D382" s="86" t="str">
        <x:v>Dia útil</x:v>
      </x:c>
      <x:c r="E382" s="86" t="n">
        <x:v>4</x:v>
      </x:c>
      <x:c r="F382" s="99" t="n">
        <x:v>0.5</x:v>
      </x:c>
      <x:c r="G382" s="91" t="n">
        <x:v>167.31</x:v>
      </x:c>
      <x:c r="H382" s="86" t="n">
        <x:v>1</x:v>
      </x:c>
      <x:c r="I382" s="87" t="n">
        <x:v>4</x:v>
      </x:c>
    </x:row>
    <x:row r="383">
      <x:c r="A383" s="85" t="n">
        <x:v>382</x:v>
      </x:c>
      <x:c r="B383" s="86" t="n">
        <x:v>401</x:v>
      </x:c>
      <x:c r="C383" s="95" t="n">
        <x:v>45890</x:v>
      </x:c>
      <x:c r="D383" s="86" t="str">
        <x:v>Dia útil</x:v>
      </x:c>
      <x:c r="E383" s="86" t="n">
        <x:v>8</x:v>
      </x:c>
      <x:c r="F383" s="99" t="n">
        <x:v>0.5</x:v>
      </x:c>
      <x:c r="G383" s="91" t="n">
        <x:v>408.42</x:v>
      </x:c>
      <x:c r="H383" s="86" t="n">
        <x:v>1</x:v>
      </x:c>
      <x:c r="I383" s="87" t="n">
        <x:v>1</x:v>
      </x:c>
    </x:row>
    <x:row r="384">
      <x:c r="A384" s="85" t="n">
        <x:v>383</x:v>
      </x:c>
      <x:c r="B384" s="86" t="n">
        <x:v>346</x:v>
      </x:c>
      <x:c r="C384" s="95" t="n">
        <x:v>45642</x:v>
      </x:c>
      <x:c r="D384" s="86" t="str">
        <x:v>Dia útil</x:v>
      </x:c>
      <x:c r="E384" s="86" t="n">
        <x:v>2</x:v>
      </x:c>
      <x:c r="F384" s="99" t="n">
        <x:v>0.5</x:v>
      </x:c>
      <x:c r="G384" s="91" t="n">
        <x:v>87.41</x:v>
      </x:c>
      <x:c r="H384" s="86" t="n">
        <x:v>1</x:v>
      </x:c>
      <x:c r="I384" s="87" t="n">
        <x:v>9</x:v>
      </x:c>
    </x:row>
    <x:row r="385">
      <x:c r="A385" s="85" t="n">
        <x:v>384</x:v>
      </x:c>
      <x:c r="B385" s="86" t="n">
        <x:v>279</x:v>
      </x:c>
      <x:c r="C385" s="95" t="n">
        <x:v>45679</x:v>
      </x:c>
      <x:c r="D385" s="86" t="str">
        <x:v>Dia útil</x:v>
      </x:c>
      <x:c r="E385" s="86" t="n">
        <x:v>1</x:v>
      </x:c>
      <x:c r="F385" s="99" t="n">
        <x:v>0.5</x:v>
      </x:c>
      <x:c r="G385" s="91" t="n">
        <x:v>56.35</x:v>
      </x:c>
      <x:c r="H385" s="86" t="n">
        <x:v>1</x:v>
      </x:c>
      <x:c r="I385" s="87" t="n">
        <x:v>6</x:v>
      </x:c>
    </x:row>
    <x:row r="386">
      <x:c r="A386" s="85" t="n">
        <x:v>385</x:v>
      </x:c>
      <x:c r="B386" s="86" t="n">
        <x:v>171</x:v>
      </x:c>
      <x:c r="C386" s="95" t="n">
        <x:v>45657</x:v>
      </x:c>
      <x:c r="D386" s="86" t="str">
        <x:v>Dia útil</x:v>
      </x:c>
      <x:c r="E386" s="86" t="n">
        <x:v>3</x:v>
      </x:c>
      <x:c r="F386" s="99" t="n">
        <x:v>0.5</x:v>
      </x:c>
      <x:c r="G386" s="91" t="n">
        <x:v>139.04</x:v>
      </x:c>
      <x:c r="H386" s="86" t="n">
        <x:v>1</x:v>
      </x:c>
      <x:c r="I386" s="87" t="n">
        <x:v>10</x:v>
      </x:c>
    </x:row>
    <x:row r="387">
      <x:c r="A387" s="85" t="n">
        <x:v>386</x:v>
      </x:c>
      <x:c r="B387" s="86" t="n">
        <x:v>308</x:v>
      </x:c>
      <x:c r="C387" s="95" t="n">
        <x:v>45933</x:v>
      </x:c>
      <x:c r="D387" s="86" t="str">
        <x:v>Dia útil</x:v>
      </x:c>
      <x:c r="E387" s="86" t="n">
        <x:v>8</x:v>
      </x:c>
      <x:c r="F387" s="99" t="n">
        <x:v>0.5</x:v>
      </x:c>
      <x:c r="G387" s="91" t="n">
        <x:v>166.05</x:v>
      </x:c>
      <x:c r="H387" s="86" t="n">
        <x:v>1</x:v>
      </x:c>
      <x:c r="I387" s="87" t="n">
        <x:v>3</x:v>
      </x:c>
    </x:row>
    <x:row r="388">
      <x:c r="A388" s="85" t="n">
        <x:v>387</x:v>
      </x:c>
      <x:c r="B388" s="86" t="n">
        <x:v>299</x:v>
      </x:c>
      <x:c r="C388" s="95" t="n">
        <x:v>45700</x:v>
      </x:c>
      <x:c r="D388" s="86" t="str">
        <x:v>Domingo/Feriado</x:v>
      </x:c>
      <x:c r="E388" s="86" t="n">
        <x:v>1</x:v>
      </x:c>
      <x:c r="F388" s="99" t="n">
        <x:v>1</x:v>
      </x:c>
      <x:c r="G388" s="91" t="n">
        <x:v>25.8</x:v>
      </x:c>
      <x:c r="H388" s="86" t="n">
        <x:v>1</x:v>
      </x:c>
      <x:c r="I388" s="87" t="n">
        <x:v>1</x:v>
      </x:c>
    </x:row>
    <x:row r="389">
      <x:c r="A389" s="85" t="n">
        <x:v>388</x:v>
      </x:c>
      <x:c r="B389" s="86" t="n">
        <x:v>361</x:v>
      </x:c>
      <x:c r="C389" s="95" t="n">
        <x:v>45902</x:v>
      </x:c>
      <x:c r="D389" s="86" t="str">
        <x:v>Domingo/Feriado</x:v>
      </x:c>
      <x:c r="E389" s="86" t="n">
        <x:v>1</x:v>
      </x:c>
      <x:c r="F389" s="99" t="n">
        <x:v>1</x:v>
      </x:c>
      <x:c r="G389" s="91" t="n">
        <x:v>50.43</x:v>
      </x:c>
      <x:c r="H389" s="86" t="n">
        <x:v>1</x:v>
      </x:c>
      <x:c r="I389" s="87" t="n">
        <x:v>8</x:v>
      </x:c>
    </x:row>
    <x:row r="390">
      <x:c r="A390" s="85" t="n">
        <x:v>389</x:v>
      </x:c>
      <x:c r="B390" s="86" t="n">
        <x:v>370</x:v>
      </x:c>
      <x:c r="C390" s="95" t="n">
        <x:v>45964</x:v>
      </x:c>
      <x:c r="D390" s="86" t="str">
        <x:v>Dia útil</x:v>
      </x:c>
      <x:c r="E390" s="86" t="n">
        <x:v>4</x:v>
      </x:c>
      <x:c r="F390" s="99" t="n">
        <x:v>0.5</x:v>
      </x:c>
      <x:c r="G390" s="91" t="n">
        <x:v>168.95</x:v>
      </x:c>
      <x:c r="H390" s="86" t="n">
        <x:v>1</x:v>
      </x:c>
      <x:c r="I390" s="87" t="n">
        <x:v>4</x:v>
      </x:c>
    </x:row>
    <x:row r="391">
      <x:c r="A391" s="85" t="n">
        <x:v>390</x:v>
      </x:c>
      <x:c r="B391" s="86" t="n">
        <x:v>209</x:v>
      </x:c>
      <x:c r="C391" s="95" t="n">
        <x:v>45787</x:v>
      </x:c>
      <x:c r="D391" s="86" t="str">
        <x:v>Dia útil</x:v>
      </x:c>
      <x:c r="E391" s="86" t="n">
        <x:v>2</x:v>
      </x:c>
      <x:c r="F391" s="99" t="n">
        <x:v>0.5</x:v>
      </x:c>
      <x:c r="G391" s="91" t="n">
        <x:v>95.31</x:v>
      </x:c>
      <x:c r="H391" s="86" t="n">
        <x:v>1</x:v>
      </x:c>
      <x:c r="I391" s="87" t="n">
        <x:v>7</x:v>
      </x:c>
    </x:row>
    <x:row r="392">
      <x:c r="A392" s="85" t="n">
        <x:v>391</x:v>
      </x:c>
      <x:c r="B392" s="86" t="n">
        <x:v>384</x:v>
      </x:c>
      <x:c r="C392" s="95" t="n">
        <x:v>45796</x:v>
      </x:c>
      <x:c r="D392" s="86" t="str">
        <x:v>Dia útil</x:v>
      </x:c>
      <x:c r="E392" s="86" t="n">
        <x:v>8</x:v>
      </x:c>
      <x:c r="F392" s="99" t="n">
        <x:v>0.5</x:v>
      </x:c>
      <x:c r="G392" s="91" t="n">
        <x:v>486.22</x:v>
      </x:c>
      <x:c r="H392" s="86" t="n">
        <x:v>1</x:v>
      </x:c>
      <x:c r="I392" s="87" t="n">
        <x:v>5</x:v>
      </x:c>
    </x:row>
    <x:row r="393">
      <x:c r="A393" s="85" t="n">
        <x:v>392</x:v>
      </x:c>
      <x:c r="B393" s="86" t="n">
        <x:v>71</x:v>
      </x:c>
      <x:c r="C393" s="95" t="n">
        <x:v>45983</x:v>
      </x:c>
      <x:c r="D393" s="86" t="str">
        <x:v>Sábado</x:v>
      </x:c>
      <x:c r="E393" s="86" t="n">
        <x:v>6</x:v>
      </x:c>
      <x:c r="F393" s="99" t="n">
        <x:v>0.75</x:v>
      </x:c>
      <x:c r="G393" s="91" t="n">
        <x:v>339.81</x:v>
      </x:c>
      <x:c r="H393" s="86" t="n">
        <x:v>1</x:v>
      </x:c>
      <x:c r="I393" s="87" t="n">
        <x:v>8</x:v>
      </x:c>
    </x:row>
    <x:row r="394">
      <x:c r="A394" s="85" t="n">
        <x:v>393</x:v>
      </x:c>
      <x:c r="B394" s="86" t="n">
        <x:v>333</x:v>
      </x:c>
      <x:c r="C394" s="95" t="n">
        <x:v>45381</x:v>
      </x:c>
      <x:c r="D394" s="86" t="str">
        <x:v>Sábado</x:v>
      </x:c>
      <x:c r="E394" s="86" t="n">
        <x:v>4</x:v>
      </x:c>
      <x:c r="F394" s="99" t="n">
        <x:v>0.75</x:v>
      </x:c>
      <x:c r="G394" s="91" t="n">
        <x:v>267.29</x:v>
      </x:c>
      <x:c r="H394" s="86" t="n">
        <x:v>1</x:v>
      </x:c>
      <x:c r="I394" s="87" t="n">
        <x:v>6</x:v>
      </x:c>
    </x:row>
    <x:row r="395">
      <x:c r="A395" s="85" t="n">
        <x:v>394</x:v>
      </x:c>
      <x:c r="B395" s="86" t="n">
        <x:v>374</x:v>
      </x:c>
      <x:c r="C395" s="95" t="n">
        <x:v>45411</x:v>
      </x:c>
      <x:c r="D395" s="86" t="str">
        <x:v>Dia útil</x:v>
      </x:c>
      <x:c r="E395" s="86" t="n">
        <x:v>4</x:v>
      </x:c>
      <x:c r="F395" s="99" t="n">
        <x:v>0.5</x:v>
      </x:c>
      <x:c r="G395" s="91" t="n">
        <x:v>70.58</x:v>
      </x:c>
      <x:c r="H395" s="86" t="n">
        <x:v>1</x:v>
      </x:c>
      <x:c r="I395" s="87" t="n">
        <x:v>1</x:v>
      </x:c>
    </x:row>
    <x:row r="396">
      <x:c r="A396" s="85" t="n">
        <x:v>395</x:v>
      </x:c>
      <x:c r="B396" s="86" t="n">
        <x:v>283</x:v>
      </x:c>
      <x:c r="C396" s="95" t="n">
        <x:v>45862</x:v>
      </x:c>
      <x:c r="D396" s="86" t="str">
        <x:v>Domingo/Feriado</x:v>
      </x:c>
      <x:c r="E396" s="86" t="n">
        <x:v>4</x:v>
      </x:c>
      <x:c r="F396" s="99" t="n">
        <x:v>1</x:v>
      </x:c>
      <x:c r="G396" s="91" t="n">
        <x:v>122.58</x:v>
      </x:c>
      <x:c r="H396" s="86" t="n">
        <x:v>1</x:v>
      </x:c>
      <x:c r="I396" s="87" t="n">
        <x:v>1</x:v>
      </x:c>
    </x:row>
    <x:row r="397">
      <x:c r="A397" s="85" t="n">
        <x:v>396</x:v>
      </x:c>
      <x:c r="B397" s="86" t="n">
        <x:v>93</x:v>
      </x:c>
      <x:c r="C397" s="95" t="n">
        <x:v>45367</x:v>
      </x:c>
      <x:c r="D397" s="86" t="str">
        <x:v>Dia útil</x:v>
      </x:c>
      <x:c r="E397" s="86" t="n">
        <x:v>8</x:v>
      </x:c>
      <x:c r="F397" s="99" t="n">
        <x:v>0.5</x:v>
      </x:c>
      <x:c r="G397" s="91" t="n">
        <x:v>278.1</x:v>
      </x:c>
      <x:c r="H397" s="86" t="n">
        <x:v>1</x:v>
      </x:c>
      <x:c r="I397" s="87" t="n">
        <x:v>8</x:v>
      </x:c>
    </x:row>
    <x:row r="398">
      <x:c r="A398" s="85" t="n">
        <x:v>397</x:v>
      </x:c>
      <x:c r="B398" s="86" t="n">
        <x:v>134</x:v>
      </x:c>
      <x:c r="C398" s="95" t="n">
        <x:v>45857</x:v>
      </x:c>
      <x:c r="D398" s="86" t="str">
        <x:v>Dia útil</x:v>
      </x:c>
      <x:c r="E398" s="86" t="n">
        <x:v>8</x:v>
      </x:c>
      <x:c r="F398" s="99" t="n">
        <x:v>0.5</x:v>
      </x:c>
      <x:c r="G398" s="91" t="n">
        <x:v>420.79</x:v>
      </x:c>
      <x:c r="H398" s="86" t="n">
        <x:v>1</x:v>
      </x:c>
      <x:c r="I398" s="87" t="n">
        <x:v>5</x:v>
      </x:c>
    </x:row>
    <x:row r="399">
      <x:c r="A399" s="85" t="n">
        <x:v>398</x:v>
      </x:c>
      <x:c r="B399" s="86" t="n">
        <x:v>43</x:v>
      </x:c>
      <x:c r="C399" s="95" t="n">
        <x:v>45924</x:v>
      </x:c>
      <x:c r="D399" s="86" t="str">
        <x:v>Dia útil</x:v>
      </x:c>
      <x:c r="E399" s="86" t="n">
        <x:v>8</x:v>
      </x:c>
      <x:c r="F399" s="99" t="n">
        <x:v>0.5</x:v>
      </x:c>
      <x:c r="G399" s="91" t="n">
        <x:v>251.66</x:v>
      </x:c>
      <x:c r="H399" s="86" t="n">
        <x:v>1</x:v>
      </x:c>
      <x:c r="I399" s="87" t="n">
        <x:v>2</x:v>
      </x:c>
    </x:row>
    <x:row r="400">
      <x:c r="A400" s="85" t="n">
        <x:v>399</x:v>
      </x:c>
      <x:c r="B400" s="86" t="n">
        <x:v>129</x:v>
      </x:c>
      <x:c r="C400" s="95" t="n">
        <x:v>45966</x:v>
      </x:c>
      <x:c r="D400" s="86" t="str">
        <x:v>Dia útil</x:v>
      </x:c>
      <x:c r="E400" s="86" t="n">
        <x:v>4</x:v>
      </x:c>
      <x:c r="F400" s="99" t="n">
        <x:v>0.5</x:v>
      </x:c>
      <x:c r="G400" s="91" t="n">
        <x:v>94.54</x:v>
      </x:c>
      <x:c r="H400" s="86" t="n">
        <x:v>1</x:v>
      </x:c>
      <x:c r="I400" s="87" t="n">
        <x:v>1</x:v>
      </x:c>
    </x:row>
    <x:row r="401">
      <x:c r="A401" s="85" t="n">
        <x:v>400</x:v>
      </x:c>
      <x:c r="B401" s="86" t="n">
        <x:v>360</x:v>
      </x:c>
      <x:c r="C401" s="95" t="n">
        <x:v>45459</x:v>
      </x:c>
      <x:c r="D401" s="86" t="str">
        <x:v>Sábado</x:v>
      </x:c>
      <x:c r="E401" s="86" t="n">
        <x:v>8</x:v>
      </x:c>
      <x:c r="F401" s="99" t="n">
        <x:v>0.75</x:v>
      </x:c>
      <x:c r="G401" s="91" t="n">
        <x:v>286.19</x:v>
      </x:c>
      <x:c r="H401" s="86" t="n">
        <x:v>1</x:v>
      </x:c>
      <x:c r="I401" s="87" t="n">
        <x:v>2</x:v>
      </x:c>
    </x:row>
    <x:row r="402">
      <x:c r="A402" s="85" t="n">
        <x:v>401</x:v>
      </x:c>
      <x:c r="B402" s="86" t="n">
        <x:v>102</x:v>
      </x:c>
      <x:c r="C402" s="95" t="n">
        <x:v>45447</x:v>
      </x:c>
      <x:c r="D402" s="86" t="str">
        <x:v>Dia útil</x:v>
      </x:c>
      <x:c r="E402" s="86" t="n">
        <x:v>1</x:v>
      </x:c>
      <x:c r="F402" s="99" t="n">
        <x:v>0.5</x:v>
      </x:c>
      <x:c r="G402" s="91" t="n">
        <x:v>43.7</x:v>
      </x:c>
      <x:c r="H402" s="86" t="n">
        <x:v>1</x:v>
      </x:c>
      <x:c r="I402" s="87" t="n">
        <x:v>4</x:v>
      </x:c>
    </x:row>
    <x:row r="403">
      <x:c r="A403" s="85" t="n">
        <x:v>402</x:v>
      </x:c>
      <x:c r="B403" s="86" t="n">
        <x:v>112</x:v>
      </x:c>
      <x:c r="C403" s="95" t="n">
        <x:v>45793</x:v>
      </x:c>
      <x:c r="D403" s="86" t="str">
        <x:v>Domingo/Feriado</x:v>
      </x:c>
      <x:c r="E403" s="86" t="n">
        <x:v>2</x:v>
      </x:c>
      <x:c r="F403" s="99" t="n">
        <x:v>1</x:v>
      </x:c>
      <x:c r="G403" s="91" t="n">
        <x:v>82.59</x:v>
      </x:c>
      <x:c r="H403" s="86" t="n">
        <x:v>1</x:v>
      </x:c>
      <x:c r="I403" s="87" t="n">
        <x:v>2</x:v>
      </x:c>
    </x:row>
    <x:row r="404">
      <x:c r="A404" s="85" t="n">
        <x:v>403</x:v>
      </x:c>
      <x:c r="B404" s="86" t="n">
        <x:v>179</x:v>
      </x:c>
      <x:c r="C404" s="95" t="n">
        <x:v>45982</x:v>
      </x:c>
      <x:c r="D404" s="86" t="str">
        <x:v>Dia útil</x:v>
      </x:c>
      <x:c r="E404" s="86" t="n">
        <x:v>6</x:v>
      </x:c>
      <x:c r="F404" s="99" t="n">
        <x:v>0.5</x:v>
      </x:c>
      <x:c r="G404" s="91" t="n">
        <x:v>296.67</x:v>
      </x:c>
      <x:c r="H404" s="86" t="n">
        <x:v>1</x:v>
      </x:c>
      <x:c r="I404" s="87" t="n">
        <x:v>8</x:v>
      </x:c>
    </x:row>
    <x:row r="405">
      <x:c r="A405" s="85" t="n">
        <x:v>404</x:v>
      </x:c>
      <x:c r="B405" s="86" t="n">
        <x:v>185</x:v>
      </x:c>
      <x:c r="C405" s="95" t="n">
        <x:v>45999</x:v>
      </x:c>
      <x:c r="D405" s="86" t="str">
        <x:v>Dia útil</x:v>
      </x:c>
      <x:c r="E405" s="86" t="n">
        <x:v>4</x:v>
      </x:c>
      <x:c r="F405" s="99" t="n">
        <x:v>0.5</x:v>
      </x:c>
      <x:c r="G405" s="91" t="n">
        <x:v>218.63</x:v>
      </x:c>
      <x:c r="H405" s="86" t="n">
        <x:v>1</x:v>
      </x:c>
      <x:c r="I405" s="87" t="n">
        <x:v>1</x:v>
      </x:c>
    </x:row>
    <x:row r="406">
      <x:c r="A406" s="85" t="n">
        <x:v>405</x:v>
      </x:c>
      <x:c r="B406" s="86" t="n">
        <x:v>375</x:v>
      </x:c>
      <x:c r="C406" s="95" t="n">
        <x:v>45980</x:v>
      </x:c>
      <x:c r="D406" s="86" t="str">
        <x:v>Sábado</x:v>
      </x:c>
      <x:c r="E406" s="86" t="n">
        <x:v>4</x:v>
      </x:c>
      <x:c r="F406" s="99" t="n">
        <x:v>0.75</x:v>
      </x:c>
      <x:c r="G406" s="91" t="n">
        <x:v>73.33</x:v>
      </x:c>
      <x:c r="H406" s="86" t="n">
        <x:v>1</x:v>
      </x:c>
      <x:c r="I406" s="87" t="n">
        <x:v>1</x:v>
      </x:c>
    </x:row>
    <x:row r="407">
      <x:c r="A407" s="85" t="n">
        <x:v>406</x:v>
      </x:c>
      <x:c r="B407" s="86" t="n">
        <x:v>122</x:v>
      </x:c>
      <x:c r="C407" s="95" t="n">
        <x:v>45923</x:v>
      </x:c>
      <x:c r="D407" s="86" t="str">
        <x:v>Dia útil</x:v>
      </x:c>
      <x:c r="E407" s="86" t="n">
        <x:v>2</x:v>
      </x:c>
      <x:c r="F407" s="99" t="n">
        <x:v>0.5</x:v>
      </x:c>
      <x:c r="G407" s="91" t="n">
        <x:v>30.95</x:v>
      </x:c>
      <x:c r="H407" s="86" t="n">
        <x:v>1</x:v>
      </x:c>
      <x:c r="I407" s="87" t="n">
        <x:v>1</x:v>
      </x:c>
    </x:row>
    <x:row r="408">
      <x:c r="A408" s="85" t="n">
        <x:v>407</x:v>
      </x:c>
      <x:c r="B408" s="86" t="n">
        <x:v>266</x:v>
      </x:c>
      <x:c r="C408" s="95" t="n">
        <x:v>45994</x:v>
      </x:c>
      <x:c r="D408" s="86" t="str">
        <x:v>Sábado</x:v>
      </x:c>
      <x:c r="E408" s="86" t="n">
        <x:v>2</x:v>
      </x:c>
      <x:c r="F408" s="99" t="n">
        <x:v>0.75</x:v>
      </x:c>
      <x:c r="G408" s="91" t="n">
        <x:v>44.08</x:v>
      </x:c>
      <x:c r="H408" s="86" t="n">
        <x:v>1</x:v>
      </x:c>
      <x:c r="I408" s="87" t="n">
        <x:v>1</x:v>
      </x:c>
    </x:row>
    <x:row r="409">
      <x:c r="A409" s="85" t="n">
        <x:v>408</x:v>
      </x:c>
      <x:c r="B409" s="86" t="n">
        <x:v>250</x:v>
      </x:c>
      <x:c r="C409" s="95" t="n">
        <x:v>45861</x:v>
      </x:c>
      <x:c r="D409" s="86" t="str">
        <x:v>Dia útil</x:v>
      </x:c>
      <x:c r="E409" s="86" t="n">
        <x:v>2</x:v>
      </x:c>
      <x:c r="F409" s="99" t="n">
        <x:v>0.5</x:v>
      </x:c>
      <x:c r="G409" s="91" t="n">
        <x:v>67.6</x:v>
      </x:c>
      <x:c r="H409" s="86" t="n">
        <x:v>1</x:v>
      </x:c>
      <x:c r="I409" s="87" t="n">
        <x:v>10</x:v>
      </x:c>
    </x:row>
    <x:row r="410">
      <x:c r="A410" s="85" t="n">
        <x:v>409</x:v>
      </x:c>
      <x:c r="B410" s="86" t="n">
        <x:v>164</x:v>
      </x:c>
      <x:c r="C410" s="95" t="n">
        <x:v>45978</x:v>
      </x:c>
      <x:c r="D410" s="86" t="str">
        <x:v>Dia útil</x:v>
      </x:c>
      <x:c r="E410" s="86" t="n">
        <x:v>3</x:v>
      </x:c>
      <x:c r="F410" s="99" t="n">
        <x:v>0.5</x:v>
      </x:c>
      <x:c r="G410" s="91" t="n">
        <x:v>150.25</x:v>
      </x:c>
      <x:c r="H410" s="86" t="n">
        <x:v>0</x:v>
      </x:c>
      <x:c r="I410" s="87" t="n">
        <x:v>10</x:v>
      </x:c>
    </x:row>
    <x:row r="411">
      <x:c r="A411" s="85" t="n">
        <x:v>410</x:v>
      </x:c>
      <x:c r="B411" s="86" t="n">
        <x:v>277</x:v>
      </x:c>
      <x:c r="C411" s="95" t="n">
        <x:v>45629</x:v>
      </x:c>
      <x:c r="D411" s="86" t="str">
        <x:v>Dia útil</x:v>
      </x:c>
      <x:c r="E411" s="86" t="n">
        <x:v>8</x:v>
      </x:c>
      <x:c r="F411" s="99" t="n">
        <x:v>0.5</x:v>
      </x:c>
      <x:c r="G411" s="91" t="n">
        <x:v>294.25</x:v>
      </x:c>
      <x:c r="H411" s="86" t="n">
        <x:v>1</x:v>
      </x:c>
      <x:c r="I411" s="87" t="n">
        <x:v>8</x:v>
      </x:c>
    </x:row>
    <x:row r="412">
      <x:c r="A412" s="85" t="n">
        <x:v>411</x:v>
      </x:c>
      <x:c r="B412" s="86" t="n">
        <x:v>403</x:v>
      </x:c>
      <x:c r="C412" s="95" t="n">
        <x:v>45835</x:v>
      </x:c>
      <x:c r="D412" s="86" t="str">
        <x:v>Sábado</x:v>
      </x:c>
      <x:c r="E412" s="86" t="n">
        <x:v>1</x:v>
      </x:c>
      <x:c r="F412" s="99" t="n">
        <x:v>0.75</x:v>
      </x:c>
      <x:c r="G412" s="91" t="n">
        <x:v>40.27</x:v>
      </x:c>
      <x:c r="H412" s="86" t="n">
        <x:v>1</x:v>
      </x:c>
      <x:c r="I412" s="87" t="n">
        <x:v>6</x:v>
      </x:c>
    </x:row>
    <x:row r="413">
      <x:c r="A413" s="85" t="n">
        <x:v>412</x:v>
      </x:c>
      <x:c r="B413" s="86" t="n">
        <x:v>388</x:v>
      </x:c>
      <x:c r="C413" s="95" t="n">
        <x:v>45603</x:v>
      </x:c>
      <x:c r="D413" s="86" t="str">
        <x:v>Dia útil</x:v>
      </x:c>
      <x:c r="E413" s="86" t="n">
        <x:v>3</x:v>
      </x:c>
      <x:c r="F413" s="99" t="n">
        <x:v>0.5</x:v>
      </x:c>
      <x:c r="G413" s="91" t="n">
        <x:v>56.4</x:v>
      </x:c>
      <x:c r="H413" s="86" t="n">
        <x:v>1</x:v>
      </x:c>
      <x:c r="I413" s="87" t="n">
        <x:v>1</x:v>
      </x:c>
    </x:row>
    <x:row r="414">
      <x:c r="A414" s="85" t="n">
        <x:v>413</x:v>
      </x:c>
      <x:c r="B414" s="86" t="n">
        <x:v>68</x:v>
      </x:c>
      <x:c r="C414" s="95" t="n">
        <x:v>45825</x:v>
      </x:c>
      <x:c r="D414" s="86" t="str">
        <x:v>Dia útil</x:v>
      </x:c>
      <x:c r="E414" s="86" t="n">
        <x:v>2</x:v>
      </x:c>
      <x:c r="F414" s="99" t="n">
        <x:v>0.5</x:v>
      </x:c>
      <x:c r="G414" s="91" t="n">
        <x:v>60.03</x:v>
      </x:c>
      <x:c r="H414" s="86" t="n">
        <x:v>1</x:v>
      </x:c>
      <x:c r="I414" s="87" t="n">
        <x:v>4</x:v>
      </x:c>
    </x:row>
    <x:row r="415">
      <x:c r="A415" s="85" t="n">
        <x:v>414</x:v>
      </x:c>
      <x:c r="B415" s="86" t="n">
        <x:v>388</x:v>
      </x:c>
      <x:c r="C415" s="95" t="n">
        <x:v>45362</x:v>
      </x:c>
      <x:c r="D415" s="86" t="str">
        <x:v>Dia útil</x:v>
      </x:c>
      <x:c r="E415" s="86" t="n">
        <x:v>6</x:v>
      </x:c>
      <x:c r="F415" s="99" t="n">
        <x:v>0.5</x:v>
      </x:c>
      <x:c r="G415" s="91" t="n">
        <x:v>112.8</x:v>
      </x:c>
      <x:c r="H415" s="86" t="n">
        <x:v>1</x:v>
      </x:c>
      <x:c r="I415" s="87" t="n">
        <x:v>1</x:v>
      </x:c>
    </x:row>
    <x:row r="416">
      <x:c r="A416" s="85" t="n">
        <x:v>415</x:v>
      </x:c>
      <x:c r="B416" s="86" t="n">
        <x:v>45</x:v>
      </x:c>
      <x:c r="C416" s="95" t="n">
        <x:v>45728</x:v>
      </x:c>
      <x:c r="D416" s="86" t="str">
        <x:v>Dia útil</x:v>
      </x:c>
      <x:c r="E416" s="86" t="n">
        <x:v>8</x:v>
      </x:c>
      <x:c r="F416" s="99" t="n">
        <x:v>0.5</x:v>
      </x:c>
      <x:c r="G416" s="91" t="n">
        <x:v>123.69</x:v>
      </x:c>
      <x:c r="H416" s="86" t="n">
        <x:v>1</x:v>
      </x:c>
      <x:c r="I416" s="87" t="n">
        <x:v>1</x:v>
      </x:c>
    </x:row>
    <x:row r="417">
      <x:c r="A417" s="85" t="n">
        <x:v>416</x:v>
      </x:c>
      <x:c r="B417" s="86" t="n">
        <x:v>125</x:v>
      </x:c>
      <x:c r="C417" s="95" t="n">
        <x:v>46009</x:v>
      </x:c>
      <x:c r="D417" s="86" t="str">
        <x:v>Dia útil</x:v>
      </x:c>
      <x:c r="E417" s="86" t="n">
        <x:v>2</x:v>
      </x:c>
      <x:c r="F417" s="99" t="n">
        <x:v>0.5</x:v>
      </x:c>
      <x:c r="G417" s="91" t="n">
        <x:v>42.96</x:v>
      </x:c>
      <x:c r="H417" s="86" t="n">
        <x:v>1</x:v>
      </x:c>
      <x:c r="I417" s="87" t="n">
        <x:v>1</x:v>
      </x:c>
    </x:row>
    <x:row r="418">
      <x:c r="A418" s="85" t="n">
        <x:v>417</x:v>
      </x:c>
      <x:c r="B418" s="86" t="n">
        <x:v>227</x:v>
      </x:c>
      <x:c r="C418" s="95" t="n">
        <x:v>45995</x:v>
      </x:c>
      <x:c r="D418" s="86" t="str">
        <x:v>Dia útil</x:v>
      </x:c>
      <x:c r="E418" s="86" t="n">
        <x:v>8</x:v>
      </x:c>
      <x:c r="F418" s="99" t="n">
        <x:v>0.5</x:v>
      </x:c>
      <x:c r="G418" s="91" t="n">
        <x:v>341.21</x:v>
      </x:c>
      <x:c r="H418" s="86" t="n">
        <x:v>1</x:v>
      </x:c>
      <x:c r="I418" s="87" t="n">
        <x:v>10</x:v>
      </x:c>
    </x:row>
    <x:row r="419">
      <x:c r="A419" s="85" t="n">
        <x:v>418</x:v>
      </x:c>
      <x:c r="B419" s="86" t="n">
        <x:v>350</x:v>
      </x:c>
      <x:c r="C419" s="95" t="n">
        <x:v>45921</x:v>
      </x:c>
      <x:c r="D419" s="86" t="str">
        <x:v>Domingo/Feriado</x:v>
      </x:c>
      <x:c r="E419" s="86" t="n">
        <x:v>8</x:v>
      </x:c>
      <x:c r="F419" s="99" t="n">
        <x:v>1</x:v>
      </x:c>
      <x:c r="G419" s="91" t="n">
        <x:v>186.31</x:v>
      </x:c>
      <x:c r="H419" s="86" t="n">
        <x:v>1</x:v>
      </x:c>
      <x:c r="I419" s="87" t="n">
        <x:v>1</x:v>
      </x:c>
    </x:row>
    <x:row r="420">
      <x:c r="A420" s="85" t="n">
        <x:v>419</x:v>
      </x:c>
      <x:c r="B420" s="86" t="n">
        <x:v>70</x:v>
      </x:c>
      <x:c r="C420" s="95" t="n">
        <x:v>45910</x:v>
      </x:c>
      <x:c r="D420" s="86" t="str">
        <x:v>Sábado</x:v>
      </x:c>
      <x:c r="E420" s="86" t="n">
        <x:v>8</x:v>
      </x:c>
      <x:c r="F420" s="99" t="n">
        <x:v>0.75</x:v>
      </x:c>
      <x:c r="G420" s="91" t="n">
        <x:v>236.64</x:v>
      </x:c>
      <x:c r="H420" s="86" t="n">
        <x:v>1</x:v>
      </x:c>
      <x:c r="I420" s="87" t="n">
        <x:v>3</x:v>
      </x:c>
    </x:row>
    <x:row r="421">
      <x:c r="A421" s="85" t="n">
        <x:v>420</x:v>
      </x:c>
      <x:c r="B421" s="86" t="n">
        <x:v>15</x:v>
      </x:c>
      <x:c r="C421" s="95" t="n">
        <x:v>45659</x:v>
      </x:c>
      <x:c r="D421" s="86" t="str">
        <x:v>Dia útil</x:v>
      </x:c>
      <x:c r="E421" s="86" t="n">
        <x:v>8</x:v>
      </x:c>
      <x:c r="F421" s="99" t="n">
        <x:v>0.5</x:v>
      </x:c>
      <x:c r="G421" s="91" t="n">
        <x:v>542.91</x:v>
      </x:c>
      <x:c r="H421" s="86" t="n">
        <x:v>1</x:v>
      </x:c>
      <x:c r="I421" s="87" t="n">
        <x:v>2</x:v>
      </x:c>
    </x:row>
    <x:row r="422">
      <x:c r="A422" s="85" t="n">
        <x:v>421</x:v>
      </x:c>
      <x:c r="B422" s="86" t="n">
        <x:v>72</x:v>
      </x:c>
      <x:c r="C422" s="95" t="n">
        <x:v>45638</x:v>
      </x:c>
      <x:c r="D422" s="86" t="str">
        <x:v>Dia útil</x:v>
      </x:c>
      <x:c r="E422" s="86" t="n">
        <x:v>1</x:v>
      </x:c>
      <x:c r="F422" s="99" t="n">
        <x:v>0.5</x:v>
      </x:c>
      <x:c r="G422" s="91" t="n">
        <x:v>20.66</x:v>
      </x:c>
      <x:c r="H422" s="86" t="n">
        <x:v>1</x:v>
      </x:c>
      <x:c r="I422" s="87" t="n">
        <x:v>1</x:v>
      </x:c>
    </x:row>
    <x:row r="423">
      <x:c r="A423" s="85" t="n">
        <x:v>422</x:v>
      </x:c>
      <x:c r="B423" s="86" t="n">
        <x:v>91</x:v>
      </x:c>
      <x:c r="C423" s="95" t="n">
        <x:v>45746</x:v>
      </x:c>
      <x:c r="D423" s="86" t="str">
        <x:v>Domingo/Feriado</x:v>
      </x:c>
      <x:c r="E423" s="86" t="n">
        <x:v>1</x:v>
      </x:c>
      <x:c r="F423" s="99" t="n">
        <x:v>1</x:v>
      </x:c>
      <x:c r="G423" s="91" t="n">
        <x:v>71.6</x:v>
      </x:c>
      <x:c r="H423" s="86" t="n">
        <x:v>1</x:v>
      </x:c>
      <x:c r="I423" s="87" t="n">
        <x:v>1</x:v>
      </x:c>
    </x:row>
    <x:row r="424">
      <x:c r="A424" s="85" t="n">
        <x:v>423</x:v>
      </x:c>
      <x:c r="B424" s="86" t="n">
        <x:v>12</x:v>
      </x:c>
      <x:c r="C424" s="95" t="n">
        <x:v>45970</x:v>
      </x:c>
      <x:c r="D424" s="86" t="str">
        <x:v>Dia útil</x:v>
      </x:c>
      <x:c r="E424" s="86" t="n">
        <x:v>6</x:v>
      </x:c>
      <x:c r="F424" s="99" t="n">
        <x:v>0.5</x:v>
      </x:c>
      <x:c r="G424" s="91" t="n">
        <x:v>100.71</x:v>
      </x:c>
      <x:c r="H424" s="86" t="n">
        <x:v>1</x:v>
      </x:c>
      <x:c r="I424" s="87" t="n">
        <x:v>1</x:v>
      </x:c>
    </x:row>
    <x:row r="425">
      <x:c r="A425" s="85" t="n">
        <x:v>424</x:v>
      </x:c>
      <x:c r="B425" s="86" t="n">
        <x:v>176</x:v>
      </x:c>
      <x:c r="C425" s="95" t="n">
        <x:v>45884</x:v>
      </x:c>
      <x:c r="D425" s="86" t="str">
        <x:v>Dia útil</x:v>
      </x:c>
      <x:c r="E425" s="86" t="n">
        <x:v>8</x:v>
      </x:c>
      <x:c r="F425" s="99" t="n">
        <x:v>0.5</x:v>
      </x:c>
      <x:c r="G425" s="91" t="n">
        <x:v>379.74</x:v>
      </x:c>
      <x:c r="H425" s="86" t="n">
        <x:v>1</x:v>
      </x:c>
      <x:c r="I425" s="87" t="n">
        <x:v>10</x:v>
      </x:c>
    </x:row>
    <x:row r="426">
      <x:c r="A426" s="85" t="n">
        <x:v>425</x:v>
      </x:c>
      <x:c r="B426" s="86" t="n">
        <x:v>220</x:v>
      </x:c>
      <x:c r="C426" s="95" t="n">
        <x:v>45743</x:v>
      </x:c>
      <x:c r="D426" s="86" t="str">
        <x:v>Dia útil</x:v>
      </x:c>
      <x:c r="E426" s="86" t="n">
        <x:v>2</x:v>
      </x:c>
      <x:c r="F426" s="99" t="n">
        <x:v>0.5</x:v>
      </x:c>
      <x:c r="G426" s="91" t="n">
        <x:v>63.22</x:v>
      </x:c>
      <x:c r="H426" s="86" t="n">
        <x:v>1</x:v>
      </x:c>
      <x:c r="I426" s="87" t="n">
        <x:v>7</x:v>
      </x:c>
    </x:row>
    <x:row r="427">
      <x:c r="A427" s="85" t="n">
        <x:v>426</x:v>
      </x:c>
      <x:c r="B427" s="86" t="n">
        <x:v>400</x:v>
      </x:c>
      <x:c r="C427" s="95" t="n">
        <x:v>45393</x:v>
      </x:c>
      <x:c r="D427" s="86" t="str">
        <x:v>Dia útil</x:v>
      </x:c>
      <x:c r="E427" s="86" t="n">
        <x:v>1</x:v>
      </x:c>
      <x:c r="F427" s="99" t="n">
        <x:v>0.5</x:v>
      </x:c>
      <x:c r="G427" s="91" t="n">
        <x:v>15.82</x:v>
      </x:c>
      <x:c r="H427" s="86" t="n">
        <x:v>1</x:v>
      </x:c>
      <x:c r="I427" s="87" t="n">
        <x:v>1</x:v>
      </x:c>
    </x:row>
    <x:row r="428">
      <x:c r="A428" s="85" t="n">
        <x:v>427</x:v>
      </x:c>
      <x:c r="B428" s="86" t="n">
        <x:v>250</x:v>
      </x:c>
      <x:c r="C428" s="95" t="n">
        <x:v>45910</x:v>
      </x:c>
      <x:c r="D428" s="86" t="str">
        <x:v>Dia útil</x:v>
      </x:c>
      <x:c r="E428" s="86" t="n">
        <x:v>4</x:v>
      </x:c>
      <x:c r="F428" s="99" t="n">
        <x:v>0.5</x:v>
      </x:c>
      <x:c r="G428" s="91" t="n">
        <x:v>135.2</x:v>
      </x:c>
      <x:c r="H428" s="86" t="n">
        <x:v>1</x:v>
      </x:c>
      <x:c r="I428" s="87" t="n">
        <x:v>10</x:v>
      </x:c>
    </x:row>
    <x:row r="429">
      <x:c r="A429" s="85" t="n">
        <x:v>428</x:v>
      </x:c>
      <x:c r="B429" s="86" t="n">
        <x:v>70</x:v>
      </x:c>
      <x:c r="C429" s="95" t="n">
        <x:v>45609</x:v>
      </x:c>
      <x:c r="D429" s="86" t="str">
        <x:v>Dia útil</x:v>
      </x:c>
      <x:c r="E429" s="86" t="n">
        <x:v>4</x:v>
      </x:c>
      <x:c r="F429" s="99" t="n">
        <x:v>0.5</x:v>
      </x:c>
      <x:c r="G429" s="91" t="n">
        <x:v>101.42</x:v>
      </x:c>
      <x:c r="H429" s="86" t="n">
        <x:v>1</x:v>
      </x:c>
      <x:c r="I429" s="87" t="n">
        <x:v>3</x:v>
      </x:c>
    </x:row>
    <x:row r="430">
      <x:c r="A430" s="85" t="n">
        <x:v>429</x:v>
      </x:c>
      <x:c r="B430" s="86" t="n">
        <x:v>66</x:v>
      </x:c>
      <x:c r="C430" s="95" t="n">
        <x:v>45677</x:v>
      </x:c>
      <x:c r="D430" s="86" t="str">
        <x:v>Dia útil</x:v>
      </x:c>
      <x:c r="E430" s="86" t="n">
        <x:v>4</x:v>
      </x:c>
      <x:c r="F430" s="99" t="n">
        <x:v>0.5</x:v>
      </x:c>
      <x:c r="G430" s="91" t="n">
        <x:v>80.96</x:v>
      </x:c>
      <x:c r="H430" s="86" t="n">
        <x:v>1</x:v>
      </x:c>
      <x:c r="I430" s="87" t="n">
        <x:v>1</x:v>
      </x:c>
    </x:row>
    <x:row r="431">
      <x:c r="A431" s="85" t="n">
        <x:v>430</x:v>
      </x:c>
      <x:c r="B431" s="86" t="n">
        <x:v>361</x:v>
      </x:c>
      <x:c r="C431" s="95" t="n">
        <x:v>45732</x:v>
      </x:c>
      <x:c r="D431" s="86" t="str">
        <x:v>Dia útil</x:v>
      </x:c>
      <x:c r="E431" s="86" t="n">
        <x:v>8</x:v>
      </x:c>
      <x:c r="F431" s="99" t="n">
        <x:v>0.5</x:v>
      </x:c>
      <x:c r="G431" s="91" t="n">
        <x:v>302.57</x:v>
      </x:c>
      <x:c r="H431" s="86" t="n">
        <x:v>1</x:v>
      </x:c>
      <x:c r="I431" s="87" t="n">
        <x:v>8</x:v>
      </x:c>
    </x:row>
    <x:row r="432">
      <x:c r="A432" s="85" t="n">
        <x:v>431</x:v>
      </x:c>
      <x:c r="B432" s="86" t="n">
        <x:v>229</x:v>
      </x:c>
      <x:c r="C432" s="95" t="n">
        <x:v>45394</x:v>
      </x:c>
      <x:c r="D432" s="86" t="str">
        <x:v>Dia útil</x:v>
      </x:c>
      <x:c r="E432" s="86" t="n">
        <x:v>3</x:v>
      </x:c>
      <x:c r="F432" s="99" t="n">
        <x:v>0.5</x:v>
      </x:c>
      <x:c r="G432" s="91" t="n">
        <x:v>101</x:v>
      </x:c>
      <x:c r="H432" s="86" t="n">
        <x:v>1</x:v>
      </x:c>
      <x:c r="I432" s="87" t="n">
        <x:v>10</x:v>
      </x:c>
    </x:row>
    <x:row r="433">
      <x:c r="A433" s="85" t="n">
        <x:v>432</x:v>
      </x:c>
      <x:c r="B433" s="86" t="n">
        <x:v>126</x:v>
      </x:c>
      <x:c r="C433" s="95" t="n">
        <x:v>45981</x:v>
      </x:c>
      <x:c r="D433" s="86" t="str">
        <x:v>Dia útil</x:v>
      </x:c>
      <x:c r="E433" s="86" t="n">
        <x:v>3</x:v>
      </x:c>
      <x:c r="F433" s="99" t="n">
        <x:v>0.5</x:v>
      </x:c>
      <x:c r="G433" s="91" t="n">
        <x:v>195.89</x:v>
      </x:c>
      <x:c r="H433" s="86" t="n">
        <x:v>1</x:v>
      </x:c>
      <x:c r="I433" s="87" t="n">
        <x:v>3</x:v>
      </x:c>
    </x:row>
    <x:row r="434">
      <x:c r="A434" s="85" t="n">
        <x:v>433</x:v>
      </x:c>
      <x:c r="B434" s="86" t="n">
        <x:v>418</x:v>
      </x:c>
      <x:c r="C434" s="95" t="n">
        <x:v>45949</x:v>
      </x:c>
      <x:c r="D434" s="86" t="str">
        <x:v>Sábado</x:v>
      </x:c>
      <x:c r="E434" s="86" t="n">
        <x:v>2</x:v>
      </x:c>
      <x:c r="F434" s="99" t="n">
        <x:v>0.75</x:v>
      </x:c>
      <x:c r="G434" s="91" t="n">
        <x:v>98.66</x:v>
      </x:c>
      <x:c r="H434" s="86" t="n">
        <x:v>1</x:v>
      </x:c>
      <x:c r="I434" s="87" t="n">
        <x:v>10</x:v>
      </x:c>
    </x:row>
    <x:row r="435">
      <x:c r="A435" s="85" t="n">
        <x:v>434</x:v>
      </x:c>
      <x:c r="B435" s="86" t="n">
        <x:v>9</x:v>
      </x:c>
      <x:c r="C435" s="95" t="n">
        <x:v>45918</x:v>
      </x:c>
      <x:c r="D435" s="86" t="str">
        <x:v>Dia útil</x:v>
      </x:c>
      <x:c r="E435" s="86" t="n">
        <x:v>4</x:v>
      </x:c>
      <x:c r="F435" s="99" t="n">
        <x:v>0.5</x:v>
      </x:c>
      <x:c r="G435" s="91" t="n">
        <x:v>177.68</x:v>
      </x:c>
      <x:c r="H435" s="86" t="n">
        <x:v>1</x:v>
      </x:c>
      <x:c r="I435" s="87" t="n">
        <x:v>5</x:v>
      </x:c>
    </x:row>
    <x:row r="436">
      <x:c r="A436" s="85" t="n">
        <x:v>435</x:v>
      </x:c>
      <x:c r="B436" s="86" t="n">
        <x:v>334</x:v>
      </x:c>
      <x:c r="C436" s="95" t="n">
        <x:v>45300</x:v>
      </x:c>
      <x:c r="D436" s="86" t="str">
        <x:v>Dia útil</x:v>
      </x:c>
      <x:c r="E436" s="86" t="n">
        <x:v>6</x:v>
      </x:c>
      <x:c r="F436" s="99" t="n">
        <x:v>0.5</x:v>
      </x:c>
      <x:c r="G436" s="91" t="n">
        <x:v>300.63</x:v>
      </x:c>
      <x:c r="H436" s="86" t="n">
        <x:v>1</x:v>
      </x:c>
      <x:c r="I436" s="87" t="n">
        <x:v>5</x:v>
      </x:c>
    </x:row>
    <x:row r="437">
      <x:c r="A437" s="85" t="n">
        <x:v>436</x:v>
      </x:c>
      <x:c r="B437" s="86" t="n">
        <x:v>347</x:v>
      </x:c>
      <x:c r="C437" s="95" t="n">
        <x:v>45974</x:v>
      </x:c>
      <x:c r="D437" s="86" t="str">
        <x:v>Sábado</x:v>
      </x:c>
      <x:c r="E437" s="86" t="n">
        <x:v>4</x:v>
      </x:c>
      <x:c r="F437" s="99" t="n">
        <x:v>0.75</x:v>
      </x:c>
      <x:c r="G437" s="91" t="n">
        <x:v>146.88</x:v>
      </x:c>
      <x:c r="H437" s="86" t="n">
        <x:v>1</x:v>
      </x:c>
      <x:c r="I437" s="87" t="n">
        <x:v>7</x:v>
      </x:c>
    </x:row>
    <x:row r="438">
      <x:c r="A438" s="85" t="n">
        <x:v>437</x:v>
      </x:c>
      <x:c r="B438" s="86" t="n">
        <x:v>83</x:v>
      </x:c>
      <x:c r="C438" s="95" t="n">
        <x:v>45894</x:v>
      </x:c>
      <x:c r="D438" s="86" t="str">
        <x:v>Dia útil</x:v>
      </x:c>
      <x:c r="E438" s="86" t="n">
        <x:v>2</x:v>
      </x:c>
      <x:c r="F438" s="99" t="n">
        <x:v>0.5</x:v>
      </x:c>
      <x:c r="G438" s="91" t="n">
        <x:v>31.23</x:v>
      </x:c>
      <x:c r="H438" s="86" t="n">
        <x:v>1</x:v>
      </x:c>
      <x:c r="I438" s="87" t="n">
        <x:v>1</x:v>
      </x:c>
    </x:row>
    <x:row r="439">
      <x:c r="A439" s="85" t="n">
        <x:v>438</x:v>
      </x:c>
      <x:c r="B439" s="86" t="n">
        <x:v>209</x:v>
      </x:c>
      <x:c r="C439" s="95" t="n">
        <x:v>45825</x:v>
      </x:c>
      <x:c r="D439" s="86" t="str">
        <x:v>Sábado</x:v>
      </x:c>
      <x:c r="E439" s="86" t="n">
        <x:v>2</x:v>
      </x:c>
      <x:c r="F439" s="99" t="n">
        <x:v>0.75</x:v>
      </x:c>
      <x:c r="G439" s="91" t="n">
        <x:v>111.2</x:v>
      </x:c>
      <x:c r="H439" s="86" t="n">
        <x:v>1</x:v>
      </x:c>
      <x:c r="I439" s="87" t="n">
        <x:v>7</x:v>
      </x:c>
    </x:row>
    <x:row r="440">
      <x:c r="A440" s="85" t="n">
        <x:v>439</x:v>
      </x:c>
      <x:c r="B440" s="86" t="n">
        <x:v>389</x:v>
      </x:c>
      <x:c r="C440" s="95" t="n">
        <x:v>45549</x:v>
      </x:c>
      <x:c r="D440" s="86" t="str">
        <x:v>Sábado</x:v>
      </x:c>
      <x:c r="E440" s="86" t="n">
        <x:v>2</x:v>
      </x:c>
      <x:c r="F440" s="99" t="n">
        <x:v>0.75</x:v>
      </x:c>
      <x:c r="G440" s="91" t="n">
        <x:v>63.08</x:v>
      </x:c>
      <x:c r="H440" s="86" t="n">
        <x:v>1</x:v>
      </x:c>
      <x:c r="I440" s="87" t="n">
        <x:v>3</x:v>
      </x:c>
    </x:row>
    <x:row r="441">
      <x:c r="A441" s="85" t="n">
        <x:v>440</x:v>
      </x:c>
      <x:c r="B441" s="86" t="n">
        <x:v>74</x:v>
      </x:c>
      <x:c r="C441" s="95" t="n">
        <x:v>45818</x:v>
      </x:c>
      <x:c r="D441" s="86" t="str">
        <x:v>Domingo/Feriado</x:v>
      </x:c>
      <x:c r="E441" s="86" t="n">
        <x:v>2</x:v>
      </x:c>
      <x:c r="F441" s="99" t="n">
        <x:v>1</x:v>
      </x:c>
      <x:c r="G441" s="91" t="n">
        <x:v>43.45</x:v>
      </x:c>
      <x:c r="H441" s="86" t="n">
        <x:v>1</x:v>
      </x:c>
      <x:c r="I441" s="87" t="n">
        <x:v>1</x:v>
      </x:c>
    </x:row>
    <x:row r="442">
      <x:c r="A442" s="85" t="n">
        <x:v>441</x:v>
      </x:c>
      <x:c r="B442" s="86" t="n">
        <x:v>87</x:v>
      </x:c>
      <x:c r="C442" s="95" t="n">
        <x:v>45907</x:v>
      </x:c>
      <x:c r="D442" s="86" t="str">
        <x:v>Dia útil</x:v>
      </x:c>
      <x:c r="E442" s="86" t="n">
        <x:v>2</x:v>
      </x:c>
      <x:c r="F442" s="99" t="n">
        <x:v>0.5</x:v>
      </x:c>
      <x:c r="G442" s="91" t="n">
        <x:v>54.25</x:v>
      </x:c>
      <x:c r="H442" s="86" t="n">
        <x:v>1</x:v>
      </x:c>
      <x:c r="I442" s="87" t="n">
        <x:v>2</x:v>
      </x:c>
    </x:row>
    <x:row r="443">
      <x:c r="A443" s="85" t="n">
        <x:v>442</x:v>
      </x:c>
      <x:c r="B443" s="86" t="n">
        <x:v>100</x:v>
      </x:c>
      <x:c r="C443" s="95" t="n">
        <x:v>45934</x:v>
      </x:c>
      <x:c r="D443" s="86" t="str">
        <x:v>Dia útil</x:v>
      </x:c>
      <x:c r="E443" s="86" t="n">
        <x:v>4</x:v>
      </x:c>
      <x:c r="F443" s="99" t="n">
        <x:v>0.5</x:v>
      </x:c>
      <x:c r="G443" s="91" t="n">
        <x:v>78.08</x:v>
      </x:c>
      <x:c r="H443" s="86" t="n">
        <x:v>1</x:v>
      </x:c>
      <x:c r="I443" s="87" t="n">
        <x:v>1</x:v>
      </x:c>
    </x:row>
    <x:row r="444">
      <x:c r="A444" s="85" t="n">
        <x:v>443</x:v>
      </x:c>
      <x:c r="B444" s="86" t="n">
        <x:v>329</x:v>
      </x:c>
      <x:c r="C444" s="95" t="n">
        <x:v>45998</x:v>
      </x:c>
      <x:c r="D444" s="86" t="str">
        <x:v>Dia útil</x:v>
      </x:c>
      <x:c r="E444" s="86" t="n">
        <x:v>6</x:v>
      </x:c>
      <x:c r="F444" s="99" t="n">
        <x:v>0.5</x:v>
      </x:c>
      <x:c r="G444" s="91" t="n">
        <x:v>293.79</x:v>
      </x:c>
      <x:c r="H444" s="86" t="n">
        <x:v>1</x:v>
      </x:c>
      <x:c r="I444" s="87" t="n">
        <x:v>7</x:v>
      </x:c>
    </x:row>
    <x:row r="445">
      <x:c r="A445" s="85" t="n">
        <x:v>444</x:v>
      </x:c>
      <x:c r="B445" s="86" t="n">
        <x:v>162</x:v>
      </x:c>
      <x:c r="C445" s="95" t="n">
        <x:v>45574</x:v>
      </x:c>
      <x:c r="D445" s="86" t="str">
        <x:v>Dia útil</x:v>
      </x:c>
      <x:c r="E445" s="86" t="n">
        <x:v>6</x:v>
      </x:c>
      <x:c r="F445" s="99" t="n">
        <x:v>0.5</x:v>
      </x:c>
      <x:c r="G445" s="91" t="n">
        <x:v>315.68</x:v>
      </x:c>
      <x:c r="H445" s="86" t="n">
        <x:v>1</x:v>
      </x:c>
      <x:c r="I445" s="87" t="n">
        <x:v>10</x:v>
      </x:c>
    </x:row>
    <x:row r="446">
      <x:c r="A446" s="85" t="n">
        <x:v>445</x:v>
      </x:c>
      <x:c r="B446" s="86" t="n">
        <x:v>381</x:v>
      </x:c>
      <x:c r="C446" s="95" t="n">
        <x:v>45428</x:v>
      </x:c>
      <x:c r="D446" s="86" t="str">
        <x:v>Dia útil</x:v>
      </x:c>
      <x:c r="E446" s="86" t="n">
        <x:v>4</x:v>
      </x:c>
      <x:c r="F446" s="99" t="n">
        <x:v>0.5</x:v>
      </x:c>
      <x:c r="G446" s="91" t="n">
        <x:v>256.69</x:v>
      </x:c>
      <x:c r="H446" s="86" t="n">
        <x:v>1</x:v>
      </x:c>
      <x:c r="I446" s="87" t="n">
        <x:v>5</x:v>
      </x:c>
    </x:row>
    <x:row r="447">
      <x:c r="A447" s="85" t="n">
        <x:v>446</x:v>
      </x:c>
      <x:c r="B447" s="86" t="n">
        <x:v>165</x:v>
      </x:c>
      <x:c r="C447" s="95" t="n">
        <x:v>45946</x:v>
      </x:c>
      <x:c r="D447" s="86" t="str">
        <x:v>Dia útil</x:v>
      </x:c>
      <x:c r="E447" s="86" t="n">
        <x:v>1</x:v>
      </x:c>
      <x:c r="F447" s="99" t="n">
        <x:v>0.5</x:v>
      </x:c>
      <x:c r="G447" s="91" t="n">
        <x:v>32.84</x:v>
      </x:c>
      <x:c r="H447" s="86" t="n">
        <x:v>1</x:v>
      </x:c>
      <x:c r="I447" s="87" t="n">
        <x:v>4</x:v>
      </x:c>
    </x:row>
    <x:row r="448">
      <x:c r="A448" s="85" t="n">
        <x:v>447</x:v>
      </x:c>
      <x:c r="B448" s="86" t="n">
        <x:v>388</x:v>
      </x:c>
      <x:c r="C448" s="95" t="n">
        <x:v>45830</x:v>
      </x:c>
      <x:c r="D448" s="86" t="str">
        <x:v>Dia útil</x:v>
      </x:c>
      <x:c r="E448" s="86" t="n">
        <x:v>6</x:v>
      </x:c>
      <x:c r="F448" s="99" t="n">
        <x:v>0.5</x:v>
      </x:c>
      <x:c r="G448" s="91" t="n">
        <x:v>112.8</x:v>
      </x:c>
      <x:c r="H448" s="86" t="n">
        <x:v>1</x:v>
      </x:c>
      <x:c r="I448" s="87" t="n">
        <x:v>1</x:v>
      </x:c>
    </x:row>
    <x:row r="449">
      <x:c r="A449" s="85" t="n">
        <x:v>448</x:v>
      </x:c>
      <x:c r="B449" s="86" t="n">
        <x:v>151</x:v>
      </x:c>
      <x:c r="C449" s="95" t="n">
        <x:v>45612</x:v>
      </x:c>
      <x:c r="D449" s="86" t="str">
        <x:v>Dia útil</x:v>
      </x:c>
      <x:c r="E449" s="86" t="n">
        <x:v>4</x:v>
      </x:c>
      <x:c r="F449" s="99" t="n">
        <x:v>0.5</x:v>
      </x:c>
      <x:c r="G449" s="91" t="n">
        <x:v>129.94</x:v>
      </x:c>
      <x:c r="H449" s="86" t="n">
        <x:v>1</x:v>
      </x:c>
      <x:c r="I449" s="87" t="n">
        <x:v>2</x:v>
      </x:c>
    </x:row>
    <x:row r="450">
      <x:c r="A450" s="85" t="n">
        <x:v>449</x:v>
      </x:c>
      <x:c r="B450" s="86" t="n">
        <x:v>332</x:v>
      </x:c>
      <x:c r="C450" s="95" t="n">
        <x:v>45981</x:v>
      </x:c>
      <x:c r="D450" s="86" t="str">
        <x:v>Dia útil</x:v>
      </x:c>
      <x:c r="E450" s="86" t="n">
        <x:v>6</x:v>
      </x:c>
      <x:c r="F450" s="99" t="n">
        <x:v>0.5</x:v>
      </x:c>
      <x:c r="G450" s="91" t="n">
        <x:v>335.74</x:v>
      </x:c>
      <x:c r="H450" s="86" t="n">
        <x:v>1</x:v>
      </x:c>
      <x:c r="I450" s="87" t="n">
        <x:v>5</x:v>
      </x:c>
    </x:row>
    <x:row r="451">
      <x:c r="A451" s="85" t="n">
        <x:v>450</x:v>
      </x:c>
      <x:c r="B451" s="86" t="n">
        <x:v>208</x:v>
      </x:c>
      <x:c r="C451" s="95" t="n">
        <x:v>45708</x:v>
      </x:c>
      <x:c r="D451" s="86" t="str">
        <x:v>Dia útil</x:v>
      </x:c>
      <x:c r="E451" s="86" t="n">
        <x:v>1</x:v>
      </x:c>
      <x:c r="F451" s="99" t="n">
        <x:v>0.5</x:v>
      </x:c>
      <x:c r="G451" s="91" t="n">
        <x:v>61.36</x:v>
      </x:c>
      <x:c r="H451" s="86" t="n">
        <x:v>1</x:v>
      </x:c>
      <x:c r="I451" s="87" t="n">
        <x:v>9</x:v>
      </x:c>
    </x:row>
    <x:row r="452">
      <x:c r="A452" s="85" t="n">
        <x:v>451</x:v>
      </x:c>
      <x:c r="B452" s="86" t="n">
        <x:v>33</x:v>
      </x:c>
      <x:c r="C452" s="95" t="n">
        <x:v>45816</x:v>
      </x:c>
      <x:c r="D452" s="86" t="str">
        <x:v>Sábado</x:v>
      </x:c>
      <x:c r="E452" s="86" t="n">
        <x:v>2</x:v>
      </x:c>
      <x:c r="F452" s="99" t="n">
        <x:v>0.75</x:v>
      </x:c>
      <x:c r="G452" s="91" t="n">
        <x:v>96.97</x:v>
      </x:c>
      <x:c r="H452" s="86" t="n">
        <x:v>1</x:v>
      </x:c>
      <x:c r="I452" s="87" t="n">
        <x:v>9</x:v>
      </x:c>
    </x:row>
    <x:row r="453">
      <x:c r="A453" s="85" t="n">
        <x:v>452</x:v>
      </x:c>
      <x:c r="B453" s="86" t="n">
        <x:v>132</x:v>
      </x:c>
      <x:c r="C453" s="95" t="n">
        <x:v>45856</x:v>
      </x:c>
      <x:c r="D453" s="86" t="str">
        <x:v>Dia útil</x:v>
      </x:c>
      <x:c r="E453" s="86" t="n">
        <x:v>3</x:v>
      </x:c>
      <x:c r="F453" s="99" t="n">
        <x:v>0.5</x:v>
      </x:c>
      <x:c r="G453" s="91" t="n">
        <x:v>118.93</x:v>
      </x:c>
      <x:c r="H453" s="86" t="n">
        <x:v>1</x:v>
      </x:c>
      <x:c r="I453" s="87" t="n">
        <x:v>4</x:v>
      </x:c>
    </x:row>
    <x:row r="454">
      <x:c r="A454" s="85" t="n">
        <x:v>453</x:v>
      </x:c>
      <x:c r="B454" s="86" t="n">
        <x:v>289</x:v>
      </x:c>
      <x:c r="C454" s="95" t="n">
        <x:v>45881</x:v>
      </x:c>
      <x:c r="D454" s="86" t="str">
        <x:v>Dia útil</x:v>
      </x:c>
      <x:c r="E454" s="86" t="n">
        <x:v>1</x:v>
      </x:c>
      <x:c r="F454" s="99" t="n">
        <x:v>0.5</x:v>
      </x:c>
      <x:c r="G454" s="91" t="n">
        <x:v>18.7</x:v>
      </x:c>
      <x:c r="H454" s="86" t="n">
        <x:v>1</x:v>
      </x:c>
      <x:c r="I454" s="87" t="n">
        <x:v>1</x:v>
      </x:c>
    </x:row>
    <x:row r="455">
      <x:c r="A455" s="85" t="n">
        <x:v>454</x:v>
      </x:c>
      <x:c r="B455" s="86" t="n">
        <x:v>193</x:v>
      </x:c>
      <x:c r="C455" s="95" t="n">
        <x:v>45902</x:v>
      </x:c>
      <x:c r="D455" s="86" t="str">
        <x:v>Sábado</x:v>
      </x:c>
      <x:c r="E455" s="86" t="n">
        <x:v>8</x:v>
      </x:c>
      <x:c r="F455" s="99" t="n">
        <x:v>0.75</x:v>
      </x:c>
      <x:c r="G455" s="91" t="n">
        <x:v>389.58</x:v>
      </x:c>
      <x:c r="H455" s="86" t="n">
        <x:v>1</x:v>
      </x:c>
      <x:c r="I455" s="87" t="n">
        <x:v>6</x:v>
      </x:c>
    </x:row>
    <x:row r="456">
      <x:c r="A456" s="85" t="n">
        <x:v>455</x:v>
      </x:c>
      <x:c r="B456" s="86" t="n">
        <x:v>18</x:v>
      </x:c>
      <x:c r="C456" s="95" t="n">
        <x:v>45987</x:v>
      </x:c>
      <x:c r="D456" s="86" t="str">
        <x:v>Dia útil</x:v>
      </x:c>
      <x:c r="E456" s="86" t="n">
        <x:v>1</x:v>
      </x:c>
      <x:c r="F456" s="99" t="n">
        <x:v>0.5</x:v>
      </x:c>
      <x:c r="G456" s="91" t="n">
        <x:v>18.63</x:v>
      </x:c>
      <x:c r="H456" s="86" t="n">
        <x:v>1</x:v>
      </x:c>
      <x:c r="I456" s="87" t="n">
        <x:v>1</x:v>
      </x:c>
    </x:row>
    <x:row r="457">
      <x:c r="A457" s="85" t="n">
        <x:v>456</x:v>
      </x:c>
      <x:c r="B457" s="86" t="n">
        <x:v>416</x:v>
      </x:c>
      <x:c r="C457" s="95" t="n">
        <x:v>45833</x:v>
      </x:c>
      <x:c r="D457" s="86" t="str">
        <x:v>Dia útil</x:v>
      </x:c>
      <x:c r="E457" s="86" t="n">
        <x:v>1</x:v>
      </x:c>
      <x:c r="F457" s="99" t="n">
        <x:v>0.5</x:v>
      </x:c>
      <x:c r="G457" s="91" t="n">
        <x:v>27.04</x:v>
      </x:c>
      <x:c r="H457" s="86" t="n">
        <x:v>1</x:v>
      </x:c>
      <x:c r="I457" s="87" t="n">
        <x:v>3</x:v>
      </x:c>
    </x:row>
    <x:row r="458">
      <x:c r="A458" s="85" t="n">
        <x:v>457</x:v>
      </x:c>
      <x:c r="B458" s="86" t="n">
        <x:v>344</x:v>
      </x:c>
      <x:c r="C458" s="95" t="n">
        <x:v>45754</x:v>
      </x:c>
      <x:c r="D458" s="86" t="str">
        <x:v>Dia útil</x:v>
      </x:c>
      <x:c r="E458" s="86" t="n">
        <x:v>4</x:v>
      </x:c>
      <x:c r="F458" s="99" t="n">
        <x:v>0.5</x:v>
      </x:c>
      <x:c r="G458" s="91" t="n">
        <x:v>69.59</x:v>
      </x:c>
      <x:c r="H458" s="86" t="n">
        <x:v>1</x:v>
      </x:c>
      <x:c r="I458" s="87" t="n">
        <x:v>1</x:v>
      </x:c>
    </x:row>
    <x:row r="459">
      <x:c r="A459" s="85" t="n">
        <x:v>458</x:v>
      </x:c>
      <x:c r="B459" s="86" t="n">
        <x:v>381</x:v>
      </x:c>
      <x:c r="C459" s="95" t="n">
        <x:v>45892</x:v>
      </x:c>
      <x:c r="D459" s="86" t="str">
        <x:v>Sábado</x:v>
      </x:c>
      <x:c r="E459" s="86" t="n">
        <x:v>6</x:v>
      </x:c>
      <x:c r="F459" s="99" t="n">
        <x:v>0.75</x:v>
      </x:c>
      <x:c r="G459" s="91" t="n">
        <x:v>449.2</x:v>
      </x:c>
      <x:c r="H459" s="86" t="n">
        <x:v>1</x:v>
      </x:c>
      <x:c r="I459" s="87" t="n">
        <x:v>5</x:v>
      </x:c>
    </x:row>
    <x:row r="460">
      <x:c r="A460" s="85" t="n">
        <x:v>459</x:v>
      </x:c>
      <x:c r="B460" s="86" t="n">
        <x:v>253</x:v>
      </x:c>
      <x:c r="C460" s="95" t="n">
        <x:v>45444</x:v>
      </x:c>
      <x:c r="D460" s="86" t="str">
        <x:v>Sábado</x:v>
      </x:c>
      <x:c r="E460" s="86" t="n">
        <x:v>1</x:v>
      </x:c>
      <x:c r="F460" s="99" t="n">
        <x:v>0.75</x:v>
      </x:c>
      <x:c r="G460" s="91" t="n">
        <x:v>26.15</x:v>
      </x:c>
      <x:c r="H460" s="86" t="n">
        <x:v>0</x:v>
      </x:c>
      <x:c r="I460" s="87" t="n">
        <x:v>2</x:v>
      </x:c>
    </x:row>
    <x:row r="461">
      <x:c r="A461" s="85" t="n">
        <x:v>460</x:v>
      </x:c>
      <x:c r="B461" s="86" t="n">
        <x:v>364</x:v>
      </x:c>
      <x:c r="C461" s="95" t="n">
        <x:v>45634</x:v>
      </x:c>
      <x:c r="D461" s="86" t="str">
        <x:v>Domingo/Feriado</x:v>
      </x:c>
      <x:c r="E461" s="86" t="n">
        <x:v>6</x:v>
      </x:c>
      <x:c r="F461" s="99" t="n">
        <x:v>1</x:v>
      </x:c>
      <x:c r="G461" s="91" t="n">
        <x:v>470.88</x:v>
      </x:c>
      <x:c r="H461" s="86" t="n">
        <x:v>1</x:v>
      </x:c>
      <x:c r="I461" s="87" t="n">
        <x:v>5</x:v>
      </x:c>
    </x:row>
    <x:row r="462">
      <x:c r="A462" s="85" t="n">
        <x:v>461</x:v>
      </x:c>
      <x:c r="B462" s="86" t="n">
        <x:v>392</x:v>
      </x:c>
      <x:c r="C462" s="95" t="n">
        <x:v>45389</x:v>
      </x:c>
      <x:c r="D462" s="86" t="str">
        <x:v>Sábado</x:v>
      </x:c>
      <x:c r="E462" s="86" t="n">
        <x:v>4</x:v>
      </x:c>
      <x:c r="F462" s="99" t="n">
        <x:v>0.75</x:v>
      </x:c>
      <x:c r="G462" s="91" t="n">
        <x:v>208.1</x:v>
      </x:c>
      <x:c r="H462" s="86" t="n">
        <x:v>1</x:v>
      </x:c>
      <x:c r="I462" s="87" t="n">
        <x:v>7</x:v>
      </x:c>
    </x:row>
    <x:row r="463">
      <x:c r="A463" s="85" t="n">
        <x:v>462</x:v>
      </x:c>
      <x:c r="B463" s="86" t="n">
        <x:v>276</x:v>
      </x:c>
      <x:c r="C463" s="95" t="n">
        <x:v>46014</x:v>
      </x:c>
      <x:c r="D463" s="86" t="str">
        <x:v>Sábado</x:v>
      </x:c>
      <x:c r="E463" s="86" t="n">
        <x:v>6</x:v>
      </x:c>
      <x:c r="F463" s="99" t="n">
        <x:v>0.75</x:v>
      </x:c>
      <x:c r="G463" s="91" t="n">
        <x:v>469.51</x:v>
      </x:c>
      <x:c r="H463" s="86" t="n">
        <x:v>1</x:v>
      </x:c>
      <x:c r="I463" s="87" t="n">
        <x:v>5</x:v>
      </x:c>
    </x:row>
    <x:row r="464">
      <x:c r="A464" s="85" t="n">
        <x:v>463</x:v>
      </x:c>
      <x:c r="B464" s="86" t="n">
        <x:v>372</x:v>
      </x:c>
      <x:c r="C464" s="95" t="n">
        <x:v>45760</x:v>
      </x:c>
      <x:c r="D464" s="86" t="str">
        <x:v>Domingo/Feriado</x:v>
      </x:c>
      <x:c r="E464" s="86" t="n">
        <x:v>3</x:v>
      </x:c>
      <x:c r="F464" s="99" t="n">
        <x:v>1</x:v>
      </x:c>
      <x:c r="G464" s="91" t="n">
        <x:v>100.87</x:v>
      </x:c>
      <x:c r="H464" s="86" t="n">
        <x:v>1</x:v>
      </x:c>
      <x:c r="I464" s="87" t="n">
        <x:v>2</x:v>
      </x:c>
    </x:row>
    <x:row r="465">
      <x:c r="A465" s="85" t="n">
        <x:v>464</x:v>
      </x:c>
      <x:c r="B465" s="86" t="n">
        <x:v>224</x:v>
      </x:c>
      <x:c r="C465" s="95" t="n">
        <x:v>45958</x:v>
      </x:c>
      <x:c r="D465" s="86" t="str">
        <x:v>Dia útil</x:v>
      </x:c>
      <x:c r="E465" s="86" t="n">
        <x:v>6</x:v>
      </x:c>
      <x:c r="F465" s="99" t="n">
        <x:v>0.5</x:v>
      </x:c>
      <x:c r="G465" s="91" t="n">
        <x:v>95.46</x:v>
      </x:c>
      <x:c r="H465" s="86" t="n">
        <x:v>0</x:v>
      </x:c>
      <x:c r="I465" s="87" t="n">
        <x:v>1</x:v>
      </x:c>
    </x:row>
    <x:row r="466">
      <x:c r="A466" s="85" t="n">
        <x:v>465</x:v>
      </x:c>
      <x:c r="B466" s="86" t="n">
        <x:v>244</x:v>
      </x:c>
      <x:c r="C466" s="95" t="n">
        <x:v>45987</x:v>
      </x:c>
      <x:c r="D466" s="86" t="str">
        <x:v>Dia útil</x:v>
      </x:c>
      <x:c r="E466" s="86" t="n">
        <x:v>3</x:v>
      </x:c>
      <x:c r="F466" s="99" t="n">
        <x:v>0.5</x:v>
      </x:c>
      <x:c r="G466" s="91" t="n">
        <x:v>69.18</x:v>
      </x:c>
      <x:c r="H466" s="86" t="n">
        <x:v>1</x:v>
      </x:c>
      <x:c r="I466" s="87" t="n">
        <x:v>1</x:v>
      </x:c>
    </x:row>
    <x:row r="467">
      <x:c r="A467" s="85" t="n">
        <x:v>466</x:v>
      </x:c>
      <x:c r="B467" s="86" t="n">
        <x:v>287</x:v>
      </x:c>
      <x:c r="C467" s="95" t="n">
        <x:v>45668</x:v>
      </x:c>
      <x:c r="D467" s="86" t="str">
        <x:v>Domingo/Feriado</x:v>
      </x:c>
      <x:c r="E467" s="86" t="n">
        <x:v>6</x:v>
      </x:c>
      <x:c r="F467" s="99" t="n">
        <x:v>1</x:v>
      </x:c>
      <x:c r="G467" s="91" t="n">
        <x:v>529.64</x:v>
      </x:c>
      <x:c r="H467" s="86" t="n">
        <x:v>1</x:v>
      </x:c>
      <x:c r="I467" s="87" t="n">
        <x:v>5</x:v>
      </x:c>
    </x:row>
    <x:row r="468">
      <x:c r="A468" s="85" t="n">
        <x:v>467</x:v>
      </x:c>
      <x:c r="B468" s="86" t="n">
        <x:v>355</x:v>
      </x:c>
      <x:c r="C468" s="95" t="n">
        <x:v>45569</x:v>
      </x:c>
      <x:c r="D468" s="86" t="str">
        <x:v>Dia útil</x:v>
      </x:c>
      <x:c r="E468" s="86" t="n">
        <x:v>2</x:v>
      </x:c>
      <x:c r="F468" s="99" t="n">
        <x:v>0.5</x:v>
      </x:c>
      <x:c r="G468" s="91" t="n">
        <x:v>36.06</x:v>
      </x:c>
      <x:c r="H468" s="86" t="n">
        <x:v>1</x:v>
      </x:c>
      <x:c r="I468" s="87" t="n">
        <x:v>1</x:v>
      </x:c>
    </x:row>
    <x:row r="469">
      <x:c r="A469" s="85" t="n">
        <x:v>468</x:v>
      </x:c>
      <x:c r="B469" s="86" t="n">
        <x:v>11</x:v>
      </x:c>
      <x:c r="C469" s="95" t="n">
        <x:v>45754</x:v>
      </x:c>
      <x:c r="D469" s="86" t="str">
        <x:v>Sábado</x:v>
      </x:c>
      <x:c r="E469" s="86" t="n">
        <x:v>3</x:v>
      </x:c>
      <x:c r="F469" s="99" t="n">
        <x:v>0.75</x:v>
      </x:c>
      <x:c r="G469" s="91" t="n">
        <x:v>190.48</x:v>
      </x:c>
      <x:c r="H469" s="86" t="n">
        <x:v>1</x:v>
      </x:c>
      <x:c r="I469" s="87" t="n">
        <x:v>9</x:v>
      </x:c>
    </x:row>
    <x:row r="470">
      <x:c r="A470" s="85" t="n">
        <x:v>469</x:v>
      </x:c>
      <x:c r="B470" s="86" t="n">
        <x:v>169</x:v>
      </x:c>
      <x:c r="C470" s="95" t="n">
        <x:v>45853</x:v>
      </x:c>
      <x:c r="D470" s="86" t="str">
        <x:v>Dia útil</x:v>
      </x:c>
      <x:c r="E470" s="86" t="n">
        <x:v>6</x:v>
      </x:c>
      <x:c r="F470" s="99" t="n">
        <x:v>0.5</x:v>
      </x:c>
      <x:c r="G470" s="91" t="n">
        <x:v>295.13</x:v>
      </x:c>
      <x:c r="H470" s="86" t="n">
        <x:v>1</x:v>
      </x:c>
      <x:c r="I470" s="87" t="n">
        <x:v>10</x:v>
      </x:c>
    </x:row>
    <x:row r="471">
      <x:c r="A471" s="85" t="n">
        <x:v>470</x:v>
      </x:c>
      <x:c r="B471" s="86" t="n">
        <x:v>203</x:v>
      </x:c>
      <x:c r="C471" s="95" t="n">
        <x:v>45366</x:v>
      </x:c>
      <x:c r="D471" s="86" t="str">
        <x:v>Domingo/Feriado</x:v>
      </x:c>
      <x:c r="E471" s="86" t="n">
        <x:v>6</x:v>
      </x:c>
      <x:c r="F471" s="99" t="n">
        <x:v>1</x:v>
      </x:c>
      <x:c r="G471" s="91" t="n">
        <x:v>262.31</x:v>
      </x:c>
      <x:c r="H471" s="86" t="n">
        <x:v>1</x:v>
      </x:c>
      <x:c r="I471" s="87" t="n">
        <x:v>8</x:v>
      </x:c>
    </x:row>
    <x:row r="472">
      <x:c r="A472" s="85" t="n">
        <x:v>471</x:v>
      </x:c>
      <x:c r="B472" s="86" t="n">
        <x:v>122</x:v>
      </x:c>
      <x:c r="C472" s="95" t="n">
        <x:v>45747</x:v>
      </x:c>
      <x:c r="D472" s="86" t="str">
        <x:v>Sábado</x:v>
      </x:c>
      <x:c r="E472" s="86" t="n">
        <x:v>8</x:v>
      </x:c>
      <x:c r="F472" s="99" t="n">
        <x:v>0.75</x:v>
      </x:c>
      <x:c r="G472" s="91" t="n">
        <x:v>144.45</x:v>
      </x:c>
      <x:c r="H472" s="86" t="n">
        <x:v>1</x:v>
      </x:c>
      <x:c r="I472" s="87" t="n">
        <x:v>1</x:v>
      </x:c>
    </x:row>
    <x:row r="473">
      <x:c r="A473" s="85" t="n">
        <x:v>472</x:v>
      </x:c>
      <x:c r="B473" s="86" t="n">
        <x:v>364</x:v>
      </x:c>
      <x:c r="C473" s="95" t="n">
        <x:v>45918</x:v>
      </x:c>
      <x:c r="D473" s="86" t="str">
        <x:v>Dia útil</x:v>
      </x:c>
      <x:c r="E473" s="86" t="n">
        <x:v>2</x:v>
      </x:c>
      <x:c r="F473" s="99" t="n">
        <x:v>0.5</x:v>
      </x:c>
      <x:c r="G473" s="91" t="n">
        <x:v>117.72</x:v>
      </x:c>
      <x:c r="H473" s="86" t="n">
        <x:v>1</x:v>
      </x:c>
      <x:c r="I473" s="87" t="n">
        <x:v>5</x:v>
      </x:c>
    </x:row>
    <x:row r="474">
      <x:c r="A474" s="85" t="n">
        <x:v>473</x:v>
      </x:c>
      <x:c r="B474" s="86" t="n">
        <x:v>304</x:v>
      </x:c>
      <x:c r="C474" s="95" t="n">
        <x:v>45601</x:v>
      </x:c>
      <x:c r="D474" s="86" t="str">
        <x:v>Dia útil</x:v>
      </x:c>
      <x:c r="E474" s="86" t="n">
        <x:v>8</x:v>
      </x:c>
      <x:c r="F474" s="99" t="n">
        <x:v>0.5</x:v>
      </x:c>
      <x:c r="G474" s="91" t="n">
        <x:v>127.3</x:v>
      </x:c>
      <x:c r="H474" s="86" t="n">
        <x:v>1</x:v>
      </x:c>
      <x:c r="I474" s="87" t="n">
        <x:v>1</x:v>
      </x:c>
    </x:row>
    <x:row r="475">
      <x:c r="A475" s="85" t="n">
        <x:v>474</x:v>
      </x:c>
      <x:c r="B475" s="86" t="n">
        <x:v>47</x:v>
      </x:c>
      <x:c r="C475" s="95" t="n">
        <x:v>45735</x:v>
      </x:c>
      <x:c r="D475" s="86" t="str">
        <x:v>Sábado</x:v>
      </x:c>
      <x:c r="E475" s="86" t="n">
        <x:v>1</x:v>
      </x:c>
      <x:c r="F475" s="99" t="n">
        <x:v>0.75</x:v>
      </x:c>
      <x:c r="G475" s="91" t="n">
        <x:v>24.77</x:v>
      </x:c>
      <x:c r="H475" s="86" t="n">
        <x:v>1</x:v>
      </x:c>
      <x:c r="I475" s="87" t="n">
        <x:v>1</x:v>
      </x:c>
    </x:row>
    <x:row r="476">
      <x:c r="A476" s="85" t="n">
        <x:v>475</x:v>
      </x:c>
      <x:c r="B476" s="86" t="n">
        <x:v>337</x:v>
      </x:c>
      <x:c r="C476" s="95" t="n">
        <x:v>45328</x:v>
      </x:c>
      <x:c r="D476" s="86" t="str">
        <x:v>Dia útil</x:v>
      </x:c>
      <x:c r="E476" s="86" t="n">
        <x:v>3</x:v>
      </x:c>
      <x:c r="F476" s="99" t="n">
        <x:v>0.5</x:v>
      </x:c>
      <x:c r="G476" s="91" t="n">
        <x:v>163.43</x:v>
      </x:c>
      <x:c r="H476" s="86" t="n">
        <x:v>1</x:v>
      </x:c>
      <x:c r="I476" s="87" t="n">
        <x:v>6</x:v>
      </x:c>
    </x:row>
    <x:row r="477">
      <x:c r="A477" s="85" t="n">
        <x:v>476</x:v>
      </x:c>
      <x:c r="B477" s="86" t="n">
        <x:v>161</x:v>
      </x:c>
      <x:c r="C477" s="95" t="n">
        <x:v>45396</x:v>
      </x:c>
      <x:c r="D477" s="86" t="str">
        <x:v>Sábado</x:v>
      </x:c>
      <x:c r="E477" s="86" t="n">
        <x:v>8</x:v>
      </x:c>
      <x:c r="F477" s="99" t="n">
        <x:v>0.75</x:v>
      </x:c>
      <x:c r="G477" s="91" t="n">
        <x:v>203.92</x:v>
      </x:c>
      <x:c r="H477" s="86" t="n">
        <x:v>1</x:v>
      </x:c>
      <x:c r="I477" s="87" t="n">
        <x:v>1</x:v>
      </x:c>
    </x:row>
    <x:row r="478">
      <x:c r="A478" s="85" t="n">
        <x:v>477</x:v>
      </x:c>
      <x:c r="B478" s="86" t="n">
        <x:v>254</x:v>
      </x:c>
      <x:c r="C478" s="95" t="n">
        <x:v>45745</x:v>
      </x:c>
      <x:c r="D478" s="86" t="str">
        <x:v>Sábado</x:v>
      </x:c>
      <x:c r="E478" s="86" t="n">
        <x:v>4</x:v>
      </x:c>
      <x:c r="F478" s="99" t="n">
        <x:v>0.75</x:v>
      </x:c>
      <x:c r="G478" s="91" t="n">
        <x:v>89.16</x:v>
      </x:c>
      <x:c r="H478" s="86" t="n">
        <x:v>1</x:v>
      </x:c>
      <x:c r="I478" s="87" t="n">
        <x:v>1</x:v>
      </x:c>
    </x:row>
    <x:row r="479">
      <x:c r="A479" s="85" t="n">
        <x:v>478</x:v>
      </x:c>
      <x:c r="B479" s="86" t="n">
        <x:v>395</x:v>
      </x:c>
      <x:c r="C479" s="95" t="n">
        <x:v>45983</x:v>
      </x:c>
      <x:c r="D479" s="86" t="str">
        <x:v>Dia útil</x:v>
      </x:c>
      <x:c r="E479" s="86" t="n">
        <x:v>8</x:v>
      </x:c>
      <x:c r="F479" s="99" t="n">
        <x:v>0.5</x:v>
      </x:c>
      <x:c r="G479" s="91" t="n">
        <x:v>324.36</x:v>
      </x:c>
      <x:c r="H479" s="86" t="n">
        <x:v>1</x:v>
      </x:c>
      <x:c r="I479" s="87" t="n">
        <x:v>4</x:v>
      </x:c>
    </x:row>
    <x:row r="480">
      <x:c r="A480" s="85" t="n">
        <x:v>479</x:v>
      </x:c>
      <x:c r="B480" s="86" t="n">
        <x:v>35</x:v>
      </x:c>
      <x:c r="C480" s="95" t="n">
        <x:v>45917</x:v>
      </x:c>
      <x:c r="D480" s="86" t="str">
        <x:v>Dia útil</x:v>
      </x:c>
      <x:c r="E480" s="86" t="n">
        <x:v>2</x:v>
      </x:c>
      <x:c r="F480" s="99" t="n">
        <x:v>0.5</x:v>
      </x:c>
      <x:c r="G480" s="91" t="n">
        <x:v>100.34</x:v>
      </x:c>
      <x:c r="H480" s="86" t="n">
        <x:v>1</x:v>
      </x:c>
      <x:c r="I480" s="87" t="n">
        <x:v>6</x:v>
      </x:c>
    </x:row>
    <x:row r="481">
      <x:c r="A481" s="85" t="n">
        <x:v>480</x:v>
      </x:c>
      <x:c r="B481" s="86" t="n">
        <x:v>169</x:v>
      </x:c>
      <x:c r="C481" s="95" t="n">
        <x:v>45818</x:v>
      </x:c>
      <x:c r="D481" s="86" t="str">
        <x:v>Dia útil</x:v>
      </x:c>
      <x:c r="E481" s="86" t="n">
        <x:v>4</x:v>
      </x:c>
      <x:c r="F481" s="99" t="n">
        <x:v>0.5</x:v>
      </x:c>
      <x:c r="G481" s="91" t="n">
        <x:v>196.75</x:v>
      </x:c>
      <x:c r="H481" s="86" t="n">
        <x:v>1</x:v>
      </x:c>
      <x:c r="I481" s="87" t="n">
        <x:v>10</x:v>
      </x:c>
    </x:row>
    <x:row r="482">
      <x:c r="A482" s="85" t="n">
        <x:v>481</x:v>
      </x:c>
      <x:c r="B482" s="86" t="n">
        <x:v>227</x:v>
      </x:c>
      <x:c r="C482" s="95" t="n">
        <x:v>45756</x:v>
      </x:c>
      <x:c r="D482" s="86" t="str">
        <x:v>Sábado</x:v>
      </x:c>
      <x:c r="E482" s="86" t="n">
        <x:v>8</x:v>
      </x:c>
      <x:c r="F482" s="99" t="n">
        <x:v>0.75</x:v>
      </x:c>
      <x:c r="G482" s="91" t="n">
        <x:v>398.07</x:v>
      </x:c>
      <x:c r="H482" s="86" t="n">
        <x:v>1</x:v>
      </x:c>
      <x:c r="I482" s="87" t="n">
        <x:v>10</x:v>
      </x:c>
    </x:row>
    <x:row r="483">
      <x:c r="A483" s="85" t="n">
        <x:v>482</x:v>
      </x:c>
      <x:c r="B483" s="86" t="n">
        <x:v>75</x:v>
      </x:c>
      <x:c r="C483" s="95" t="n">
        <x:v>45619</x:v>
      </x:c>
      <x:c r="D483" s="86" t="str">
        <x:v>Dia útil</x:v>
      </x:c>
      <x:c r="E483" s="86" t="n">
        <x:v>2</x:v>
      </x:c>
      <x:c r="F483" s="99" t="n">
        <x:v>0.5</x:v>
      </x:c>
      <x:c r="G483" s="91" t="n">
        <x:v>105.86</x:v>
      </x:c>
      <x:c r="H483" s="86" t="n">
        <x:v>1</x:v>
      </x:c>
      <x:c r="I483" s="87" t="n">
        <x:v>10</x:v>
      </x:c>
    </x:row>
    <x:row r="484">
      <x:c r="A484" s="85" t="n">
        <x:v>483</x:v>
      </x:c>
      <x:c r="B484" s="86" t="n">
        <x:v>197</x:v>
      </x:c>
      <x:c r="C484" s="95" t="n">
        <x:v>45638</x:v>
      </x:c>
      <x:c r="D484" s="86" t="str">
        <x:v>Dia útil</x:v>
      </x:c>
      <x:c r="E484" s="86" t="n">
        <x:v>2</x:v>
      </x:c>
      <x:c r="F484" s="99" t="n">
        <x:v>0.5</x:v>
      </x:c>
      <x:c r="G484" s="91" t="n">
        <x:v>48.16</x:v>
      </x:c>
      <x:c r="H484" s="86" t="n">
        <x:v>1</x:v>
      </x:c>
      <x:c r="I484" s="87" t="n">
        <x:v>1</x:v>
      </x:c>
    </x:row>
    <x:row r="485">
      <x:c r="A485" s="85" t="n">
        <x:v>484</x:v>
      </x:c>
      <x:c r="B485" s="86" t="n">
        <x:v>387</x:v>
      </x:c>
      <x:c r="C485" s="95" t="n">
        <x:v>45489</x:v>
      </x:c>
      <x:c r="D485" s="86" t="str">
        <x:v>Dia útil</x:v>
      </x:c>
      <x:c r="E485" s="86" t="n">
        <x:v>3</x:v>
      </x:c>
      <x:c r="F485" s="99" t="n">
        <x:v>0.5</x:v>
      </x:c>
      <x:c r="G485" s="91" t="n">
        <x:v>142.5</x:v>
      </x:c>
      <x:c r="H485" s="86" t="n">
        <x:v>1</x:v>
      </x:c>
      <x:c r="I485" s="87" t="n">
        <x:v>5</x:v>
      </x:c>
    </x:row>
    <x:row r="486">
      <x:c r="A486" s="85" t="n">
        <x:v>485</x:v>
      </x:c>
      <x:c r="B486" s="86" t="n">
        <x:v>177</x:v>
      </x:c>
      <x:c r="C486" s="95" t="n">
        <x:v>45996</x:v>
      </x:c>
      <x:c r="D486" s="86" t="str">
        <x:v>Dia útil</x:v>
      </x:c>
      <x:c r="E486" s="86" t="n">
        <x:v>2</x:v>
      </x:c>
      <x:c r="F486" s="99" t="n">
        <x:v>0.5</x:v>
      </x:c>
      <x:c r="G486" s="91" t="n">
        <x:v>121.18</x:v>
      </x:c>
      <x:c r="H486" s="86" t="n">
        <x:v>1</x:v>
      </x:c>
      <x:c r="I486" s="87" t="n">
        <x:v>3</x:v>
      </x:c>
    </x:row>
    <x:row r="487">
      <x:c r="A487" s="85" t="n">
        <x:v>486</x:v>
      </x:c>
      <x:c r="B487" s="86" t="n">
        <x:v>383</x:v>
      </x:c>
      <x:c r="C487" s="95" t="n">
        <x:v>46009</x:v>
      </x:c>
      <x:c r="D487" s="86" t="str">
        <x:v>Dia útil</x:v>
      </x:c>
      <x:c r="E487" s="86" t="n">
        <x:v>3</x:v>
      </x:c>
      <x:c r="F487" s="99" t="n">
        <x:v>0.5</x:v>
      </x:c>
      <x:c r="G487" s="91" t="n">
        <x:v>94.04</x:v>
      </x:c>
      <x:c r="H487" s="86" t="n">
        <x:v>0</x:v>
      </x:c>
      <x:c r="I487" s="87" t="n">
        <x:v>3</x:v>
      </x:c>
    </x:row>
    <x:row r="488">
      <x:c r="A488" s="85" t="n">
        <x:v>487</x:v>
      </x:c>
      <x:c r="B488" s="86" t="n">
        <x:v>412</x:v>
      </x:c>
      <x:c r="C488" s="95" t="n">
        <x:v>45784</x:v>
      </x:c>
      <x:c r="D488" s="86" t="str">
        <x:v>Domingo/Feriado</x:v>
      </x:c>
      <x:c r="E488" s="86" t="n">
        <x:v>8</x:v>
      </x:c>
      <x:c r="F488" s="99" t="n">
        <x:v>1</x:v>
      </x:c>
      <x:c r="G488" s="91" t="n">
        <x:v>375.38</x:v>
      </x:c>
      <x:c r="H488" s="86" t="n">
        <x:v>1</x:v>
      </x:c>
      <x:c r="I488" s="87" t="n">
        <x:v>10</x:v>
      </x:c>
    </x:row>
    <x:row r="489">
      <x:c r="A489" s="85" t="n">
        <x:v>488</x:v>
      </x:c>
      <x:c r="B489" s="86" t="n">
        <x:v>198</x:v>
      </x:c>
      <x:c r="C489" s="95" t="n">
        <x:v>45629</x:v>
      </x:c>
      <x:c r="D489" s="86" t="str">
        <x:v>Dia útil</x:v>
      </x:c>
      <x:c r="E489" s="86" t="n">
        <x:v>3</x:v>
      </x:c>
      <x:c r="F489" s="99" t="n">
        <x:v>0.5</x:v>
      </x:c>
      <x:c r="G489" s="91" t="n">
        <x:v>187.52</x:v>
      </x:c>
      <x:c r="H489" s="86" t="n">
        <x:v>1</x:v>
      </x:c>
      <x:c r="I489" s="87" t="n">
        <x:v>5</x:v>
      </x:c>
    </x:row>
    <x:row r="490">
      <x:c r="A490" s="85" t="n">
        <x:v>489</x:v>
      </x:c>
      <x:c r="B490" s="86" t="n">
        <x:v>303</x:v>
      </x:c>
      <x:c r="C490" s="95" t="n">
        <x:v>45915</x:v>
      </x:c>
      <x:c r="D490" s="86" t="str">
        <x:v>Sábado</x:v>
      </x:c>
      <x:c r="E490" s="86" t="n">
        <x:v>3</x:v>
      </x:c>
      <x:c r="F490" s="99" t="n">
        <x:v>0.75</x:v>
      </x:c>
      <x:c r="G490" s="91" t="n">
        <x:v>78.88</x:v>
      </x:c>
      <x:c r="H490" s="86" t="n">
        <x:v>1</x:v>
      </x:c>
      <x:c r="I490" s="87" t="n">
        <x:v>1</x:v>
      </x:c>
    </x:row>
    <x:row r="491">
      <x:c r="A491" s="85" t="n">
        <x:v>490</x:v>
      </x:c>
      <x:c r="B491" s="86" t="n">
        <x:v>310</x:v>
      </x:c>
      <x:c r="C491" s="95" t="n">
        <x:v>45954</x:v>
      </x:c>
      <x:c r="D491" s="86" t="str">
        <x:v>Domingo/Feriado</x:v>
      </x:c>
      <x:c r="E491" s="86" t="n">
        <x:v>1</x:v>
      </x:c>
      <x:c r="F491" s="99" t="n">
        <x:v>1</x:v>
      </x:c>
      <x:c r="G491" s="91" t="n">
        <x:v>24.67</x:v>
      </x:c>
      <x:c r="H491" s="86" t="n">
        <x:v>1</x:v>
      </x:c>
      <x:c r="I491" s="87" t="n">
        <x:v>1</x:v>
      </x:c>
    </x:row>
    <x:row r="492">
      <x:c r="A492" s="85" t="n">
        <x:v>491</x:v>
      </x:c>
      <x:c r="B492" s="86" t="n">
        <x:v>334</x:v>
      </x:c>
      <x:c r="C492" s="95" t="n">
        <x:v>45605</x:v>
      </x:c>
      <x:c r="D492" s="86" t="str">
        <x:v>Dia útil</x:v>
      </x:c>
      <x:c r="E492" s="86" t="n">
        <x:v>2</x:v>
      </x:c>
      <x:c r="F492" s="99" t="n">
        <x:v>0.5</x:v>
      </x:c>
      <x:c r="G492" s="91" t="n">
        <x:v>100.21</x:v>
      </x:c>
      <x:c r="H492" s="86" t="n">
        <x:v>1</x:v>
      </x:c>
      <x:c r="I492" s="87" t="n">
        <x:v>5</x:v>
      </x:c>
    </x:row>
    <x:row r="493">
      <x:c r="A493" s="85" t="n">
        <x:v>492</x:v>
      </x:c>
      <x:c r="B493" s="86" t="n">
        <x:v>353</x:v>
      </x:c>
      <x:c r="C493" s="95" t="n">
        <x:v>45967</x:v>
      </x:c>
      <x:c r="D493" s="86" t="str">
        <x:v>Domingo/Feriado</x:v>
      </x:c>
      <x:c r="E493" s="86" t="n">
        <x:v>3</x:v>
      </x:c>
      <x:c r="F493" s="99" t="n">
        <x:v>1</x:v>
      </x:c>
      <x:c r="G493" s="91" t="n">
        <x:v>65.34</x:v>
      </x:c>
      <x:c r="H493" s="86" t="n">
        <x:v>1</x:v>
      </x:c>
      <x:c r="I493" s="87" t="n">
        <x:v>1</x:v>
      </x:c>
    </x:row>
    <x:row r="494">
      <x:c r="A494" s="85" t="n">
        <x:v>493</x:v>
      </x:c>
      <x:c r="B494" s="86" t="n">
        <x:v>318</x:v>
      </x:c>
      <x:c r="C494" s="95" t="n">
        <x:v>45674</x:v>
      </x:c>
      <x:c r="D494" s="86" t="str">
        <x:v>Dia útil</x:v>
      </x:c>
      <x:c r="E494" s="86" t="n">
        <x:v>1</x:v>
      </x:c>
      <x:c r="F494" s="99" t="n">
        <x:v>0.5</x:v>
      </x:c>
      <x:c r="G494" s="91" t="n">
        <x:v>47.2</x:v>
      </x:c>
      <x:c r="H494" s="86" t="n">
        <x:v>1</x:v>
      </x:c>
      <x:c r="I494" s="87" t="n">
        <x:v>5</x:v>
      </x:c>
    </x:row>
    <x:row r="495">
      <x:c r="A495" s="85" t="n">
        <x:v>494</x:v>
      </x:c>
      <x:c r="B495" s="86" t="n">
        <x:v>10</x:v>
      </x:c>
      <x:c r="C495" s="95" t="n">
        <x:v>45890</x:v>
      </x:c>
      <x:c r="D495" s="86" t="str">
        <x:v>Dia útil</x:v>
      </x:c>
      <x:c r="E495" s="86" t="n">
        <x:v>6</x:v>
      </x:c>
      <x:c r="F495" s="99" t="n">
        <x:v>0.5</x:v>
      </x:c>
      <x:c r="G495" s="91" t="n">
        <x:v>286.38</x:v>
      </x:c>
      <x:c r="H495" s="86" t="n">
        <x:v>1</x:v>
      </x:c>
      <x:c r="I495" s="87" t="n">
        <x:v>1</x:v>
      </x:c>
    </x:row>
    <x:row r="496">
      <x:c r="A496" s="85" t="n">
        <x:v>495</x:v>
      </x:c>
      <x:c r="B496" s="86" t="n">
        <x:v>410</x:v>
      </x:c>
      <x:c r="C496" s="95" t="n">
        <x:v>45759</x:v>
      </x:c>
      <x:c r="D496" s="86" t="str">
        <x:v>Sábado</x:v>
      </x:c>
      <x:c r="E496" s="86" t="n">
        <x:v>8</x:v>
      </x:c>
      <x:c r="F496" s="99" t="n">
        <x:v>0.75</x:v>
      </x:c>
      <x:c r="G496" s="91" t="n">
        <x:v>210.52</x:v>
      </x:c>
      <x:c r="H496" s="86" t="n">
        <x:v>1</x:v>
      </x:c>
      <x:c r="I496" s="87" t="n">
        <x:v>2</x:v>
      </x:c>
    </x:row>
    <x:row r="497">
      <x:c r="A497" s="85" t="n">
        <x:v>496</x:v>
      </x:c>
      <x:c r="B497" s="86" t="n">
        <x:v>5</x:v>
      </x:c>
      <x:c r="C497" s="95" t="n">
        <x:v>45777</x:v>
      </x:c>
      <x:c r="D497" s="86" t="str">
        <x:v>Domingo/Feriado</x:v>
      </x:c>
      <x:c r="E497" s="86" t="n">
        <x:v>2</x:v>
      </x:c>
      <x:c r="F497" s="99" t="n">
        <x:v>1</x:v>
      </x:c>
      <x:c r="G497" s="91" t="n">
        <x:v>245.07</x:v>
      </x:c>
      <x:c r="H497" s="86" t="n">
        <x:v>1</x:v>
      </x:c>
      <x:c r="I497" s="87" t="n">
        <x:v>7</x:v>
      </x:c>
    </x:row>
    <x:row r="498">
      <x:c r="A498" s="85" t="n">
        <x:v>497</x:v>
      </x:c>
      <x:c r="B498" s="86" t="n">
        <x:v>399</x:v>
      </x:c>
      <x:c r="C498" s="95" t="n">
        <x:v>45728</x:v>
      </x:c>
      <x:c r="D498" s="86" t="str">
        <x:v>Dia útil</x:v>
      </x:c>
      <x:c r="E498" s="86" t="n">
        <x:v>4</x:v>
      </x:c>
      <x:c r="F498" s="99" t="n">
        <x:v>0.5</x:v>
      </x:c>
      <x:c r="G498" s="91" t="n">
        <x:v>92.55</x:v>
      </x:c>
      <x:c r="H498" s="86" t="n">
        <x:v>1</x:v>
      </x:c>
      <x:c r="I498" s="87" t="n">
        <x:v>1</x:v>
      </x:c>
    </x:row>
    <x:row r="499">
      <x:c r="A499" s="85" t="n">
        <x:v>498</x:v>
      </x:c>
      <x:c r="B499" s="86" t="n">
        <x:v>373</x:v>
      </x:c>
      <x:c r="C499" s="95" t="n">
        <x:v>45977</x:v>
      </x:c>
      <x:c r="D499" s="86" t="str">
        <x:v>Sábado</x:v>
      </x:c>
      <x:c r="E499" s="86" t="n">
        <x:v>6</x:v>
      </x:c>
      <x:c r="F499" s="99" t="n">
        <x:v>0.75</x:v>
      </x:c>
      <x:c r="G499" s="91" t="n">
        <x:v>155.5</x:v>
      </x:c>
      <x:c r="H499" s="86" t="n">
        <x:v>1</x:v>
      </x:c>
      <x:c r="I499" s="87" t="n">
        <x:v>1</x:v>
      </x:c>
    </x:row>
    <x:row r="500">
      <x:c r="A500" s="85" t="n">
        <x:v>499</x:v>
      </x:c>
      <x:c r="B500" s="86" t="n">
        <x:v>120</x:v>
      </x:c>
      <x:c r="C500" s="95" t="n">
        <x:v>45791</x:v>
      </x:c>
      <x:c r="D500" s="86" t="str">
        <x:v>Sábado</x:v>
      </x:c>
      <x:c r="E500" s="86" t="n">
        <x:v>6</x:v>
      </x:c>
      <x:c r="F500" s="99" t="n">
        <x:v>0.75</x:v>
      </x:c>
      <x:c r="G500" s="91" t="n">
        <x:v>459.64</x:v>
      </x:c>
      <x:c r="H500" s="86" t="n">
        <x:v>1</x:v>
      </x:c>
      <x:c r="I500" s="87" t="n">
        <x:v>5</x:v>
      </x:c>
    </x:row>
    <x:row r="501">
      <x:c r="A501" s="85" t="n">
        <x:v>500</x:v>
      </x:c>
      <x:c r="B501" s="86" t="n">
        <x:v>299</x:v>
      </x:c>
      <x:c r="C501" s="95" t="n">
        <x:v>45775</x:v>
      </x:c>
      <x:c r="D501" s="86" t="str">
        <x:v>Domingo/Feriado</x:v>
      </x:c>
      <x:c r="E501" s="86" t="n">
        <x:v>3</x:v>
      </x:c>
      <x:c r="F501" s="99" t="n">
        <x:v>1</x:v>
      </x:c>
      <x:c r="G501" s="91" t="n">
        <x:v>77.4</x:v>
      </x:c>
      <x:c r="H501" s="86" t="n">
        <x:v>1</x:v>
      </x:c>
      <x:c r="I501" s="87" t="n">
        <x:v>1</x:v>
      </x:c>
    </x:row>
    <x:row r="502">
      <x:c r="A502" s="85" t="n">
        <x:v>501</x:v>
      </x:c>
      <x:c r="B502" s="86" t="n">
        <x:v>204</x:v>
      </x:c>
      <x:c r="C502" s="95" t="n">
        <x:v>45658</x:v>
      </x:c>
      <x:c r="D502" s="86" t="str">
        <x:v>Dia útil</x:v>
      </x:c>
      <x:c r="E502" s="86" t="n">
        <x:v>8</x:v>
      </x:c>
      <x:c r="F502" s="99" t="n">
        <x:v>0.5</x:v>
      </x:c>
      <x:c r="G502" s="91" t="n">
        <x:v>276.11</x:v>
      </x:c>
      <x:c r="H502" s="86" t="n">
        <x:v>1</x:v>
      </x:c>
      <x:c r="I502" s="87" t="n">
        <x:v>6</x:v>
      </x:c>
    </x:row>
    <x:row r="503">
      <x:c r="A503" s="85" t="n">
        <x:v>502</x:v>
      </x:c>
      <x:c r="B503" s="86" t="n">
        <x:v>217</x:v>
      </x:c>
      <x:c r="C503" s="95" t="n">
        <x:v>45503</x:v>
      </x:c>
      <x:c r="D503" s="86" t="str">
        <x:v>Dia útil</x:v>
      </x:c>
      <x:c r="E503" s="86" t="n">
        <x:v>2</x:v>
      </x:c>
      <x:c r="F503" s="99" t="n">
        <x:v>0.5</x:v>
      </x:c>
      <x:c r="G503" s="91" t="n">
        <x:v>85.75</x:v>
      </x:c>
      <x:c r="H503" s="86" t="n">
        <x:v>1</x:v>
      </x:c>
      <x:c r="I503" s="87" t="n">
        <x:v>9</x:v>
      </x:c>
    </x:row>
    <x:row r="504">
      <x:c r="A504" s="85" t="n">
        <x:v>503</x:v>
      </x:c>
      <x:c r="B504" s="86" t="n">
        <x:v>58</x:v>
      </x:c>
      <x:c r="C504" s="95" t="n">
        <x:v>45900</x:v>
      </x:c>
      <x:c r="D504" s="86" t="str">
        <x:v>Dia útil</x:v>
      </x:c>
      <x:c r="E504" s="86" t="n">
        <x:v>8</x:v>
      </x:c>
      <x:c r="F504" s="99" t="n">
        <x:v>0.5</x:v>
      </x:c>
      <x:c r="G504" s="91" t="n">
        <x:v>264.09</x:v>
      </x:c>
      <x:c r="H504" s="86" t="n">
        <x:v>1</x:v>
      </x:c>
      <x:c r="I504" s="87" t="n">
        <x:v>6</x:v>
      </x:c>
    </x:row>
    <x:row r="505">
      <x:c r="A505" s="85" t="n">
        <x:v>504</x:v>
      </x:c>
      <x:c r="B505" s="86" t="n">
        <x:v>348</x:v>
      </x:c>
      <x:c r="C505" s="95" t="n">
        <x:v>45589</x:v>
      </x:c>
      <x:c r="D505" s="86" t="str">
        <x:v>Sábado</x:v>
      </x:c>
      <x:c r="E505" s="86" t="n">
        <x:v>1</x:v>
      </x:c>
      <x:c r="F505" s="99" t="n">
        <x:v>0.75</x:v>
      </x:c>
      <x:c r="G505" s="91" t="n">
        <x:v>38.39</x:v>
      </x:c>
      <x:c r="H505" s="86" t="n">
        <x:v>1</x:v>
      </x:c>
      <x:c r="I505" s="87" t="n">
        <x:v>7</x:v>
      </x:c>
    </x:row>
    <x:row r="506">
      <x:c r="A506" s="85" t="n">
        <x:v>505</x:v>
      </x:c>
      <x:c r="B506" s="86" t="n">
        <x:v>313</x:v>
      </x:c>
      <x:c r="C506" s="95" t="n">
        <x:v>45801</x:v>
      </x:c>
      <x:c r="D506" s="86" t="str">
        <x:v>Sábado</x:v>
      </x:c>
      <x:c r="E506" s="86" t="n">
        <x:v>4</x:v>
      </x:c>
      <x:c r="F506" s="99" t="n">
        <x:v>0.75</x:v>
      </x:c>
      <x:c r="G506" s="91" t="n">
        <x:v>81.26</x:v>
      </x:c>
      <x:c r="H506" s="86" t="n">
        <x:v>1</x:v>
      </x:c>
      <x:c r="I506" s="87" t="n">
        <x:v>1</x:v>
      </x:c>
    </x:row>
    <x:row r="507">
      <x:c r="A507" s="85" t="n">
        <x:v>506</x:v>
      </x:c>
      <x:c r="B507" s="86" t="n">
        <x:v>343</x:v>
      </x:c>
      <x:c r="C507" s="95" t="n">
        <x:v>45922</x:v>
      </x:c>
      <x:c r="D507" s="86" t="str">
        <x:v>Dia útil</x:v>
      </x:c>
      <x:c r="E507" s="86" t="n">
        <x:v>6</x:v>
      </x:c>
      <x:c r="F507" s="99" t="n">
        <x:v>0.5</x:v>
      </x:c>
      <x:c r="G507" s="91" t="n">
        <x:v>273.04</x:v>
      </x:c>
      <x:c r="H507" s="86" t="n">
        <x:v>1</x:v>
      </x:c>
      <x:c r="I507" s="87" t="n">
        <x:v>8</x:v>
      </x:c>
    </x:row>
    <x:row r="508">
      <x:c r="A508" s="85" t="n">
        <x:v>507</x:v>
      </x:c>
      <x:c r="B508" s="86" t="n">
        <x:v>318</x:v>
      </x:c>
      <x:c r="C508" s="95" t="n">
        <x:v>45727</x:v>
      </x:c>
      <x:c r="D508" s="86" t="str">
        <x:v>Dia útil</x:v>
      </x:c>
      <x:c r="E508" s="86" t="n">
        <x:v>1</x:v>
      </x:c>
      <x:c r="F508" s="99" t="n">
        <x:v>0.5</x:v>
      </x:c>
      <x:c r="G508" s="91" t="n">
        <x:v>47.2</x:v>
      </x:c>
      <x:c r="H508" s="86" t="n">
        <x:v>1</x:v>
      </x:c>
      <x:c r="I508" s="87" t="n">
        <x:v>5</x:v>
      </x:c>
    </x:row>
    <x:row r="509">
      <x:c r="A509" s="85" t="n">
        <x:v>508</x:v>
      </x:c>
      <x:c r="B509" s="86" t="n">
        <x:v>214</x:v>
      </x:c>
      <x:c r="C509" s="95" t="n">
        <x:v>45988</x:v>
      </x:c>
      <x:c r="D509" s="86" t="str">
        <x:v>Dia útil</x:v>
      </x:c>
      <x:c r="E509" s="86" t="n">
        <x:v>1</x:v>
      </x:c>
      <x:c r="F509" s="99" t="n">
        <x:v>0.5</x:v>
      </x:c>
      <x:c r="G509" s="91" t="n">
        <x:v>40.76</x:v>
      </x:c>
      <x:c r="H509" s="86" t="n">
        <x:v>1</x:v>
      </x:c>
      <x:c r="I509" s="87" t="n">
        <x:v>8</x:v>
      </x:c>
    </x:row>
    <x:row r="510">
      <x:c r="A510" s="85" t="n">
        <x:v>509</x:v>
      </x:c>
      <x:c r="B510" s="86" t="n">
        <x:v>54</x:v>
      </x:c>
      <x:c r="C510" s="95" t="n">
        <x:v>45806</x:v>
      </x:c>
      <x:c r="D510" s="86" t="str">
        <x:v>Domingo/Feriado</x:v>
      </x:c>
      <x:c r="E510" s="86" t="n">
        <x:v>2</x:v>
      </x:c>
      <x:c r="F510" s="99" t="n">
        <x:v>1</x:v>
      </x:c>
      <x:c r="G510" s="91" t="n">
        <x:v>66.8</x:v>
      </x:c>
      <x:c r="H510" s="86" t="n">
        <x:v>1</x:v>
      </x:c>
      <x:c r="I510" s="87" t="n">
        <x:v>10</x:v>
      </x:c>
    </x:row>
    <x:row r="511">
      <x:c r="A511" s="85" t="n">
        <x:v>510</x:v>
      </x:c>
      <x:c r="B511" s="86" t="n">
        <x:v>252</x:v>
      </x:c>
      <x:c r="C511" s="95" t="n">
        <x:v>46014</x:v>
      </x:c>
      <x:c r="D511" s="86" t="str">
        <x:v>Domingo/Feriado</x:v>
      </x:c>
      <x:c r="E511" s="86" t="n">
        <x:v>3</x:v>
      </x:c>
      <x:c r="F511" s="99" t="n">
        <x:v>1</x:v>
      </x:c>
      <x:c r="G511" s="91" t="n">
        <x:v>281.9</x:v>
      </x:c>
      <x:c r="H511" s="86" t="n">
        <x:v>1</x:v>
      </x:c>
      <x:c r="I511" s="87" t="n">
        <x:v>5</x:v>
      </x:c>
    </x:row>
    <x:row r="512">
      <x:c r="A512" s="85" t="n">
        <x:v>511</x:v>
      </x:c>
      <x:c r="B512" s="86" t="n">
        <x:v>137</x:v>
      </x:c>
      <x:c r="C512" s="95" t="n">
        <x:v>45905</x:v>
      </x:c>
      <x:c r="D512" s="86" t="str">
        <x:v>Dia útil</x:v>
      </x:c>
      <x:c r="E512" s="86" t="n">
        <x:v>1</x:v>
      </x:c>
      <x:c r="F512" s="99" t="n">
        <x:v>0.5</x:v>
      </x:c>
      <x:c r="G512" s="91" t="n">
        <x:v>52.41</x:v>
      </x:c>
      <x:c r="H512" s="86" t="n">
        <x:v>0</x:v>
      </x:c>
      <x:c r="I512" s="87" t="n">
        <x:v>10</x:v>
      </x:c>
    </x:row>
    <x:row r="513">
      <x:c r="A513" s="85" t="n">
        <x:v>512</x:v>
      </x:c>
      <x:c r="B513" s="86" t="n">
        <x:v>245</x:v>
      </x:c>
      <x:c r="C513" s="95" t="n">
        <x:v>45664</x:v>
      </x:c>
      <x:c r="D513" s="86" t="str">
        <x:v>Dia útil</x:v>
      </x:c>
      <x:c r="E513" s="86" t="n">
        <x:v>2</x:v>
      </x:c>
      <x:c r="F513" s="99" t="n">
        <x:v>0.5</x:v>
      </x:c>
      <x:c r="G513" s="91" t="n">
        <x:v>54.89</x:v>
      </x:c>
      <x:c r="H513" s="86" t="n">
        <x:v>1</x:v>
      </x:c>
      <x:c r="I513" s="87" t="n">
        <x:v>3</x:v>
      </x:c>
    </x:row>
    <x:row r="514">
      <x:c r="A514" s="85" t="n">
        <x:v>513</x:v>
      </x:c>
      <x:c r="B514" s="86" t="n">
        <x:v>151</x:v>
      </x:c>
      <x:c r="C514" s="95" t="n">
        <x:v>45755</x:v>
      </x:c>
      <x:c r="D514" s="86" t="str">
        <x:v>Sábado</x:v>
      </x:c>
      <x:c r="E514" s="86" t="n">
        <x:v>1</x:v>
      </x:c>
      <x:c r="F514" s="99" t="n">
        <x:v>0.75</x:v>
      </x:c>
      <x:c r="G514" s="91" t="n">
        <x:v>37.9</x:v>
      </x:c>
      <x:c r="H514" s="86" t="n">
        <x:v>1</x:v>
      </x:c>
      <x:c r="I514" s="87" t="n">
        <x:v>2</x:v>
      </x:c>
    </x:row>
    <x:row r="515">
      <x:c r="A515" s="85" t="n">
        <x:v>514</x:v>
      </x:c>
      <x:c r="B515" s="86" t="n">
        <x:v>122</x:v>
      </x:c>
      <x:c r="C515" s="95" t="n">
        <x:v>45727</x:v>
      </x:c>
      <x:c r="D515" s="86" t="str">
        <x:v>Dia útil</x:v>
      </x:c>
      <x:c r="E515" s="86" t="n">
        <x:v>3</x:v>
      </x:c>
      <x:c r="F515" s="99" t="n">
        <x:v>0.5</x:v>
      </x:c>
      <x:c r="G515" s="91" t="n">
        <x:v>46.43</x:v>
      </x:c>
      <x:c r="H515" s="86" t="n">
        <x:v>1</x:v>
      </x:c>
      <x:c r="I515" s="87" t="n">
        <x:v>1</x:v>
      </x:c>
    </x:row>
    <x:row r="516">
      <x:c r="A516" s="85" t="n">
        <x:v>515</x:v>
      </x:c>
      <x:c r="B516" s="86" t="n">
        <x:v>87</x:v>
      </x:c>
      <x:c r="C516" s="95" t="n">
        <x:v>45916</x:v>
      </x:c>
      <x:c r="D516" s="86" t="str">
        <x:v>Dia útil</x:v>
      </x:c>
      <x:c r="E516" s="86" t="n">
        <x:v>4</x:v>
      </x:c>
      <x:c r="F516" s="99" t="n">
        <x:v>0.5</x:v>
      </x:c>
      <x:c r="G516" s="91" t="n">
        <x:v>108.5</x:v>
      </x:c>
      <x:c r="H516" s="86" t="n">
        <x:v>1</x:v>
      </x:c>
      <x:c r="I516" s="87" t="n">
        <x:v>2</x:v>
      </x:c>
    </x:row>
    <x:row r="517">
      <x:c r="A517" s="85" t="n">
        <x:v>516</x:v>
      </x:c>
      <x:c r="B517" s="86" t="n">
        <x:v>215</x:v>
      </x:c>
      <x:c r="C517" s="95" t="n">
        <x:v>45977</x:v>
      </x:c>
      <x:c r="D517" s="86" t="str">
        <x:v>Sábado</x:v>
      </x:c>
      <x:c r="E517" s="86" t="n">
        <x:v>2</x:v>
      </x:c>
      <x:c r="F517" s="99" t="n">
        <x:v>0.75</x:v>
      </x:c>
      <x:c r="G517" s="91" t="n">
        <x:v>92.95</x:v>
      </x:c>
      <x:c r="H517" s="86" t="n">
        <x:v>1</x:v>
      </x:c>
      <x:c r="I517" s="87" t="n">
        <x:v>6</x:v>
      </x:c>
    </x:row>
    <x:row r="518">
      <x:c r="A518" s="85" t="n">
        <x:v>517</x:v>
      </x:c>
      <x:c r="B518" s="86" t="n">
        <x:v>141</x:v>
      </x:c>
      <x:c r="C518" s="95" t="n">
        <x:v>45861</x:v>
      </x:c>
      <x:c r="D518" s="86" t="str">
        <x:v>Dia útil</x:v>
      </x:c>
      <x:c r="E518" s="86" t="n">
        <x:v>1</x:v>
      </x:c>
      <x:c r="F518" s="99" t="n">
        <x:v>0.5</x:v>
      </x:c>
      <x:c r="G518" s="91" t="n">
        <x:v>29.61</x:v>
      </x:c>
      <x:c r="H518" s="86" t="n">
        <x:v>1</x:v>
      </x:c>
      <x:c r="I518" s="87" t="n">
        <x:v>4</x:v>
      </x:c>
    </x:row>
    <x:row r="519">
      <x:c r="A519" s="85" t="n">
        <x:v>518</x:v>
      </x:c>
      <x:c r="B519" s="86" t="n">
        <x:v>384</x:v>
      </x:c>
      <x:c r="C519" s="95" t="n">
        <x:v>45861</x:v>
      </x:c>
      <x:c r="D519" s="86" t="str">
        <x:v>Dia útil</x:v>
      </x:c>
      <x:c r="E519" s="86" t="n">
        <x:v>4</x:v>
      </x:c>
      <x:c r="F519" s="99" t="n">
        <x:v>0.5</x:v>
      </x:c>
      <x:c r="G519" s="91" t="n">
        <x:v>243.11</x:v>
      </x:c>
      <x:c r="H519" s="86" t="n">
        <x:v>0</x:v>
      </x:c>
      <x:c r="I519" s="87" t="n">
        <x:v>5</x:v>
      </x:c>
    </x:row>
    <x:row r="520">
      <x:c r="A520" s="85" t="n">
        <x:v>519</x:v>
      </x:c>
      <x:c r="B520" s="86" t="n">
        <x:v>300</x:v>
      </x:c>
      <x:c r="C520" s="95" t="n">
        <x:v>45750</x:v>
      </x:c>
      <x:c r="D520" s="86" t="str">
        <x:v>Domingo/Feriado</x:v>
      </x:c>
      <x:c r="E520" s="86" t="n">
        <x:v>8</x:v>
      </x:c>
      <x:c r="F520" s="99" t="n">
        <x:v>1</x:v>
      </x:c>
      <x:c r="G520" s="91" t="n">
        <x:v>361.9</x:v>
      </x:c>
      <x:c r="H520" s="86" t="n">
        <x:v>1</x:v>
      </x:c>
      <x:c r="I520" s="87" t="n">
        <x:v>8</x:v>
      </x:c>
    </x:row>
    <x:row r="521">
      <x:c r="A521" s="85" t="n">
        <x:v>520</x:v>
      </x:c>
      <x:c r="B521" s="86" t="n">
        <x:v>199</x:v>
      </x:c>
      <x:c r="C521" s="95" t="n">
        <x:v>45742</x:v>
      </x:c>
      <x:c r="D521" s="86" t="str">
        <x:v>Dia útil</x:v>
      </x:c>
      <x:c r="E521" s="86" t="n">
        <x:v>2</x:v>
      </x:c>
      <x:c r="F521" s="99" t="n">
        <x:v>0.5</x:v>
      </x:c>
      <x:c r="G521" s="91" t="n">
        <x:v>79.95</x:v>
      </x:c>
      <x:c r="H521" s="86" t="n">
        <x:v>1</x:v>
      </x:c>
      <x:c r="I521" s="87" t="n">
        <x:v>9</x:v>
      </x:c>
    </x:row>
    <x:row r="522">
      <x:c r="A522" s="85" t="n">
        <x:v>521</x:v>
      </x:c>
      <x:c r="B522" s="86" t="n">
        <x:v>394</x:v>
      </x:c>
      <x:c r="C522" s="95" t="n">
        <x:v>46022</x:v>
      </x:c>
      <x:c r="D522" s="86" t="str">
        <x:v>Dia útil</x:v>
      </x:c>
      <x:c r="E522" s="86" t="n">
        <x:v>2</x:v>
      </x:c>
      <x:c r="F522" s="99" t="n">
        <x:v>0.5</x:v>
      </x:c>
      <x:c r="G522" s="91" t="n">
        <x:v>84.14</x:v>
      </x:c>
      <x:c r="H522" s="86" t="n">
        <x:v>1</x:v>
      </x:c>
      <x:c r="I522" s="87" t="n">
        <x:v>9</x:v>
      </x:c>
    </x:row>
    <x:row r="523">
      <x:c r="A523" s="85" t="n">
        <x:v>522</x:v>
      </x:c>
      <x:c r="B523" s="86" t="n">
        <x:v>138</x:v>
      </x:c>
      <x:c r="C523" s="95" t="n">
        <x:v>45456</x:v>
      </x:c>
      <x:c r="D523" s="86" t="str">
        <x:v>Sábado</x:v>
      </x:c>
      <x:c r="E523" s="86" t="n">
        <x:v>6</x:v>
      </x:c>
      <x:c r="F523" s="99" t="n">
        <x:v>0.75</x:v>
      </x:c>
      <x:c r="G523" s="91" t="n">
        <x:v>277.04</x:v>
      </x:c>
      <x:c r="H523" s="86" t="n">
        <x:v>1</x:v>
      </x:c>
      <x:c r="I523" s="87" t="n">
        <x:v>7</x:v>
      </x:c>
    </x:row>
    <x:row r="524">
      <x:c r="A524" s="85" t="n">
        <x:v>523</x:v>
      </x:c>
      <x:c r="B524" s="86" t="n">
        <x:v>84</x:v>
      </x:c>
      <x:c r="C524" s="95" t="n">
        <x:v>45938</x:v>
      </x:c>
      <x:c r="D524" s="86" t="str">
        <x:v>Dia útil</x:v>
      </x:c>
      <x:c r="E524" s="86" t="n">
        <x:v>6</x:v>
      </x:c>
      <x:c r="F524" s="99" t="n">
        <x:v>0.5</x:v>
      </x:c>
      <x:c r="G524" s="91" t="n">
        <x:v>228.03</x:v>
      </x:c>
      <x:c r="H524" s="86" t="n">
        <x:v>1</x:v>
      </x:c>
      <x:c r="I524" s="87" t="n">
        <x:v>4</x:v>
      </x:c>
    </x:row>
    <x:row r="525">
      <x:c r="A525" s="85" t="n">
        <x:v>524</x:v>
      </x:c>
      <x:c r="B525" s="86" t="n">
        <x:v>80</x:v>
      </x:c>
      <x:c r="C525" s="95" t="n">
        <x:v>45800</x:v>
      </x:c>
      <x:c r="D525" s="86" t="str">
        <x:v>Dia útil</x:v>
      </x:c>
      <x:c r="E525" s="86" t="n">
        <x:v>1</x:v>
      </x:c>
      <x:c r="F525" s="99" t="n">
        <x:v>0.5</x:v>
      </x:c>
      <x:c r="G525" s="91" t="n">
        <x:v>43.78</x:v>
      </x:c>
      <x:c r="H525" s="86" t="n">
        <x:v>1</x:v>
      </x:c>
      <x:c r="I525" s="87" t="n">
        <x:v>9</x:v>
      </x:c>
    </x:row>
    <x:row r="526">
      <x:c r="A526" s="85" t="n">
        <x:v>525</x:v>
      </x:c>
      <x:c r="B526" s="86" t="n">
        <x:v>326</x:v>
      </x:c>
      <x:c r="C526" s="95" t="n">
        <x:v>45705</x:v>
      </x:c>
      <x:c r="D526" s="86" t="str">
        <x:v>Sábado</x:v>
      </x:c>
      <x:c r="E526" s="86" t="n">
        <x:v>2</x:v>
      </x:c>
      <x:c r="F526" s="99" t="n">
        <x:v>0.75</x:v>
      </x:c>
      <x:c r="G526" s="91" t="n">
        <x:v>266.96</x:v>
      </x:c>
      <x:c r="H526" s="86" t="n">
        <x:v>1</x:v>
      </x:c>
      <x:c r="I526" s="87" t="n">
        <x:v>5</x:v>
      </x:c>
    </x:row>
    <x:row r="527">
      <x:c r="A527" s="85" t="n">
        <x:v>526</x:v>
      </x:c>
      <x:c r="B527" s="86" t="n">
        <x:v>62</x:v>
      </x:c>
      <x:c r="C527" s="95" t="n">
        <x:v>45521</x:v>
      </x:c>
      <x:c r="D527" s="86" t="str">
        <x:v>Sábado</x:v>
      </x:c>
      <x:c r="E527" s="86" t="n">
        <x:v>6</x:v>
      </x:c>
      <x:c r="F527" s="99" t="n">
        <x:v>0.75</x:v>
      </x:c>
      <x:c r="G527" s="91" t="n">
        <x:v>215.64</x:v>
      </x:c>
      <x:c r="H527" s="86" t="n">
        <x:v>1</x:v>
      </x:c>
      <x:c r="I527" s="87" t="n">
        <x:v>2</x:v>
      </x:c>
    </x:row>
    <x:row r="528">
      <x:c r="A528" s="85" t="n">
        <x:v>527</x:v>
      </x:c>
      <x:c r="B528" s="86" t="n">
        <x:v>191</x:v>
      </x:c>
      <x:c r="C528" s="95" t="n">
        <x:v>45545</x:v>
      </x:c>
      <x:c r="D528" s="86" t="str">
        <x:v>Sábado</x:v>
      </x:c>
      <x:c r="E528" s="86" t="n">
        <x:v>6</x:v>
      </x:c>
      <x:c r="F528" s="99" t="n">
        <x:v>0.75</x:v>
      </x:c>
      <x:c r="G528" s="91" t="n">
        <x:v>239.59</x:v>
      </x:c>
      <x:c r="H528" s="86" t="n">
        <x:v>1</x:v>
      </x:c>
      <x:c r="I528" s="87" t="n">
        <x:v>10</x:v>
      </x:c>
    </x:row>
    <x:row r="529">
      <x:c r="A529" s="85" t="n">
        <x:v>528</x:v>
      </x:c>
      <x:c r="B529" s="86" t="n">
        <x:v>258</x:v>
      </x:c>
      <x:c r="C529" s="95" t="n">
        <x:v>45482</x:v>
      </x:c>
      <x:c r="D529" s="86" t="str">
        <x:v>Dia útil</x:v>
      </x:c>
      <x:c r="E529" s="86" t="n">
        <x:v>3</x:v>
      </x:c>
      <x:c r="F529" s="99" t="n">
        <x:v>0.5</x:v>
      </x:c>
      <x:c r="G529" s="91" t="n">
        <x:v>70.88</x:v>
      </x:c>
      <x:c r="H529" s="86" t="n">
        <x:v>1</x:v>
      </x:c>
      <x:c r="I529" s="87" t="n">
        <x:v>1</x:v>
      </x:c>
    </x:row>
    <x:row r="530">
      <x:c r="A530" s="85" t="n">
        <x:v>529</x:v>
      </x:c>
      <x:c r="B530" s="86" t="n">
        <x:v>293</x:v>
      </x:c>
      <x:c r="C530" s="95" t="n">
        <x:v>46016</x:v>
      </x:c>
      <x:c r="D530" s="86" t="str">
        <x:v>Dia útil</x:v>
      </x:c>
      <x:c r="E530" s="86" t="n">
        <x:v>2</x:v>
      </x:c>
      <x:c r="F530" s="99" t="n">
        <x:v>0.5</x:v>
      </x:c>
      <x:c r="G530" s="91" t="n">
        <x:v>39.69</x:v>
      </x:c>
      <x:c r="H530" s="86" t="n">
        <x:v>1</x:v>
      </x:c>
      <x:c r="I530" s="87" t="n">
        <x:v>1</x:v>
      </x:c>
    </x:row>
    <x:row r="531">
      <x:c r="A531" s="85" t="n">
        <x:v>530</x:v>
      </x:c>
      <x:c r="B531" s="86" t="n">
        <x:v>361</x:v>
      </x:c>
      <x:c r="C531" s="95" t="n">
        <x:v>45977</x:v>
      </x:c>
      <x:c r="D531" s="86" t="str">
        <x:v>Domingo/Feriado</x:v>
      </x:c>
      <x:c r="E531" s="86" t="n">
        <x:v>4</x:v>
      </x:c>
      <x:c r="F531" s="99" t="n">
        <x:v>1</x:v>
      </x:c>
      <x:c r="G531" s="91" t="n">
        <x:v>201.71</x:v>
      </x:c>
      <x:c r="H531" s="86" t="n">
        <x:v>1</x:v>
      </x:c>
      <x:c r="I531" s="87" t="n">
        <x:v>8</x:v>
      </x:c>
    </x:row>
    <x:row r="532">
      <x:c r="A532" s="85" t="n">
        <x:v>531</x:v>
      </x:c>
      <x:c r="B532" s="86" t="n">
        <x:v>112</x:v>
      </x:c>
      <x:c r="C532" s="95" t="n">
        <x:v>46015</x:v>
      </x:c>
      <x:c r="D532" s="86" t="str">
        <x:v>Dia útil</x:v>
      </x:c>
      <x:c r="E532" s="86" t="n">
        <x:v>3</x:v>
      </x:c>
      <x:c r="F532" s="99" t="n">
        <x:v>0.5</x:v>
      </x:c>
      <x:c r="G532" s="91" t="n">
        <x:v>92.92</x:v>
      </x:c>
      <x:c r="H532" s="86" t="n">
        <x:v>1</x:v>
      </x:c>
      <x:c r="I532" s="87" t="n">
        <x:v>2</x:v>
      </x:c>
    </x:row>
    <x:row r="533">
      <x:c r="A533" s="85" t="n">
        <x:v>532</x:v>
      </x:c>
      <x:c r="B533" s="86" t="n">
        <x:v>117</x:v>
      </x:c>
      <x:c r="C533" s="95" t="n">
        <x:v>45814</x:v>
      </x:c>
      <x:c r="D533" s="86" t="str">
        <x:v>Sábado</x:v>
      </x:c>
      <x:c r="E533" s="86" t="n">
        <x:v>3</x:v>
      </x:c>
      <x:c r="F533" s="99" t="n">
        <x:v>0.75</x:v>
      </x:c>
      <x:c r="G533" s="91" t="n">
        <x:v>182.76</x:v>
      </x:c>
      <x:c r="H533" s="86" t="n">
        <x:v>1</x:v>
      </x:c>
      <x:c r="I533" s="87" t="n">
        <x:v>5</x:v>
      </x:c>
    </x:row>
    <x:row r="534">
      <x:c r="A534" s="85" t="n">
        <x:v>533</x:v>
      </x:c>
      <x:c r="B534" s="86" t="n">
        <x:v>401</x:v>
      </x:c>
      <x:c r="C534" s="95" t="n">
        <x:v>45849</x:v>
      </x:c>
      <x:c r="D534" s="86" t="str">
        <x:v>Sábado</x:v>
      </x:c>
      <x:c r="E534" s="86" t="n">
        <x:v>2</x:v>
      </x:c>
      <x:c r="F534" s="99" t="n">
        <x:v>0.75</x:v>
      </x:c>
      <x:c r="G534" s="91" t="n">
        <x:v>119.12</x:v>
      </x:c>
      <x:c r="H534" s="86" t="n">
        <x:v>1</x:v>
      </x:c>
      <x:c r="I534" s="87" t="n">
        <x:v>1</x:v>
      </x:c>
    </x:row>
    <x:row r="535">
      <x:c r="A535" s="85" t="n">
        <x:v>534</x:v>
      </x:c>
      <x:c r="B535" s="86" t="n">
        <x:v>205</x:v>
      </x:c>
      <x:c r="C535" s="95" t="n">
        <x:v>45954</x:v>
      </x:c>
      <x:c r="D535" s="86" t="str">
        <x:v>Sábado</x:v>
      </x:c>
      <x:c r="E535" s="86" t="n">
        <x:v>1</x:v>
      </x:c>
      <x:c r="F535" s="99" t="n">
        <x:v>0.75</x:v>
      </x:c>
      <x:c r="G535" s="91" t="n">
        <x:v>34.08</x:v>
      </x:c>
      <x:c r="H535" s="86" t="n">
        <x:v>1</x:v>
      </x:c>
      <x:c r="I535" s="87" t="n">
        <x:v>4</x:v>
      </x:c>
    </x:row>
    <x:row r="536">
      <x:c r="A536" s="85" t="n">
        <x:v>535</x:v>
      </x:c>
      <x:c r="B536" s="86" t="n">
        <x:v>142</x:v>
      </x:c>
      <x:c r="C536" s="95" t="n">
        <x:v>46022</x:v>
      </x:c>
      <x:c r="D536" s="86" t="str">
        <x:v>Dia útil</x:v>
      </x:c>
      <x:c r="E536" s="86" t="n">
        <x:v>3</x:v>
      </x:c>
      <x:c r="F536" s="99" t="n">
        <x:v>0.5</x:v>
      </x:c>
      <x:c r="G536" s="91" t="n">
        <x:v>97.25</x:v>
      </x:c>
      <x:c r="H536" s="86" t="n">
        <x:v>1</x:v>
      </x:c>
      <x:c r="I536" s="87" t="n">
        <x:v>4</x:v>
      </x:c>
    </x:row>
    <x:row r="537">
      <x:c r="A537" s="85" t="n">
        <x:v>536</x:v>
      </x:c>
      <x:c r="B537" s="86" t="n">
        <x:v>340</x:v>
      </x:c>
      <x:c r="C537" s="95" t="n">
        <x:v>45658</x:v>
      </x:c>
      <x:c r="D537" s="86" t="str">
        <x:v>Domingo/Feriado</x:v>
      </x:c>
      <x:c r="E537" s="86" t="n">
        <x:v>1</x:v>
      </x:c>
      <x:c r="F537" s="99" t="n">
        <x:v>1</x:v>
      </x:c>
      <x:c r="G537" s="91" t="n">
        <x:v>24.14</x:v>
      </x:c>
      <x:c r="H537" s="86" t="n">
        <x:v>1</x:v>
      </x:c>
      <x:c r="I537" s="87" t="n">
        <x:v>1</x:v>
      </x:c>
    </x:row>
    <x:row r="538">
      <x:c r="A538" s="85" t="n">
        <x:v>537</x:v>
      </x:c>
      <x:c r="B538" s="86" t="n">
        <x:v>192</x:v>
      </x:c>
      <x:c r="C538" s="95" t="n">
        <x:v>45667</x:v>
      </x:c>
      <x:c r="D538" s="86" t="str">
        <x:v>Dia útil</x:v>
      </x:c>
      <x:c r="E538" s="86" t="n">
        <x:v>2</x:v>
      </x:c>
      <x:c r="F538" s="99" t="n">
        <x:v>0.5</x:v>
      </x:c>
      <x:c r="G538" s="91" t="n">
        <x:v>109.87</x:v>
      </x:c>
      <x:c r="H538" s="86" t="n">
        <x:v>1</x:v>
      </x:c>
      <x:c r="I538" s="87" t="n">
        <x:v>9</x:v>
      </x:c>
    </x:row>
    <x:row r="539">
      <x:c r="A539" s="85" t="n">
        <x:v>538</x:v>
      </x:c>
      <x:c r="B539" s="86" t="n">
        <x:v>333</x:v>
      </x:c>
      <x:c r="C539" s="95" t="n">
        <x:v>45309</x:v>
      </x:c>
      <x:c r="D539" s="86" t="str">
        <x:v>Dia útil</x:v>
      </x:c>
      <x:c r="E539" s="86" t="n">
        <x:v>3</x:v>
      </x:c>
      <x:c r="F539" s="99" t="n">
        <x:v>0.5</x:v>
      </x:c>
      <x:c r="G539" s="91" t="n">
        <x:v>171.83</x:v>
      </x:c>
      <x:c r="H539" s="86" t="n">
        <x:v>1</x:v>
      </x:c>
      <x:c r="I539" s="87" t="n">
        <x:v>6</x:v>
      </x:c>
    </x:row>
    <x:row r="540">
      <x:c r="A540" s="85" t="n">
        <x:v>539</x:v>
      </x:c>
      <x:c r="B540" s="86" t="n">
        <x:v>287</x:v>
      </x:c>
      <x:c r="C540" s="95" t="n">
        <x:v>45373</x:v>
      </x:c>
      <x:c r="D540" s="86" t="str">
        <x:v>Dia útil</x:v>
      </x:c>
      <x:c r="E540" s="86" t="n">
        <x:v>2</x:v>
      </x:c>
      <x:c r="F540" s="99" t="n">
        <x:v>0.5</x:v>
      </x:c>
      <x:c r="G540" s="91" t="n">
        <x:v>132.41</x:v>
      </x:c>
      <x:c r="H540" s="86" t="n">
        <x:v>1</x:v>
      </x:c>
      <x:c r="I540" s="87" t="n">
        <x:v>5</x:v>
      </x:c>
    </x:row>
    <x:row r="541">
      <x:c r="A541" s="85" t="n">
        <x:v>540</x:v>
      </x:c>
      <x:c r="B541" s="86" t="n">
        <x:v>193</x:v>
      </x:c>
      <x:c r="C541" s="95" t="n">
        <x:v>45989</x:v>
      </x:c>
      <x:c r="D541" s="86" t="str">
        <x:v>Dia útil</x:v>
      </x:c>
      <x:c r="E541" s="86" t="n">
        <x:v>3</x:v>
      </x:c>
      <x:c r="F541" s="99" t="n">
        <x:v>0.5</x:v>
      </x:c>
      <x:c r="G541" s="91" t="n">
        <x:v>125.22</x:v>
      </x:c>
      <x:c r="H541" s="86" t="n">
        <x:v>1</x:v>
      </x:c>
      <x:c r="I541" s="87" t="n">
        <x:v>6</x:v>
      </x:c>
    </x:row>
    <x:row r="542">
      <x:c r="A542" s="85" t="n">
        <x:v>541</x:v>
      </x:c>
      <x:c r="B542" s="86" t="n">
        <x:v>327</x:v>
      </x:c>
      <x:c r="C542" s="95" t="n">
        <x:v>45505</x:v>
      </x:c>
      <x:c r="D542" s="86" t="str">
        <x:v>Dia útil</x:v>
      </x:c>
      <x:c r="E542" s="86" t="n">
        <x:v>3</x:v>
      </x:c>
      <x:c r="F542" s="99" t="n">
        <x:v>0.5</x:v>
      </x:c>
      <x:c r="G542" s="91" t="n">
        <x:v>112.75</x:v>
      </x:c>
      <x:c r="H542" s="86" t="n">
        <x:v>1</x:v>
      </x:c>
      <x:c r="I542" s="87" t="n">
        <x:v>7</x:v>
      </x:c>
    </x:row>
    <x:row r="543">
      <x:c r="A543" s="85" t="n">
        <x:v>542</x:v>
      </x:c>
      <x:c r="B543" s="86" t="n">
        <x:v>369</x:v>
      </x:c>
      <x:c r="C543" s="95" t="n">
        <x:v>45728</x:v>
      </x:c>
      <x:c r="D543" s="86" t="str">
        <x:v>Sábado</x:v>
      </x:c>
      <x:c r="E543" s="86" t="n">
        <x:v>1</x:v>
      </x:c>
      <x:c r="F543" s="99" t="n">
        <x:v>0.75</x:v>
      </x:c>
      <x:c r="G543" s="91" t="n">
        <x:v>27.93</x:v>
      </x:c>
      <x:c r="H543" s="86" t="n">
        <x:v>1</x:v>
      </x:c>
      <x:c r="I543" s="87" t="n">
        <x:v>1</x:v>
      </x:c>
    </x:row>
    <x:row r="544">
      <x:c r="A544" s="85" t="n">
        <x:v>543</x:v>
      </x:c>
      <x:c r="B544" s="86" t="n">
        <x:v>212</x:v>
      </x:c>
      <x:c r="C544" s="95" t="n">
        <x:v>45572</x:v>
      </x:c>
      <x:c r="D544" s="86" t="str">
        <x:v>Domingo/Feriado</x:v>
      </x:c>
      <x:c r="E544" s="86" t="n">
        <x:v>1</x:v>
      </x:c>
      <x:c r="F544" s="99" t="n">
        <x:v>1</x:v>
      </x:c>
      <x:c r="G544" s="91" t="n">
        <x:v>36.47</x:v>
      </x:c>
      <x:c r="H544" s="86" t="n">
        <x:v>1</x:v>
      </x:c>
      <x:c r="I544" s="87" t="n">
        <x:v>3</x:v>
      </x:c>
    </x:row>
    <x:row r="545">
      <x:c r="A545" s="85" t="n">
        <x:v>544</x:v>
      </x:c>
      <x:c r="B545" s="86" t="n">
        <x:v>102</x:v>
      </x:c>
      <x:c r="C545" s="95" t="n">
        <x:v>45926</x:v>
      </x:c>
      <x:c r="D545" s="86" t="str">
        <x:v>Sábado</x:v>
      </x:c>
      <x:c r="E545" s="86" t="n">
        <x:v>4</x:v>
      </x:c>
      <x:c r="F545" s="99" t="n">
        <x:v>0.75</x:v>
      </x:c>
      <x:c r="G545" s="91" t="n">
        <x:v>203.94</x:v>
      </x:c>
      <x:c r="H545" s="86" t="n">
        <x:v>1</x:v>
      </x:c>
      <x:c r="I545" s="87" t="n">
        <x:v>4</x:v>
      </x:c>
    </x:row>
    <x:row r="546">
      <x:c r="A546" s="85" t="n">
        <x:v>545</x:v>
      </x:c>
      <x:c r="B546" s="86" t="n">
        <x:v>264</x:v>
      </x:c>
      <x:c r="C546" s="95" t="n">
        <x:v>45407</x:v>
      </x:c>
      <x:c r="D546" s="86" t="str">
        <x:v>Dia útil</x:v>
      </x:c>
      <x:c r="E546" s="86" t="n">
        <x:v>3</x:v>
      </x:c>
      <x:c r="F546" s="99" t="n">
        <x:v>0.5</x:v>
      </x:c>
      <x:c r="G546" s="91" t="n">
        <x:v>100.92</x:v>
      </x:c>
      <x:c r="H546" s="86" t="n">
        <x:v>1</x:v>
      </x:c>
      <x:c r="I546" s="87" t="n">
        <x:v>4</x:v>
      </x:c>
    </x:row>
    <x:row r="547">
      <x:c r="A547" s="85" t="n">
        <x:v>546</x:v>
      </x:c>
      <x:c r="B547" s="86" t="n">
        <x:v>25</x:v>
      </x:c>
      <x:c r="C547" s="95" t="n">
        <x:v>45807</x:v>
      </x:c>
      <x:c r="D547" s="86" t="str">
        <x:v>Sábado</x:v>
      </x:c>
      <x:c r="E547" s="86" t="n">
        <x:v>2</x:v>
      </x:c>
      <x:c r="F547" s="99" t="n">
        <x:v>0.75</x:v>
      </x:c>
      <x:c r="G547" s="91" t="n">
        <x:v>88.82</x:v>
      </x:c>
      <x:c r="H547" s="86" t="n">
        <x:v>1</x:v>
      </x:c>
      <x:c r="I547" s="87" t="n">
        <x:v>7</x:v>
      </x:c>
    </x:row>
    <x:row r="548">
      <x:c r="A548" s="85" t="n">
        <x:v>547</x:v>
      </x:c>
      <x:c r="B548" s="86" t="n">
        <x:v>310</x:v>
      </x:c>
      <x:c r="C548" s="95" t="n">
        <x:v>45914</x:v>
      </x:c>
      <x:c r="D548" s="86" t="str">
        <x:v>Dia útil</x:v>
      </x:c>
      <x:c r="E548" s="86" t="n">
        <x:v>4</x:v>
      </x:c>
      <x:c r="F548" s="99" t="n">
        <x:v>0.5</x:v>
      </x:c>
      <x:c r="G548" s="91" t="n">
        <x:v>74.01</x:v>
      </x:c>
      <x:c r="H548" s="86" t="n">
        <x:v>1</x:v>
      </x:c>
      <x:c r="I548" s="87" t="n">
        <x:v>1</x:v>
      </x:c>
    </x:row>
    <x:row r="549">
      <x:c r="A549" s="85" t="n">
        <x:v>548</x:v>
      </x:c>
      <x:c r="B549" s="86" t="n">
        <x:v>390</x:v>
      </x:c>
      <x:c r="C549" s="95" t="n">
        <x:v>45831</x:v>
      </x:c>
      <x:c r="D549" s="86" t="str">
        <x:v>Dia útil</x:v>
      </x:c>
      <x:c r="E549" s="86" t="n">
        <x:v>8</x:v>
      </x:c>
      <x:c r="F549" s="99" t="n">
        <x:v>0.5</x:v>
      </x:c>
      <x:c r="G549" s="91" t="n">
        <x:v>380.7</x:v>
      </x:c>
      <x:c r="H549" s="86" t="n">
        <x:v>1</x:v>
      </x:c>
      <x:c r="I549" s="87" t="n">
        <x:v>5</x:v>
      </x:c>
    </x:row>
    <x:row r="550">
      <x:c r="A550" s="85" t="n">
        <x:v>549</x:v>
      </x:c>
      <x:c r="B550" s="86" t="n">
        <x:v>24</x:v>
      </x:c>
      <x:c r="C550" s="95" t="n">
        <x:v>45925</x:v>
      </x:c>
      <x:c r="D550" s="86" t="str">
        <x:v>Dia útil</x:v>
      </x:c>
      <x:c r="E550" s="86" t="n">
        <x:v>2</x:v>
      </x:c>
      <x:c r="F550" s="99" t="n">
        <x:v>0.5</x:v>
      </x:c>
      <x:c r="G550" s="91" t="n">
        <x:v>47.31</x:v>
      </x:c>
      <x:c r="H550" s="86" t="n">
        <x:v>1</x:v>
      </x:c>
      <x:c r="I550" s="87" t="n">
        <x:v>10</x:v>
      </x:c>
    </x:row>
    <x:row r="551">
      <x:c r="A551" s="85" t="n">
        <x:v>550</x:v>
      </x:c>
      <x:c r="B551" s="86" t="n">
        <x:v>38</x:v>
      </x:c>
      <x:c r="C551" s="95" t="n">
        <x:v>45658</x:v>
      </x:c>
      <x:c r="D551" s="86" t="str">
        <x:v>Domingo/Feriado</x:v>
      </x:c>
      <x:c r="E551" s="86" t="n">
        <x:v>3</x:v>
      </x:c>
      <x:c r="F551" s="99" t="n">
        <x:v>1</x:v>
      </x:c>
      <x:c r="G551" s="91" t="n">
        <x:v>444.01</x:v>
      </x:c>
      <x:c r="H551" s="86" t="n">
        <x:v>1</x:v>
      </x:c>
      <x:c r="I551" s="87" t="n">
        <x:v>5</x:v>
      </x:c>
    </x:row>
    <x:row r="552">
      <x:c r="A552" s="85" t="n">
        <x:v>551</x:v>
      </x:c>
      <x:c r="B552" s="86" t="n">
        <x:v>170</x:v>
      </x:c>
      <x:c r="C552" s="95" t="n">
        <x:v>45904</x:v>
      </x:c>
      <x:c r="D552" s="86" t="str">
        <x:v>Sábado</x:v>
      </x:c>
      <x:c r="E552" s="86" t="n">
        <x:v>8</x:v>
      </x:c>
      <x:c r="F552" s="99" t="n">
        <x:v>0.75</x:v>
      </x:c>
      <x:c r="G552" s="91" t="n">
        <x:v>372.5</x:v>
      </x:c>
      <x:c r="H552" s="86" t="n">
        <x:v>1</x:v>
      </x:c>
      <x:c r="I552" s="87" t="n">
        <x:v>4</x:v>
      </x:c>
    </x:row>
    <x:row r="553">
      <x:c r="A553" s="85" t="n">
        <x:v>552</x:v>
      </x:c>
      <x:c r="B553" s="86" t="n">
        <x:v>17</x:v>
      </x:c>
      <x:c r="C553" s="95" t="n">
        <x:v>45876</x:v>
      </x:c>
      <x:c r="D553" s="86" t="str">
        <x:v>Dia útil</x:v>
      </x:c>
      <x:c r="E553" s="86" t="n">
        <x:v>2</x:v>
      </x:c>
      <x:c r="F553" s="99" t="n">
        <x:v>0.5</x:v>
      </x:c>
      <x:c r="G553" s="91" t="n">
        <x:v>102.9</x:v>
      </x:c>
      <x:c r="H553" s="86" t="n">
        <x:v>1</x:v>
      </x:c>
      <x:c r="I553" s="87" t="n">
        <x:v>8</x:v>
      </x:c>
    </x:row>
    <x:row r="554">
      <x:c r="A554" s="85" t="n">
        <x:v>553</x:v>
      </x:c>
      <x:c r="B554" s="86" t="n">
        <x:v>351</x:v>
      </x:c>
      <x:c r="C554" s="95" t="n">
        <x:v>45832</x:v>
      </x:c>
      <x:c r="D554" s="86" t="str">
        <x:v>Domingo/Feriado</x:v>
      </x:c>
      <x:c r="E554" s="86" t="n">
        <x:v>1</x:v>
      </x:c>
      <x:c r="F554" s="99" t="n">
        <x:v>1</x:v>
      </x:c>
      <x:c r="G554" s="91" t="n">
        <x:v>32.69</x:v>
      </x:c>
      <x:c r="H554" s="86" t="n">
        <x:v>1</x:v>
      </x:c>
      <x:c r="I554" s="87" t="n">
        <x:v>10</x:v>
      </x:c>
    </x:row>
    <x:row r="555">
      <x:c r="A555" s="85" t="n">
        <x:v>554</x:v>
      </x:c>
      <x:c r="B555" s="86" t="n">
        <x:v>277</x:v>
      </x:c>
      <x:c r="C555" s="95" t="n">
        <x:v>46021</x:v>
      </x:c>
      <x:c r="D555" s="86" t="str">
        <x:v>Sábado</x:v>
      </x:c>
      <x:c r="E555" s="86" t="n">
        <x:v>8</x:v>
      </x:c>
      <x:c r="F555" s="99" t="n">
        <x:v>0.75</x:v>
      </x:c>
      <x:c r="G555" s="91" t="n">
        <x:v>343.29</x:v>
      </x:c>
      <x:c r="H555" s="86" t="n">
        <x:v>1</x:v>
      </x:c>
      <x:c r="I555" s="87" t="n">
        <x:v>8</x:v>
      </x:c>
    </x:row>
    <x:row r="556">
      <x:c r="A556" s="85" t="n">
        <x:v>555</x:v>
      </x:c>
      <x:c r="B556" s="86" t="n">
        <x:v>394</x:v>
      </x:c>
      <x:c r="C556" s="95" t="n">
        <x:v>45756</x:v>
      </x:c>
      <x:c r="D556" s="86" t="str">
        <x:v>Dia útil</x:v>
      </x:c>
      <x:c r="E556" s="86" t="n">
        <x:v>2</x:v>
      </x:c>
      <x:c r="F556" s="99" t="n">
        <x:v>0.5</x:v>
      </x:c>
      <x:c r="G556" s="91" t="n">
        <x:v>84.14</x:v>
      </x:c>
      <x:c r="H556" s="86" t="n">
        <x:v>1</x:v>
      </x:c>
      <x:c r="I556" s="87" t="n">
        <x:v>9</x:v>
      </x:c>
    </x:row>
    <x:row r="557">
      <x:c r="A557" s="85" t="n">
        <x:v>556</x:v>
      </x:c>
      <x:c r="B557" s="86" t="n">
        <x:v>391</x:v>
      </x:c>
      <x:c r="C557" s="95" t="n">
        <x:v>45735</x:v>
      </x:c>
      <x:c r="D557" s="86" t="str">
        <x:v>Dia útil</x:v>
      </x:c>
      <x:c r="E557" s="86" t="n">
        <x:v>2</x:v>
      </x:c>
      <x:c r="F557" s="99" t="n">
        <x:v>0.5</x:v>
      </x:c>
      <x:c r="G557" s="91" t="n">
        <x:v>62.72</x:v>
      </x:c>
      <x:c r="H557" s="86" t="n">
        <x:v>1</x:v>
      </x:c>
      <x:c r="I557" s="87" t="n">
        <x:v>2</x:v>
      </x:c>
    </x:row>
    <x:row r="558">
      <x:c r="A558" s="85" t="n">
        <x:v>557</x:v>
      </x:c>
      <x:c r="B558" s="86" t="n">
        <x:v>327</x:v>
      </x:c>
      <x:c r="C558" s="95" t="n">
        <x:v>45709</x:v>
      </x:c>
      <x:c r="D558" s="86" t="str">
        <x:v>Sábado</x:v>
      </x:c>
      <x:c r="E558" s="86" t="n">
        <x:v>6</x:v>
      </x:c>
      <x:c r="F558" s="99" t="n">
        <x:v>0.75</x:v>
      </x:c>
      <x:c r="G558" s="91" t="n">
        <x:v>263.09</x:v>
      </x:c>
      <x:c r="H558" s="86" t="n">
        <x:v>1</x:v>
      </x:c>
      <x:c r="I558" s="87" t="n">
        <x:v>7</x:v>
      </x:c>
    </x:row>
    <x:row r="559">
      <x:c r="A559" s="85" t="n">
        <x:v>558</x:v>
      </x:c>
      <x:c r="B559" s="86" t="n">
        <x:v>195</x:v>
      </x:c>
      <x:c r="C559" s="95" t="n">
        <x:v>45800</x:v>
      </x:c>
      <x:c r="D559" s="86" t="str">
        <x:v>Dia útil</x:v>
      </x:c>
      <x:c r="E559" s="86" t="n">
        <x:v>2</x:v>
      </x:c>
      <x:c r="F559" s="99" t="n">
        <x:v>0.5</x:v>
      </x:c>
      <x:c r="G559" s="91" t="n">
        <x:v>73.24</x:v>
      </x:c>
      <x:c r="H559" s="86" t="n">
        <x:v>1</x:v>
      </x:c>
      <x:c r="I559" s="87" t="n">
        <x:v>4</x:v>
      </x:c>
    </x:row>
    <x:row r="560">
      <x:c r="A560" s="85" t="n">
        <x:v>559</x:v>
      </x:c>
      <x:c r="B560" s="86" t="n">
        <x:v>147</x:v>
      </x:c>
      <x:c r="C560" s="95" t="n">
        <x:v>45914</x:v>
      </x:c>
      <x:c r="D560" s="86" t="str">
        <x:v>Sábado</x:v>
      </x:c>
      <x:c r="E560" s="86" t="n">
        <x:v>3</x:v>
      </x:c>
      <x:c r="F560" s="99" t="n">
        <x:v>0.75</x:v>
      </x:c>
      <x:c r="G560" s="91" t="n">
        <x:v>289.84</x:v>
      </x:c>
      <x:c r="H560" s="86" t="n">
        <x:v>1</x:v>
      </x:c>
      <x:c r="I560" s="87" t="n">
        <x:v>7</x:v>
      </x:c>
    </x:row>
    <x:row r="561">
      <x:c r="A561" s="85" t="n">
        <x:v>560</x:v>
      </x:c>
      <x:c r="B561" s="86" t="n">
        <x:v>135</x:v>
      </x:c>
      <x:c r="C561" s="95" t="n">
        <x:v>45676</x:v>
      </x:c>
      <x:c r="D561" s="86" t="str">
        <x:v>Sábado</x:v>
      </x:c>
      <x:c r="E561" s="86" t="n">
        <x:v>2</x:v>
      </x:c>
      <x:c r="F561" s="99" t="n">
        <x:v>0.75</x:v>
      </x:c>
      <x:c r="G561" s="91" t="n">
        <x:v>52.04</x:v>
      </x:c>
      <x:c r="H561" s="86" t="n">
        <x:v>1</x:v>
      </x:c>
      <x:c r="I561" s="87" t="n">
        <x:v>10</x:v>
      </x:c>
    </x:row>
    <x:row r="562">
      <x:c r="A562" s="85" t="n">
        <x:v>561</x:v>
      </x:c>
      <x:c r="B562" s="86" t="n">
        <x:v>100</x:v>
      </x:c>
      <x:c r="C562" s="95" t="n">
        <x:v>45905</x:v>
      </x:c>
      <x:c r="D562" s="86" t="str">
        <x:v>Sábado</x:v>
      </x:c>
      <x:c r="E562" s="86" t="n">
        <x:v>1</x:v>
      </x:c>
      <x:c r="F562" s="99" t="n">
        <x:v>0.75</x:v>
      </x:c>
      <x:c r="G562" s="91" t="n">
        <x:v>22.77</x:v>
      </x:c>
      <x:c r="H562" s="86" t="n">
        <x:v>1</x:v>
      </x:c>
      <x:c r="I562" s="87" t="n">
        <x:v>1</x:v>
      </x:c>
    </x:row>
    <x:row r="563">
      <x:c r="A563" s="85" t="n">
        <x:v>562</x:v>
      </x:c>
      <x:c r="B563" s="86" t="n">
        <x:v>115</x:v>
      </x:c>
      <x:c r="C563" s="95" t="n">
        <x:v>45828</x:v>
      </x:c>
      <x:c r="D563" s="86" t="str">
        <x:v>Domingo/Feriado</x:v>
      </x:c>
      <x:c r="E563" s="86" t="n">
        <x:v>1</x:v>
      </x:c>
      <x:c r="F563" s="99" t="n">
        <x:v>1</x:v>
      </x:c>
      <x:c r="G563" s="91" t="n">
        <x:v>49.95</x:v>
      </x:c>
      <x:c r="H563" s="86" t="n">
        <x:v>1</x:v>
      </x:c>
      <x:c r="I563" s="87" t="n">
        <x:v>4</x:v>
      </x:c>
    </x:row>
    <x:row r="564">
      <x:c r="A564" s="85" t="n">
        <x:v>563</x:v>
      </x:c>
      <x:c r="B564" s="86" t="n">
        <x:v>11</x:v>
      </x:c>
      <x:c r="C564" s="95" t="n">
        <x:v>45762</x:v>
      </x:c>
      <x:c r="D564" s="86" t="str">
        <x:v>Domingo/Feriado</x:v>
      </x:c>
      <x:c r="E564" s="86" t="n">
        <x:v>4</x:v>
      </x:c>
      <x:c r="F564" s="99" t="n">
        <x:v>1</x:v>
      </x:c>
      <x:c r="G564" s="91" t="n">
        <x:v>290.26</x:v>
      </x:c>
      <x:c r="H564" s="86" t="n">
        <x:v>1</x:v>
      </x:c>
      <x:c r="I564" s="87" t="n">
        <x:v>9</x:v>
      </x:c>
    </x:row>
    <x:row r="565">
      <x:c r="A565" s="85" t="n">
        <x:v>564</x:v>
      </x:c>
      <x:c r="B565" s="86" t="n">
        <x:v>17</x:v>
      </x:c>
      <x:c r="C565" s="95" t="n">
        <x:v>45887</x:v>
      </x:c>
      <x:c r="D565" s="86" t="str">
        <x:v>Dia útil</x:v>
      </x:c>
      <x:c r="E565" s="86" t="n">
        <x:v>2</x:v>
      </x:c>
      <x:c r="F565" s="99" t="n">
        <x:v>0.5</x:v>
      </x:c>
      <x:c r="G565" s="91" t="n">
        <x:v>102.9</x:v>
      </x:c>
      <x:c r="H565" s="86" t="n">
        <x:v>1</x:v>
      </x:c>
      <x:c r="I565" s="87" t="n">
        <x:v>8</x:v>
      </x:c>
    </x:row>
    <x:row r="566">
      <x:c r="A566" s="85" t="n">
        <x:v>565</x:v>
      </x:c>
      <x:c r="B566" s="86" t="n">
        <x:v>362</x:v>
      </x:c>
      <x:c r="C566" s="95" t="n">
        <x:v>45595</x:v>
      </x:c>
      <x:c r="D566" s="86" t="str">
        <x:v>Dia útil</x:v>
      </x:c>
      <x:c r="E566" s="86" t="n">
        <x:v>2</x:v>
      </x:c>
      <x:c r="F566" s="99" t="n">
        <x:v>0.5</x:v>
      </x:c>
      <x:c r="G566" s="91" t="n">
        <x:v>67.66</x:v>
      </x:c>
      <x:c r="H566" s="86" t="n">
        <x:v>1</x:v>
      </x:c>
      <x:c r="I566" s="87" t="n">
        <x:v>10</x:v>
      </x:c>
    </x:row>
    <x:row r="567">
      <x:c r="A567" s="85" t="n">
        <x:v>566</x:v>
      </x:c>
      <x:c r="B567" s="86" t="n">
        <x:v>55</x:v>
      </x:c>
      <x:c r="C567" s="95" t="n">
        <x:v>45964</x:v>
      </x:c>
      <x:c r="D567" s="86" t="str">
        <x:v>Domingo/Feriado</x:v>
      </x:c>
      <x:c r="E567" s="86" t="n">
        <x:v>3</x:v>
      </x:c>
      <x:c r="F567" s="99" t="n">
        <x:v>1</x:v>
      </x:c>
      <x:c r="G567" s="91" t="n">
        <x:v>67.69</x:v>
      </x:c>
      <x:c r="H567" s="86" t="n">
        <x:v>1</x:v>
      </x:c>
      <x:c r="I567" s="87" t="n">
        <x:v>1</x:v>
      </x:c>
    </x:row>
    <x:row r="568">
      <x:c r="A568" s="85" t="n">
        <x:v>567</x:v>
      </x:c>
      <x:c r="B568" s="86" t="n">
        <x:v>282</x:v>
      </x:c>
      <x:c r="C568" s="95" t="n">
        <x:v>45911</x:v>
      </x:c>
      <x:c r="D568" s="86" t="str">
        <x:v>Sábado</x:v>
      </x:c>
      <x:c r="E568" s="86" t="n">
        <x:v>3</x:v>
      </x:c>
      <x:c r="F568" s="99" t="n">
        <x:v>0.75</x:v>
      </x:c>
      <x:c r="G568" s="91" t="n">
        <x:v>72.27</x:v>
      </x:c>
      <x:c r="H568" s="86" t="n">
        <x:v>1</x:v>
      </x:c>
      <x:c r="I568" s="87" t="n">
        <x:v>1</x:v>
      </x:c>
    </x:row>
    <x:row r="569">
      <x:c r="A569" s="85" t="n">
        <x:v>568</x:v>
      </x:c>
      <x:c r="B569" s="86" t="n">
        <x:v>276</x:v>
      </x:c>
      <x:c r="C569" s="95" t="n">
        <x:v>45433</x:v>
      </x:c>
      <x:c r="D569" s="86" t="str">
        <x:v>Dia útil</x:v>
      </x:c>
      <x:c r="E569" s="86" t="n">
        <x:v>3</x:v>
      </x:c>
      <x:c r="F569" s="99" t="n">
        <x:v>0.5</x:v>
      </x:c>
      <x:c r="G569" s="91" t="n">
        <x:v>201.22</x:v>
      </x:c>
      <x:c r="H569" s="86" t="n">
        <x:v>1</x:v>
      </x:c>
      <x:c r="I569" s="87" t="n">
        <x:v>5</x:v>
      </x:c>
    </x:row>
    <x:row r="570">
      <x:c r="A570" s="85" t="n">
        <x:v>569</x:v>
      </x:c>
      <x:c r="B570" s="86" t="n">
        <x:v>339</x:v>
      </x:c>
      <x:c r="C570" s="95" t="n">
        <x:v>45871</x:v>
      </x:c>
      <x:c r="D570" s="86" t="str">
        <x:v>Sábado</x:v>
      </x:c>
      <x:c r="E570" s="86" t="n">
        <x:v>3</x:v>
      </x:c>
      <x:c r="F570" s="99" t="n">
        <x:v>0.75</x:v>
      </x:c>
      <x:c r="G570" s="91" t="n">
        <x:v>151.52</x:v>
      </x:c>
      <x:c r="H570" s="86" t="n">
        <x:v>1</x:v>
      </x:c>
      <x:c r="I570" s="87" t="n">
        <x:v>7</x:v>
      </x:c>
    </x:row>
    <x:row r="571">
      <x:c r="A571" s="85" t="n">
        <x:v>570</x:v>
      </x:c>
      <x:c r="B571" s="86" t="n">
        <x:v>66</x:v>
      </x:c>
      <x:c r="C571" s="95" t="n">
        <x:v>45357</x:v>
      </x:c>
      <x:c r="D571" s="86" t="str">
        <x:v>Sábado</x:v>
      </x:c>
      <x:c r="E571" s="86" t="n">
        <x:v>4</x:v>
      </x:c>
      <x:c r="F571" s="99" t="n">
        <x:v>0.75</x:v>
      </x:c>
      <x:c r="G571" s="91" t="n">
        <x:v>94.45</x:v>
      </x:c>
      <x:c r="H571" s="86" t="n">
        <x:v>1</x:v>
      </x:c>
      <x:c r="I571" s="87" t="n">
        <x:v>1</x:v>
      </x:c>
    </x:row>
    <x:row r="572">
      <x:c r="A572" s="85" t="n">
        <x:v>571</x:v>
      </x:c>
      <x:c r="B572" s="86" t="n">
        <x:v>154</x:v>
      </x:c>
      <x:c r="C572" s="95" t="n">
        <x:v>46012</x:v>
      </x:c>
      <x:c r="D572" s="86" t="str">
        <x:v>Sábado</x:v>
      </x:c>
      <x:c r="E572" s="86" t="n">
        <x:v>8</x:v>
      </x:c>
      <x:c r="F572" s="99" t="n">
        <x:v>0.75</x:v>
      </x:c>
      <x:c r="G572" s="91" t="n">
        <x:v>347.08</x:v>
      </x:c>
      <x:c r="H572" s="86" t="n">
        <x:v>1</x:v>
      </x:c>
      <x:c r="I572" s="87" t="n">
        <x:v>7</x:v>
      </x:c>
    </x:row>
    <x:row r="573">
      <x:c r="A573" s="85" t="n">
        <x:v>572</x:v>
      </x:c>
      <x:c r="B573" s="86" t="n">
        <x:v>405</x:v>
      </x:c>
      <x:c r="C573" s="95" t="n">
        <x:v>45708</x:v>
      </x:c>
      <x:c r="D573" s="86" t="str">
        <x:v>Dia útil</x:v>
      </x:c>
      <x:c r="E573" s="86" t="n">
        <x:v>3</x:v>
      </x:c>
      <x:c r="F573" s="99" t="n">
        <x:v>0.5</x:v>
      </x:c>
      <x:c r="G573" s="91" t="n">
        <x:v>156.49</x:v>
      </x:c>
      <x:c r="H573" s="86" t="n">
        <x:v>1</x:v>
      </x:c>
      <x:c r="I573" s="87" t="n">
        <x:v>10</x:v>
      </x:c>
    </x:row>
    <x:row r="574">
      <x:c r="A574" s="85" t="n">
        <x:v>573</x:v>
      </x:c>
      <x:c r="B574" s="86" t="n">
        <x:v>208</x:v>
      </x:c>
      <x:c r="C574" s="95" t="n">
        <x:v>45634</x:v>
      </x:c>
      <x:c r="D574" s="86" t="str">
        <x:v>Dia útil</x:v>
      </x:c>
      <x:c r="E574" s="86" t="n">
        <x:v>1</x:v>
      </x:c>
      <x:c r="F574" s="99" t="n">
        <x:v>0.5</x:v>
      </x:c>
      <x:c r="G574" s="91" t="n">
        <x:v>61.36</x:v>
      </x:c>
      <x:c r="H574" s="86" t="n">
        <x:v>1</x:v>
      </x:c>
      <x:c r="I574" s="87" t="n">
        <x:v>9</x:v>
      </x:c>
    </x:row>
    <x:row r="575">
      <x:c r="A575" s="85" t="n">
        <x:v>574</x:v>
      </x:c>
      <x:c r="B575" s="86" t="n">
        <x:v>273</x:v>
      </x:c>
      <x:c r="C575" s="95" t="n">
        <x:v>45705</x:v>
      </x:c>
      <x:c r="D575" s="86" t="str">
        <x:v>Dia útil</x:v>
      </x:c>
      <x:c r="E575" s="86" t="n">
        <x:v>8</x:v>
      </x:c>
      <x:c r="F575" s="99" t="n">
        <x:v>0.5</x:v>
      </x:c>
      <x:c r="G575" s="91" t="n">
        <x:v>354.28</x:v>
      </x:c>
      <x:c r="H575" s="86" t="n">
        <x:v>1</x:v>
      </x:c>
      <x:c r="I575" s="87" t="n">
        <x:v>4</x:v>
      </x:c>
    </x:row>
    <x:row r="576">
      <x:c r="A576" s="85" t="n">
        <x:v>575</x:v>
      </x:c>
      <x:c r="B576" s="86" t="n">
        <x:v>229</x:v>
      </x:c>
      <x:c r="C576" s="95" t="n">
        <x:v>45424</x:v>
      </x:c>
      <x:c r="D576" s="86" t="str">
        <x:v>Dia útil</x:v>
      </x:c>
      <x:c r="E576" s="86" t="n">
        <x:v>8</x:v>
      </x:c>
      <x:c r="F576" s="99" t="n">
        <x:v>0.5</x:v>
      </x:c>
      <x:c r="G576" s="91" t="n">
        <x:v>269.34</x:v>
      </x:c>
      <x:c r="H576" s="86" t="n">
        <x:v>1</x:v>
      </x:c>
      <x:c r="I576" s="87" t="n">
        <x:v>10</x:v>
      </x:c>
    </x:row>
    <x:row r="577">
      <x:c r="A577" s="85" t="n">
        <x:v>576</x:v>
      </x:c>
      <x:c r="B577" s="86" t="n">
        <x:v>302</x:v>
      </x:c>
      <x:c r="C577" s="95" t="n">
        <x:v>45439</x:v>
      </x:c>
      <x:c r="D577" s="86" t="str">
        <x:v>Dia útil</x:v>
      </x:c>
      <x:c r="E577" s="86" t="n">
        <x:v>6</x:v>
      </x:c>
      <x:c r="F577" s="99" t="n">
        <x:v>0.5</x:v>
      </x:c>
      <x:c r="G577" s="91" t="n">
        <x:v>164.43</x:v>
      </x:c>
      <x:c r="H577" s="86" t="n">
        <x:v>1</x:v>
      </x:c>
      <x:c r="I577" s="87" t="n">
        <x:v>3</x:v>
      </x:c>
    </x:row>
    <x:row r="578">
      <x:c r="A578" s="85" t="n">
        <x:v>577</x:v>
      </x:c>
      <x:c r="B578" s="86" t="n">
        <x:v>174</x:v>
      </x:c>
      <x:c r="C578" s="95" t="n">
        <x:v>45731</x:v>
      </x:c>
      <x:c r="D578" s="86" t="str">
        <x:v>Dia útil</x:v>
      </x:c>
      <x:c r="E578" s="86" t="n">
        <x:v>8</x:v>
      </x:c>
      <x:c r="F578" s="99" t="n">
        <x:v>0.5</x:v>
      </x:c>
      <x:c r="G578" s="91" t="n">
        <x:v>276.59</x:v>
      </x:c>
      <x:c r="H578" s="86" t="n">
        <x:v>1</x:v>
      </x:c>
      <x:c r="I578" s="87" t="n">
        <x:v>2</x:v>
      </x:c>
    </x:row>
    <x:row r="579">
      <x:c r="A579" s="85" t="n">
        <x:v>578</x:v>
      </x:c>
      <x:c r="B579" s="86" t="n">
        <x:v>233</x:v>
      </x:c>
      <x:c r="C579" s="95" t="n">
        <x:v>46014</x:v>
      </x:c>
      <x:c r="D579" s="86" t="str">
        <x:v>Domingo/Feriado</x:v>
      </x:c>
      <x:c r="E579" s="86" t="n">
        <x:v>4</x:v>
      </x:c>
      <x:c r="F579" s="99" t="n">
        <x:v>1</x:v>
      </x:c>
      <x:c r="G579" s="91" t="n">
        <x:v>173.94</x:v>
      </x:c>
      <x:c r="H579" s="86" t="n">
        <x:v>1</x:v>
      </x:c>
      <x:c r="I579" s="87" t="n">
        <x:v>2</x:v>
      </x:c>
    </x:row>
    <x:row r="580">
      <x:c r="A580" s="85" t="n">
        <x:v>579</x:v>
      </x:c>
      <x:c r="B580" s="86" t="n">
        <x:v>85</x:v>
      </x:c>
      <x:c r="C580" s="95" t="n">
        <x:v>45574</x:v>
      </x:c>
      <x:c r="D580" s="86" t="str">
        <x:v>Sábado</x:v>
      </x:c>
      <x:c r="E580" s="86" t="n">
        <x:v>4</x:v>
      </x:c>
      <x:c r="F580" s="99" t="n">
        <x:v>0.75</x:v>
      </x:c>
      <x:c r="G580" s="91" t="n">
        <x:v>260</x:v>
      </x:c>
      <x:c r="H580" s="86" t="n">
        <x:v>1</x:v>
      </x:c>
      <x:c r="I580" s="87" t="n">
        <x:v>1</x:v>
      </x:c>
    </x:row>
    <x:row r="581">
      <x:c r="A581" s="85" t="n">
        <x:v>580</x:v>
      </x:c>
      <x:c r="B581" s="86" t="n">
        <x:v>361</x:v>
      </x:c>
      <x:c r="C581" s="95" t="n">
        <x:v>45812</x:v>
      </x:c>
      <x:c r="D581" s="86" t="str">
        <x:v>Dia útil</x:v>
      </x:c>
      <x:c r="E581" s="86" t="n">
        <x:v>2</x:v>
      </x:c>
      <x:c r="F581" s="99" t="n">
        <x:v>0.5</x:v>
      </x:c>
      <x:c r="G581" s="91" t="n">
        <x:v>75.64</x:v>
      </x:c>
      <x:c r="H581" s="86" t="n">
        <x:v>1</x:v>
      </x:c>
      <x:c r="I581" s="87" t="n">
        <x:v>8</x:v>
      </x:c>
    </x:row>
    <x:row r="582">
      <x:c r="A582" s="85" t="n">
        <x:v>581</x:v>
      </x:c>
      <x:c r="B582" s="86" t="n">
        <x:v>163</x:v>
      </x:c>
      <x:c r="C582" s="95" t="n">
        <x:v>45779</x:v>
      </x:c>
      <x:c r="D582" s="86" t="str">
        <x:v>Sábado</x:v>
      </x:c>
      <x:c r="E582" s="86" t="n">
        <x:v>3</x:v>
      </x:c>
      <x:c r="F582" s="99" t="n">
        <x:v>0.75</x:v>
      </x:c>
      <x:c r="G582" s="91" t="n">
        <x:v>94.88</x:v>
      </x:c>
      <x:c r="H582" s="86" t="n">
        <x:v>1</x:v>
      </x:c>
      <x:c r="I582" s="87" t="n">
        <x:v>3</x:v>
      </x:c>
    </x:row>
    <x:row r="583">
      <x:c r="A583" s="85" t="n">
        <x:v>582</x:v>
      </x:c>
      <x:c r="B583" s="86" t="n">
        <x:v>13</x:v>
      </x:c>
      <x:c r="C583" s="95" t="n">
        <x:v>45977</x:v>
      </x:c>
      <x:c r="D583" s="86" t="str">
        <x:v>Dia útil</x:v>
      </x:c>
      <x:c r="E583" s="86" t="n">
        <x:v>4</x:v>
      </x:c>
      <x:c r="F583" s="99" t="n">
        <x:v>0.5</x:v>
      </x:c>
      <x:c r="G583" s="91" t="n">
        <x:v>525.87</x:v>
      </x:c>
      <x:c r="H583" s="86" t="n">
        <x:v>1</x:v>
      </x:c>
      <x:c r="I583" s="87" t="n">
        <x:v>9</x:v>
      </x:c>
    </x:row>
    <x:row r="584">
      <x:c r="A584" s="85" t="n">
        <x:v>583</x:v>
      </x:c>
      <x:c r="B584" s="86" t="n">
        <x:v>100</x:v>
      </x:c>
      <x:c r="C584" s="95" t="n">
        <x:v>45721</x:v>
      </x:c>
      <x:c r="D584" s="86" t="str">
        <x:v>Sábado</x:v>
      </x:c>
      <x:c r="E584" s="86" t="n">
        <x:v>1</x:v>
      </x:c>
      <x:c r="F584" s="99" t="n">
        <x:v>0.75</x:v>
      </x:c>
      <x:c r="G584" s="91" t="n">
        <x:v>22.77</x:v>
      </x:c>
      <x:c r="H584" s="86" t="n">
        <x:v>1</x:v>
      </x:c>
      <x:c r="I584" s="87" t="n">
        <x:v>1</x:v>
      </x:c>
    </x:row>
    <x:row r="585">
      <x:c r="A585" s="85" t="n">
        <x:v>584</x:v>
      </x:c>
      <x:c r="B585" s="86" t="n">
        <x:v>199</x:v>
      </x:c>
      <x:c r="C585" s="95" t="n">
        <x:v>45868</x:v>
      </x:c>
      <x:c r="D585" s="86" t="str">
        <x:v>Sábado</x:v>
      </x:c>
      <x:c r="E585" s="86" t="n">
        <x:v>6</x:v>
      </x:c>
      <x:c r="F585" s="99" t="n">
        <x:v>0.75</x:v>
      </x:c>
      <x:c r="G585" s="91" t="n">
        <x:v>279.82</x:v>
      </x:c>
      <x:c r="H585" s="86" t="n">
        <x:v>1</x:v>
      </x:c>
      <x:c r="I585" s="87" t="n">
        <x:v>9</x:v>
      </x:c>
    </x:row>
    <x:row r="586">
      <x:c r="A586" s="85" t="n">
        <x:v>585</x:v>
      </x:c>
      <x:c r="B586" s="86" t="n">
        <x:v>174</x:v>
      </x:c>
      <x:c r="C586" s="95" t="n">
        <x:v>45761</x:v>
      </x:c>
      <x:c r="D586" s="86" t="str">
        <x:v>Dia útil</x:v>
      </x:c>
      <x:c r="E586" s="86" t="n">
        <x:v>1</x:v>
      </x:c>
      <x:c r="F586" s="99" t="n">
        <x:v>0.5</x:v>
      </x:c>
      <x:c r="G586" s="91" t="n">
        <x:v>34.57</x:v>
      </x:c>
      <x:c r="H586" s="86" t="n">
        <x:v>1</x:v>
      </x:c>
      <x:c r="I586" s="87" t="n">
        <x:v>2</x:v>
      </x:c>
    </x:row>
    <x:row r="587">
      <x:c r="A587" s="85" t="n">
        <x:v>586</x:v>
      </x:c>
      <x:c r="B587" s="86" t="n">
        <x:v>331</x:v>
      </x:c>
      <x:c r="C587" s="95" t="n">
        <x:v>45806</x:v>
      </x:c>
      <x:c r="D587" s="86" t="str">
        <x:v>Sábado</x:v>
      </x:c>
      <x:c r="E587" s="86" t="n">
        <x:v>6</x:v>
      </x:c>
      <x:c r="F587" s="99" t="n">
        <x:v>0.75</x:v>
      </x:c>
      <x:c r="G587" s="91" t="n">
        <x:v>187.43</x:v>
      </x:c>
      <x:c r="H587" s="86" t="n">
        <x:v>1</x:v>
      </x:c>
      <x:c r="I587" s="87" t="n">
        <x:v>3</x:v>
      </x:c>
    </x:row>
    <x:row r="588">
      <x:c r="A588" s="85" t="n">
        <x:v>587</x:v>
      </x:c>
      <x:c r="B588" s="86" t="n">
        <x:v>51</x:v>
      </x:c>
      <x:c r="C588" s="95" t="n">
        <x:v>45644</x:v>
      </x:c>
      <x:c r="D588" s="86" t="str">
        <x:v>Domingo/Feriado</x:v>
      </x:c>
      <x:c r="E588" s="86" t="n">
        <x:v>2</x:v>
      </x:c>
      <x:c r="F588" s="99" t="n">
        <x:v>1</x:v>
      </x:c>
      <x:c r="G588" s="91" t="n">
        <x:v>53.38</x:v>
      </x:c>
      <x:c r="H588" s="86" t="n">
        <x:v>1</x:v>
      </x:c>
      <x:c r="I588" s="87" t="n">
        <x:v>1</x:v>
      </x:c>
    </x:row>
    <x:row r="589">
      <x:c r="A589" s="85" t="n">
        <x:v>588</x:v>
      </x:c>
      <x:c r="B589" s="86" t="n">
        <x:v>409</x:v>
      </x:c>
      <x:c r="C589" s="95" t="n">
        <x:v>45864</x:v>
      </x:c>
      <x:c r="D589" s="86" t="str">
        <x:v>Dia útil</x:v>
      </x:c>
      <x:c r="E589" s="86" t="n">
        <x:v>8</x:v>
      </x:c>
      <x:c r="F589" s="99" t="n">
        <x:v>0.5</x:v>
      </x:c>
      <x:c r="G589" s="91" t="n">
        <x:v>386.46</x:v>
      </x:c>
      <x:c r="H589" s="86" t="n">
        <x:v>1</x:v>
      </x:c>
      <x:c r="I589" s="87" t="n">
        <x:v>6</x:v>
      </x:c>
    </x:row>
    <x:row r="590">
      <x:c r="A590" s="85" t="n">
        <x:v>589</x:v>
      </x:c>
      <x:c r="B590" s="86" t="n">
        <x:v>130</x:v>
      </x:c>
      <x:c r="C590" s="95" t="n">
        <x:v>45390</x:v>
      </x:c>
      <x:c r="D590" s="86" t="str">
        <x:v>Domingo/Feriado</x:v>
      </x:c>
      <x:c r="E590" s="86" t="n">
        <x:v>4</x:v>
      </x:c>
      <x:c r="F590" s="99" t="n">
        <x:v>1</x:v>
      </x:c>
      <x:c r="G590" s="91" t="n">
        <x:v>258.39</x:v>
      </x:c>
      <x:c r="H590" s="86" t="n">
        <x:v>1</x:v>
      </x:c>
      <x:c r="I590" s="87" t="n">
        <x:v>10</x:v>
      </x:c>
    </x:row>
    <x:row r="591">
      <x:c r="A591" s="85" t="n">
        <x:v>590</x:v>
      </x:c>
      <x:c r="B591" s="86" t="n">
        <x:v>363</x:v>
      </x:c>
      <x:c r="C591" s="95" t="n">
        <x:v>45572</x:v>
      </x:c>
      <x:c r="D591" s="86" t="str">
        <x:v>Dia útil</x:v>
      </x:c>
      <x:c r="E591" s="86" t="n">
        <x:v>8</x:v>
      </x:c>
      <x:c r="F591" s="99" t="n">
        <x:v>0.5</x:v>
      </x:c>
      <x:c r="G591" s="91" t="n">
        <x:v>154.4</x:v>
      </x:c>
      <x:c r="H591" s="86" t="n">
        <x:v>1</x:v>
      </x:c>
      <x:c r="I591" s="87" t="n">
        <x:v>1</x:v>
      </x:c>
    </x:row>
    <x:row r="592">
      <x:c r="A592" s="85" t="n">
        <x:v>591</x:v>
      </x:c>
      <x:c r="B592" s="86" t="n">
        <x:v>286</x:v>
      </x:c>
      <x:c r="C592" s="95" t="n">
        <x:v>45645</x:v>
      </x:c>
      <x:c r="D592" s="86" t="str">
        <x:v>Dia útil</x:v>
      </x:c>
      <x:c r="E592" s="86" t="n">
        <x:v>8</x:v>
      </x:c>
      <x:c r="F592" s="99" t="n">
        <x:v>0.5</x:v>
      </x:c>
      <x:c r="G592" s="91" t="n">
        <x:v>160.48</x:v>
      </x:c>
      <x:c r="H592" s="86" t="n">
        <x:v>1</x:v>
      </x:c>
      <x:c r="I592" s="87" t="n">
        <x:v>1</x:v>
      </x:c>
    </x:row>
    <x:row r="593">
      <x:c r="A593" s="85" t="n">
        <x:v>592</x:v>
      </x:c>
      <x:c r="B593" s="86" t="n">
        <x:v>166</x:v>
      </x:c>
      <x:c r="C593" s="95" t="n">
        <x:v>46001</x:v>
      </x:c>
      <x:c r="D593" s="86" t="str">
        <x:v>Dia útil</x:v>
      </x:c>
      <x:c r="E593" s="86" t="n">
        <x:v>4</x:v>
      </x:c>
      <x:c r="F593" s="99" t="n">
        <x:v>0.5</x:v>
      </x:c>
      <x:c r="G593" s="91" t="n">
        <x:v>61.81</x:v>
      </x:c>
      <x:c r="H593" s="86" t="n">
        <x:v>1</x:v>
      </x:c>
      <x:c r="I593" s="87" t="n">
        <x:v>1</x:v>
      </x:c>
    </x:row>
    <x:row r="594">
      <x:c r="A594" s="85" t="n">
        <x:v>593</x:v>
      </x:c>
      <x:c r="B594" s="86" t="n">
        <x:v>10</x:v>
      </x:c>
      <x:c r="C594" s="95" t="n">
        <x:v>45687</x:v>
      </x:c>
      <x:c r="D594" s="86" t="str">
        <x:v>Dia útil</x:v>
      </x:c>
      <x:c r="E594" s="86" t="n">
        <x:v>1</x:v>
      </x:c>
      <x:c r="F594" s="99" t="n">
        <x:v>0.5</x:v>
      </x:c>
      <x:c r="G594" s="91" t="n">
        <x:v>47.73</x:v>
      </x:c>
      <x:c r="H594" s="86" t="n">
        <x:v>1</x:v>
      </x:c>
      <x:c r="I594" s="87" t="n">
        <x:v>1</x:v>
      </x:c>
    </x:row>
    <x:row r="595">
      <x:c r="A595" s="85" t="n">
        <x:v>594</x:v>
      </x:c>
      <x:c r="B595" s="86" t="n">
        <x:v>68</x:v>
      </x:c>
      <x:c r="C595" s="95" t="n">
        <x:v>45771</x:v>
      </x:c>
      <x:c r="D595" s="86" t="str">
        <x:v>Dia útil</x:v>
      </x:c>
      <x:c r="E595" s="86" t="n">
        <x:v>3</x:v>
      </x:c>
      <x:c r="F595" s="99" t="n">
        <x:v>0.5</x:v>
      </x:c>
      <x:c r="G595" s="91" t="n">
        <x:v>90.05</x:v>
      </x:c>
      <x:c r="H595" s="86" t="n">
        <x:v>1</x:v>
      </x:c>
      <x:c r="I595" s="87" t="n">
        <x:v>4</x:v>
      </x:c>
    </x:row>
    <x:row r="596">
      <x:c r="A596" s="85" t="n">
        <x:v>595</x:v>
      </x:c>
      <x:c r="B596" s="86" t="n">
        <x:v>380</x:v>
      </x:c>
      <x:c r="C596" s="95" t="n">
        <x:v>45793</x:v>
      </x:c>
      <x:c r="D596" s="86" t="str">
        <x:v>Dia útil</x:v>
      </x:c>
      <x:c r="E596" s="86" t="n">
        <x:v>6</x:v>
      </x:c>
      <x:c r="F596" s="99" t="n">
        <x:v>0.5</x:v>
      </x:c>
      <x:c r="G596" s="91" t="n">
        <x:v>130.28</x:v>
      </x:c>
      <x:c r="H596" s="86" t="n">
        <x:v>0</x:v>
      </x:c>
      <x:c r="I596" s="87" t="n">
        <x:v>1</x:v>
      </x:c>
    </x:row>
    <x:row r="597">
      <x:c r="A597" s="85" t="n">
        <x:v>596</x:v>
      </x:c>
      <x:c r="B597" s="86" t="n">
        <x:v>200</x:v>
      </x:c>
      <x:c r="C597" s="95" t="n">
        <x:v>45482</x:v>
      </x:c>
      <x:c r="D597" s="86" t="str">
        <x:v>Dia útil</x:v>
      </x:c>
      <x:c r="E597" s="86" t="n">
        <x:v>3</x:v>
      </x:c>
      <x:c r="F597" s="99" t="n">
        <x:v>0.5</x:v>
      </x:c>
      <x:c r="G597" s="91" t="n">
        <x:v>130.96</x:v>
      </x:c>
      <x:c r="H597" s="86" t="n">
        <x:v>1</x:v>
      </x:c>
      <x:c r="I597" s="87" t="n">
        <x:v>8</x:v>
      </x:c>
    </x:row>
    <x:row r="598">
      <x:c r="A598" s="85" t="n">
        <x:v>597</x:v>
      </x:c>
      <x:c r="B598" s="86" t="n">
        <x:v>150</x:v>
      </x:c>
      <x:c r="C598" s="95" t="n">
        <x:v>45988</x:v>
      </x:c>
      <x:c r="D598" s="86" t="str">
        <x:v>Dia útil</x:v>
      </x:c>
      <x:c r="E598" s="86" t="n">
        <x:v>3</x:v>
      </x:c>
      <x:c r="F598" s="99" t="n">
        <x:v>0.5</x:v>
      </x:c>
      <x:c r="G598" s="91" t="n">
        <x:v>71.04</x:v>
      </x:c>
      <x:c r="H598" s="86" t="n">
        <x:v>1</x:v>
      </x:c>
      <x:c r="I598" s="87" t="n">
        <x:v>1</x:v>
      </x:c>
    </x:row>
    <x:row r="599">
      <x:c r="A599" s="85" t="n">
        <x:v>598</x:v>
      </x:c>
      <x:c r="B599" s="86" t="n">
        <x:v>61</x:v>
      </x:c>
      <x:c r="C599" s="95" t="n">
        <x:v>45588</x:v>
      </x:c>
      <x:c r="D599" s="86" t="str">
        <x:v>Dia útil</x:v>
      </x:c>
      <x:c r="E599" s="86" t="n">
        <x:v>6</x:v>
      </x:c>
      <x:c r="F599" s="99" t="n">
        <x:v>0.5</x:v>
      </x:c>
      <x:c r="G599" s="91" t="n">
        <x:v>384.19</x:v>
      </x:c>
      <x:c r="H599" s="86" t="n">
        <x:v>1</x:v>
      </x:c>
      <x:c r="I599" s="87" t="n">
        <x:v>4</x:v>
      </x:c>
    </x:row>
    <x:row r="600">
      <x:c r="A600" s="85" t="n">
        <x:v>599</x:v>
      </x:c>
      <x:c r="B600" s="86" t="n">
        <x:v>137</x:v>
      </x:c>
      <x:c r="C600" s="95" t="n">
        <x:v>45991</x:v>
      </x:c>
      <x:c r="D600" s="86" t="str">
        <x:v>Dia útil</x:v>
      </x:c>
      <x:c r="E600" s="86" t="n">
        <x:v>6</x:v>
      </x:c>
      <x:c r="F600" s="99" t="n">
        <x:v>0.5</x:v>
      </x:c>
      <x:c r="G600" s="91" t="n">
        <x:v>314.45</x:v>
      </x:c>
      <x:c r="H600" s="86" t="n">
        <x:v>1</x:v>
      </x:c>
      <x:c r="I600" s="87" t="n">
        <x:v>10</x:v>
      </x:c>
    </x:row>
    <x:row r="601">
      <x:c r="A601" s="85" t="n">
        <x:v>600</x:v>
      </x:c>
      <x:c r="B601" s="86" t="n">
        <x:v>133</x:v>
      </x:c>
      <x:c r="C601" s="95" t="n">
        <x:v>45827</x:v>
      </x:c>
      <x:c r="D601" s="86" t="str">
        <x:v>Dia útil</x:v>
      </x:c>
      <x:c r="E601" s="86" t="n">
        <x:v>4</x:v>
      </x:c>
      <x:c r="F601" s="99" t="n">
        <x:v>0.5</x:v>
      </x:c>
      <x:c r="G601" s="91" t="n">
        <x:v>224.97</x:v>
      </x:c>
      <x:c r="H601" s="86" t="n">
        <x:v>1</x:v>
      </x:c>
      <x:c r="I601" s="87" t="n">
        <x:v>6</x:v>
      </x:c>
    </x:row>
    <x:row r="602">
      <x:c r="A602" s="85" t="n">
        <x:v>601</x:v>
      </x:c>
      <x:c r="B602" s="86" t="n">
        <x:v>410</x:v>
      </x:c>
      <x:c r="C602" s="95" t="n">
        <x:v>45868</x:v>
      </x:c>
      <x:c r="D602" s="86" t="str">
        <x:v>Dia útil</x:v>
      </x:c>
      <x:c r="E602" s="86" t="n">
        <x:v>4</x:v>
      </x:c>
      <x:c r="F602" s="99" t="n">
        <x:v>0.5</x:v>
      </x:c>
      <x:c r="G602" s="91" t="n">
        <x:v>90.22</x:v>
      </x:c>
      <x:c r="H602" s="86" t="n">
        <x:v>1</x:v>
      </x:c>
      <x:c r="I602" s="87" t="n">
        <x:v>2</x:v>
      </x:c>
    </x:row>
    <x:row r="603">
      <x:c r="A603" s="85" t="n">
        <x:v>602</x:v>
      </x:c>
      <x:c r="B603" s="86" t="n">
        <x:v>284</x:v>
      </x:c>
      <x:c r="C603" s="95" t="n">
        <x:v>45794</x:v>
      </x:c>
      <x:c r="D603" s="86" t="str">
        <x:v>Dia útil</x:v>
      </x:c>
      <x:c r="E603" s="86" t="n">
        <x:v>6</x:v>
      </x:c>
      <x:c r="F603" s="99" t="n">
        <x:v>0.5</x:v>
      </x:c>
      <x:c r="G603" s="91" t="n">
        <x:v>93.23</x:v>
      </x:c>
      <x:c r="H603" s="86" t="n">
        <x:v>1</x:v>
      </x:c>
      <x:c r="I603" s="87" t="n">
        <x:v>1</x:v>
      </x:c>
    </x:row>
    <x:row r="604">
      <x:c r="A604" s="85" t="n">
        <x:v>603</x:v>
      </x:c>
      <x:c r="B604" s="86" t="n">
        <x:v>109</x:v>
      </x:c>
      <x:c r="C604" s="95" t="n">
        <x:v>45574</x:v>
      </x:c>
      <x:c r="D604" s="86" t="str">
        <x:v>Dia útil</x:v>
      </x:c>
      <x:c r="E604" s="86" t="n">
        <x:v>8</x:v>
      </x:c>
      <x:c r="F604" s="99" t="n">
        <x:v>0.5</x:v>
      </x:c>
      <x:c r="G604" s="91" t="n">
        <x:v>863.78</x:v>
      </x:c>
      <x:c r="H604" s="86" t="n">
        <x:v>1</x:v>
      </x:c>
      <x:c r="I604" s="87" t="n">
        <x:v>8</x:v>
      </x:c>
    </x:row>
    <x:row r="605">
      <x:c r="A605" s="85" t="n">
        <x:v>604</x:v>
      </x:c>
      <x:c r="B605" s="86" t="n">
        <x:v>43</x:v>
      </x:c>
      <x:c r="C605" s="95" t="n">
        <x:v>45992</x:v>
      </x:c>
      <x:c r="D605" s="86" t="str">
        <x:v>Dia útil</x:v>
      </x:c>
      <x:c r="E605" s="86" t="n">
        <x:v>2</x:v>
      </x:c>
      <x:c r="F605" s="99" t="n">
        <x:v>0.5</x:v>
      </x:c>
      <x:c r="G605" s="91" t="n">
        <x:v>62.91</x:v>
      </x:c>
      <x:c r="H605" s="86" t="n">
        <x:v>1</x:v>
      </x:c>
      <x:c r="I605" s="87" t="n">
        <x:v>2</x:v>
      </x:c>
    </x:row>
    <x:row r="606">
      <x:c r="A606" s="85" t="n">
        <x:v>605</x:v>
      </x:c>
      <x:c r="B606" s="86" t="n">
        <x:v>175</x:v>
      </x:c>
      <x:c r="C606" s="95" t="n">
        <x:v>45871</x:v>
      </x:c>
      <x:c r="D606" s="86" t="str">
        <x:v>Domingo/Feriado</x:v>
      </x:c>
      <x:c r="E606" s="86" t="n">
        <x:v>1</x:v>
      </x:c>
      <x:c r="F606" s="99" t="n">
        <x:v>1</x:v>
      </x:c>
      <x:c r="G606" s="91" t="n">
        <x:v>72.57</x:v>
      </x:c>
      <x:c r="H606" s="86" t="n">
        <x:v>1</x:v>
      </x:c>
      <x:c r="I606" s="87" t="n">
        <x:v>9</x:v>
      </x:c>
    </x:row>
    <x:row r="607">
      <x:c r="A607" s="85" t="n">
        <x:v>606</x:v>
      </x:c>
      <x:c r="B607" s="86" t="n">
        <x:v>75</x:v>
      </x:c>
      <x:c r="C607" s="95" t="n">
        <x:v>45520</x:v>
      </x:c>
      <x:c r="D607" s="86" t="str">
        <x:v>Domingo/Feriado</x:v>
      </x:c>
      <x:c r="E607" s="86" t="n">
        <x:v>1</x:v>
      </x:c>
      <x:c r="F607" s="99" t="n">
        <x:v>1</x:v>
      </x:c>
      <x:c r="G607" s="91" t="n">
        <x:v>70.57</x:v>
      </x:c>
      <x:c r="H607" s="86" t="n">
        <x:v>1</x:v>
      </x:c>
      <x:c r="I607" s="87" t="n">
        <x:v>10</x:v>
      </x:c>
    </x:row>
    <x:row r="608">
      <x:c r="A608" s="85" t="n">
        <x:v>607</x:v>
      </x:c>
      <x:c r="B608" s="86" t="n">
        <x:v>303</x:v>
      </x:c>
      <x:c r="C608" s="95" t="n">
        <x:v>45892</x:v>
      </x:c>
      <x:c r="D608" s="86" t="str">
        <x:v>Dia útil</x:v>
      </x:c>
      <x:c r="E608" s="86" t="n">
        <x:v>2</x:v>
      </x:c>
      <x:c r="F608" s="99" t="n">
        <x:v>0.5</x:v>
      </x:c>
      <x:c r="G608" s="91" t="n">
        <x:v>45.07</x:v>
      </x:c>
      <x:c r="H608" s="86" t="n">
        <x:v>1</x:v>
      </x:c>
      <x:c r="I608" s="87" t="n">
        <x:v>1</x:v>
      </x:c>
    </x:row>
    <x:row r="609">
      <x:c r="A609" s="85" t="n">
        <x:v>608</x:v>
      </x:c>
      <x:c r="B609" s="86" t="n">
        <x:v>93</x:v>
      </x:c>
      <x:c r="C609" s="95" t="n">
        <x:v>45836</x:v>
      </x:c>
      <x:c r="D609" s="86" t="str">
        <x:v>Sábado</x:v>
      </x:c>
      <x:c r="E609" s="86" t="n">
        <x:v>1</x:v>
      </x:c>
      <x:c r="F609" s="99" t="n">
        <x:v>0.75</x:v>
      </x:c>
      <x:c r="G609" s="91" t="n">
        <x:v>40.56</x:v>
      </x:c>
      <x:c r="H609" s="86" t="n">
        <x:v>1</x:v>
      </x:c>
      <x:c r="I609" s="87" t="n">
        <x:v>8</x:v>
      </x:c>
    </x:row>
    <x:row r="610">
      <x:c r="A610" s="85" t="n">
        <x:v>609</x:v>
      </x:c>
      <x:c r="B610" s="86" t="n">
        <x:v>98</x:v>
      </x:c>
      <x:c r="C610" s="95" t="n">
        <x:v>45938</x:v>
      </x:c>
      <x:c r="D610" s="86" t="str">
        <x:v>Sábado</x:v>
      </x:c>
      <x:c r="E610" s="86" t="n">
        <x:v>3</x:v>
      </x:c>
      <x:c r="F610" s="99" t="n">
        <x:v>0.75</x:v>
      </x:c>
      <x:c r="G610" s="91" t="n">
        <x:v>202.1</x:v>
      </x:c>
      <x:c r="H610" s="86" t="n">
        <x:v>1</x:v>
      </x:c>
      <x:c r="I610" s="87" t="n">
        <x:v>1</x:v>
      </x:c>
    </x:row>
    <x:row r="611">
      <x:c r="A611" s="85" t="n">
        <x:v>610</x:v>
      </x:c>
      <x:c r="B611" s="86" t="n">
        <x:v>58</x:v>
      </x:c>
      <x:c r="C611" s="95" t="n">
        <x:v>45860</x:v>
      </x:c>
      <x:c r="D611" s="86" t="str">
        <x:v>Dia útil</x:v>
      </x:c>
      <x:c r="E611" s="86" t="n">
        <x:v>6</x:v>
      </x:c>
      <x:c r="F611" s="99" t="n">
        <x:v>0.5</x:v>
      </x:c>
      <x:c r="G611" s="91" t="n">
        <x:v>198.07</x:v>
      </x:c>
      <x:c r="H611" s="86" t="n">
        <x:v>1</x:v>
      </x:c>
      <x:c r="I611" s="87" t="n">
        <x:v>6</x:v>
      </x:c>
    </x:row>
    <x:row r="612">
      <x:c r="A612" s="85" t="n">
        <x:v>611</x:v>
      </x:c>
      <x:c r="B612" s="86" t="n">
        <x:v>42</x:v>
      </x:c>
      <x:c r="C612" s="95" t="n">
        <x:v>45906</x:v>
      </x:c>
      <x:c r="D612" s="86" t="str">
        <x:v>Domingo/Feriado</x:v>
      </x:c>
      <x:c r="E612" s="86" t="n">
        <x:v>1</x:v>
      </x:c>
      <x:c r="F612" s="99" t="n">
        <x:v>1</x:v>
      </x:c>
      <x:c r="G612" s="91" t="n">
        <x:v>43.79</x:v>
      </x:c>
      <x:c r="H612" s="86" t="n">
        <x:v>1</x:v>
      </x:c>
      <x:c r="I612" s="87" t="n">
        <x:v>2</x:v>
      </x:c>
    </x:row>
    <x:row r="613">
      <x:c r="A613" s="85" t="n">
        <x:v>612</x:v>
      </x:c>
      <x:c r="B613" s="86" t="n">
        <x:v>157</x:v>
      </x:c>
      <x:c r="C613" s="95" t="n">
        <x:v>45578</x:v>
      </x:c>
      <x:c r="D613" s="86" t="str">
        <x:v>Dia útil</x:v>
      </x:c>
      <x:c r="E613" s="86" t="n">
        <x:v>6</x:v>
      </x:c>
      <x:c r="F613" s="99" t="n">
        <x:v>0.5</x:v>
      </x:c>
      <x:c r="G613" s="91" t="n">
        <x:v>199.57</x:v>
      </x:c>
      <x:c r="H613" s="86" t="n">
        <x:v>1</x:v>
      </x:c>
      <x:c r="I613" s="87" t="n">
        <x:v>7</x:v>
      </x:c>
    </x:row>
    <x:row r="614">
      <x:c r="A614" s="85" t="n">
        <x:v>613</x:v>
      </x:c>
      <x:c r="B614" s="86" t="n">
        <x:v>172</x:v>
      </x:c>
      <x:c r="C614" s="95" t="n">
        <x:v>45838</x:v>
      </x:c>
      <x:c r="D614" s="86" t="str">
        <x:v>Dia útil</x:v>
      </x:c>
      <x:c r="E614" s="86" t="n">
        <x:v>4</x:v>
      </x:c>
      <x:c r="F614" s="99" t="n">
        <x:v>0.5</x:v>
      </x:c>
      <x:c r="G614" s="91" t="n">
        <x:v>67.58</x:v>
      </x:c>
      <x:c r="H614" s="86" t="n">
        <x:v>1</x:v>
      </x:c>
      <x:c r="I614" s="87" t="n">
        <x:v>1</x:v>
      </x:c>
    </x:row>
    <x:row r="615">
      <x:c r="A615" s="85" t="n">
        <x:v>614</x:v>
      </x:c>
      <x:c r="B615" s="86" t="n">
        <x:v>265</x:v>
      </x:c>
      <x:c r="C615" s="95" t="n">
        <x:v>45940</x:v>
      </x:c>
      <x:c r="D615" s="86" t="str">
        <x:v>Sábado</x:v>
      </x:c>
      <x:c r="E615" s="86" t="n">
        <x:v>2</x:v>
      </x:c>
      <x:c r="F615" s="99" t="n">
        <x:v>0.75</x:v>
      </x:c>
      <x:c r="G615" s="91" t="n">
        <x:v>47.86</x:v>
      </x:c>
      <x:c r="H615" s="86" t="n">
        <x:v>1</x:v>
      </x:c>
      <x:c r="I615" s="87" t="n">
        <x:v>1</x:v>
      </x:c>
    </x:row>
    <x:row r="616">
      <x:c r="A616" s="85" t="n">
        <x:v>615</x:v>
      </x:c>
      <x:c r="B616" s="86" t="n">
        <x:v>237</x:v>
      </x:c>
      <x:c r="C616" s="95" t="n">
        <x:v>45675</x:v>
      </x:c>
      <x:c r="D616" s="86" t="str">
        <x:v>Sábado</x:v>
      </x:c>
      <x:c r="E616" s="86" t="n">
        <x:v>8</x:v>
      </x:c>
      <x:c r="F616" s="99" t="n">
        <x:v>0.75</x:v>
      </x:c>
      <x:c r="G616" s="91" t="n">
        <x:v>591.81</x:v>
      </x:c>
      <x:c r="H616" s="86" t="n">
        <x:v>1</x:v>
      </x:c>
      <x:c r="I616" s="87" t="n">
        <x:v>4</x:v>
      </x:c>
    </x:row>
    <x:row r="617">
      <x:c r="A617" s="85" t="n">
        <x:v>616</x:v>
      </x:c>
      <x:c r="B617" s="86" t="n">
        <x:v>383</x:v>
      </x:c>
      <x:c r="C617" s="95" t="n">
        <x:v>45967</x:v>
      </x:c>
      <x:c r="D617" s="86" t="str">
        <x:v>Sábado</x:v>
      </x:c>
      <x:c r="E617" s="86" t="n">
        <x:v>4</x:v>
      </x:c>
      <x:c r="F617" s="99" t="n">
        <x:v>0.75</x:v>
      </x:c>
      <x:c r="G617" s="91" t="n">
        <x:v>146.29</x:v>
      </x:c>
      <x:c r="H617" s="86" t="n">
        <x:v>1</x:v>
      </x:c>
      <x:c r="I617" s="87" t="n">
        <x:v>3</x:v>
      </x:c>
    </x:row>
    <x:row r="618">
      <x:c r="A618" s="85" t="n">
        <x:v>617</x:v>
      </x:c>
      <x:c r="B618" s="86" t="n">
        <x:v>28</x:v>
      </x:c>
      <x:c r="C618" s="95" t="n">
        <x:v>45939</x:v>
      </x:c>
      <x:c r="D618" s="86" t="str">
        <x:v>Dia útil</x:v>
      </x:c>
      <x:c r="E618" s="86" t="n">
        <x:v>1</x:v>
      </x:c>
      <x:c r="F618" s="99" t="n">
        <x:v>0.5</x:v>
      </x:c>
      <x:c r="G618" s="91" t="n">
        <x:v>20.58</x:v>
      </x:c>
      <x:c r="H618" s="86" t="n">
        <x:v>1</x:v>
      </x:c>
      <x:c r="I618" s="87" t="n">
        <x:v>1</x:v>
      </x:c>
    </x:row>
    <x:row r="619">
      <x:c r="A619" s="85" t="n">
        <x:v>618</x:v>
      </x:c>
      <x:c r="B619" s="86" t="n">
        <x:v>29</x:v>
      </x:c>
      <x:c r="C619" s="95" t="n">
        <x:v>45973</x:v>
      </x:c>
      <x:c r="D619" s="86" t="str">
        <x:v>Dia útil</x:v>
      </x:c>
      <x:c r="E619" s="86" t="n">
        <x:v>4</x:v>
      </x:c>
      <x:c r="F619" s="99" t="n">
        <x:v>0.5</x:v>
      </x:c>
      <x:c r="G619" s="91" t="n">
        <x:v>169.61</x:v>
      </x:c>
      <x:c r="H619" s="86" t="n">
        <x:v>1</x:v>
      </x:c>
      <x:c r="I619" s="87" t="n">
        <x:v>7</x:v>
      </x:c>
    </x:row>
    <x:row r="620">
      <x:c r="A620" s="85" t="n">
        <x:v>619</x:v>
      </x:c>
      <x:c r="B620" s="86" t="n">
        <x:v>337</x:v>
      </x:c>
      <x:c r="C620" s="95" t="n">
        <x:v>45942</x:v>
      </x:c>
      <x:c r="D620" s="86" t="str">
        <x:v>Sábado</x:v>
      </x:c>
      <x:c r="E620" s="86" t="n">
        <x:v>2</x:v>
      </x:c>
      <x:c r="F620" s="99" t="n">
        <x:v>0.75</x:v>
      </x:c>
      <x:c r="G620" s="91" t="n">
        <x:v>127.11</x:v>
      </x:c>
      <x:c r="H620" s="86" t="n">
        <x:v>1</x:v>
      </x:c>
      <x:c r="I620" s="87" t="n">
        <x:v>6</x:v>
      </x:c>
    </x:row>
    <x:row r="621">
      <x:c r="A621" s="85" t="n">
        <x:v>620</x:v>
      </x:c>
      <x:c r="B621" s="86" t="n">
        <x:v>302</x:v>
      </x:c>
      <x:c r="C621" s="95" t="n">
        <x:v>45547</x:v>
      </x:c>
      <x:c r="D621" s="86" t="str">
        <x:v>Dia útil</x:v>
      </x:c>
      <x:c r="E621" s="86" t="n">
        <x:v>1</x:v>
      </x:c>
      <x:c r="F621" s="99" t="n">
        <x:v>0.5</x:v>
      </x:c>
      <x:c r="G621" s="91" t="n">
        <x:v>27.4</x:v>
      </x:c>
      <x:c r="H621" s="86" t="n">
        <x:v>1</x:v>
      </x:c>
      <x:c r="I621" s="87" t="n">
        <x:v>3</x:v>
      </x:c>
    </x:row>
    <x:row r="622">
      <x:c r="A622" s="85" t="n">
        <x:v>621</x:v>
      </x:c>
      <x:c r="B622" s="86" t="n">
        <x:v>8</x:v>
      </x:c>
      <x:c r="C622" s="95" t="n">
        <x:v>45972</x:v>
      </x:c>
      <x:c r="D622" s="86" t="str">
        <x:v>Dia útil</x:v>
      </x:c>
      <x:c r="E622" s="86" t="n">
        <x:v>1</x:v>
      </x:c>
      <x:c r="F622" s="99" t="n">
        <x:v>0.5</x:v>
      </x:c>
      <x:c r="G622" s="91" t="n">
        <x:v>77.14</x:v>
      </x:c>
      <x:c r="H622" s="86" t="n">
        <x:v>1</x:v>
      </x:c>
      <x:c r="I622" s="87" t="n">
        <x:v>2</x:v>
      </x:c>
    </x:row>
    <x:row r="623">
      <x:c r="A623" s="85" t="n">
        <x:v>622</x:v>
      </x:c>
      <x:c r="B623" s="86" t="n">
        <x:v>54</x:v>
      </x:c>
      <x:c r="C623" s="95" t="n">
        <x:v>45949</x:v>
      </x:c>
      <x:c r="D623" s="86" t="str">
        <x:v>Dia útil</x:v>
      </x:c>
      <x:c r="E623" s="86" t="n">
        <x:v>6</x:v>
      </x:c>
      <x:c r="F623" s="99" t="n">
        <x:v>0.5</x:v>
      </x:c>
      <x:c r="G623" s="91" t="n">
        <x:v>150.3</x:v>
      </x:c>
      <x:c r="H623" s="86" t="n">
        <x:v>1</x:v>
      </x:c>
      <x:c r="I623" s="87" t="n">
        <x:v>10</x:v>
      </x:c>
    </x:row>
    <x:row r="624">
      <x:c r="A624" s="85" t="n">
        <x:v>623</x:v>
      </x:c>
      <x:c r="B624" s="86" t="n">
        <x:v>208</x:v>
      </x:c>
      <x:c r="C624" s="95" t="n">
        <x:v>45881</x:v>
      </x:c>
      <x:c r="D624" s="86" t="str">
        <x:v>Dia útil</x:v>
      </x:c>
      <x:c r="E624" s="86" t="n">
        <x:v>6</x:v>
      </x:c>
      <x:c r="F624" s="99" t="n">
        <x:v>0.5</x:v>
      </x:c>
      <x:c r="G624" s="91" t="n">
        <x:v>368.16</x:v>
      </x:c>
      <x:c r="H624" s="86" t="n">
        <x:v>1</x:v>
      </x:c>
      <x:c r="I624" s="87" t="n">
        <x:v>9</x:v>
      </x:c>
    </x:row>
    <x:row r="625">
      <x:c r="A625" s="85" t="n">
        <x:v>624</x:v>
      </x:c>
      <x:c r="B625" s="86" t="n">
        <x:v>214</x:v>
      </x:c>
      <x:c r="C625" s="95" t="n">
        <x:v>45939</x:v>
      </x:c>
      <x:c r="D625" s="86" t="str">
        <x:v>Dia útil</x:v>
      </x:c>
      <x:c r="E625" s="86" t="n">
        <x:v>8</x:v>
      </x:c>
      <x:c r="F625" s="99" t="n">
        <x:v>0.5</x:v>
      </x:c>
      <x:c r="G625" s="91" t="n">
        <x:v>326.08</x:v>
      </x:c>
      <x:c r="H625" s="86" t="n">
        <x:v>1</x:v>
      </x:c>
      <x:c r="I625" s="87" t="n">
        <x:v>8</x:v>
      </x:c>
    </x:row>
    <x:row r="626">
      <x:c r="A626" s="85" t="n">
        <x:v>625</x:v>
      </x:c>
      <x:c r="B626" s="86" t="n">
        <x:v>210</x:v>
      </x:c>
      <x:c r="C626" s="95" t="n">
        <x:v>45871</x:v>
      </x:c>
      <x:c r="D626" s="86" t="str">
        <x:v>Dia útil</x:v>
      </x:c>
      <x:c r="E626" s="86" t="n">
        <x:v>4</x:v>
      </x:c>
      <x:c r="F626" s="99" t="n">
        <x:v>0.5</x:v>
      </x:c>
      <x:c r="G626" s="91" t="n">
        <x:v>89.69</x:v>
      </x:c>
      <x:c r="H626" s="86" t="n">
        <x:v>1</x:v>
      </x:c>
      <x:c r="I626" s="87" t="n">
        <x:v>1</x:v>
      </x:c>
    </x:row>
    <x:row r="627">
      <x:c r="A627" s="85" t="n">
        <x:v>626</x:v>
      </x:c>
      <x:c r="B627" s="86" t="n">
        <x:v>397</x:v>
      </x:c>
      <x:c r="C627" s="95" t="n">
        <x:v>45559</x:v>
      </x:c>
      <x:c r="D627" s="86" t="str">
        <x:v>Dia útil</x:v>
      </x:c>
      <x:c r="E627" s="86" t="n">
        <x:v>6</x:v>
      </x:c>
      <x:c r="F627" s="99" t="n">
        <x:v>0.5</x:v>
      </x:c>
      <x:c r="G627" s="91" t="n">
        <x:v>298.55</x:v>
      </x:c>
      <x:c r="H627" s="86" t="n">
        <x:v>1</x:v>
      </x:c>
      <x:c r="I627" s="87" t="n">
        <x:v>6</x:v>
      </x:c>
    </x:row>
    <x:row r="628">
      <x:c r="A628" s="85" t="n">
        <x:v>627</x:v>
      </x:c>
      <x:c r="B628" s="86" t="n">
        <x:v>30</x:v>
      </x:c>
      <x:c r="C628" s="95" t="n">
        <x:v>45655</x:v>
      </x:c>
      <x:c r="D628" s="86" t="str">
        <x:v>Dia útil</x:v>
      </x:c>
      <x:c r="E628" s="86" t="n">
        <x:v>1</x:v>
      </x:c>
      <x:c r="F628" s="99" t="n">
        <x:v>0.5</x:v>
      </x:c>
      <x:c r="G628" s="91" t="n">
        <x:v>22.64</x:v>
      </x:c>
      <x:c r="H628" s="86" t="n">
        <x:v>0</x:v>
      </x:c>
      <x:c r="I628" s="87" t="n">
        <x:v>3</x:v>
      </x:c>
    </x:row>
    <x:row r="629">
      <x:c r="A629" s="85" t="n">
        <x:v>628</x:v>
      </x:c>
      <x:c r="B629" s="86" t="n">
        <x:v>19</x:v>
      </x:c>
      <x:c r="C629" s="95" t="n">
        <x:v>45894</x:v>
      </x:c>
      <x:c r="D629" s="86" t="str">
        <x:v>Dia útil</x:v>
      </x:c>
      <x:c r="E629" s="86" t="n">
        <x:v>3</x:v>
      </x:c>
      <x:c r="F629" s="99" t="n">
        <x:v>0.5</x:v>
      </x:c>
      <x:c r="G629" s="91" t="n">
        <x:v>130.61</x:v>
      </x:c>
      <x:c r="H629" s="86" t="n">
        <x:v>1</x:v>
      </x:c>
      <x:c r="I629" s="87" t="n">
        <x:v>7</x:v>
      </x:c>
    </x:row>
    <x:row r="630">
      <x:c r="A630" s="85" t="n">
        <x:v>629</x:v>
      </x:c>
      <x:c r="B630" s="86" t="n">
        <x:v>282</x:v>
      </x:c>
      <x:c r="C630" s="95" t="n">
        <x:v>45733</x:v>
      </x:c>
      <x:c r="D630" s="86" t="str">
        <x:v>Sábado</x:v>
      </x:c>
      <x:c r="E630" s="86" t="n">
        <x:v>4</x:v>
      </x:c>
      <x:c r="F630" s="99" t="n">
        <x:v>0.75</x:v>
      </x:c>
      <x:c r="G630" s="91" t="n">
        <x:v>96.36</x:v>
      </x:c>
      <x:c r="H630" s="86" t="n">
        <x:v>1</x:v>
      </x:c>
      <x:c r="I630" s="87" t="n">
        <x:v>1</x:v>
      </x:c>
    </x:row>
    <x:row r="631">
      <x:c r="A631" s="85" t="n">
        <x:v>630</x:v>
      </x:c>
      <x:c r="B631" s="86" t="n">
        <x:v>168</x:v>
      </x:c>
      <x:c r="C631" s="95" t="n">
        <x:v>45618</x:v>
      </x:c>
      <x:c r="D631" s="86" t="str">
        <x:v>Dia útil</x:v>
      </x:c>
      <x:c r="E631" s="86" t="n">
        <x:v>4</x:v>
      </x:c>
      <x:c r="F631" s="99" t="n">
        <x:v>0.5</x:v>
      </x:c>
      <x:c r="G631" s="91" t="n">
        <x:v>178.01</x:v>
      </x:c>
      <x:c r="H631" s="86" t="n">
        <x:v>1</x:v>
      </x:c>
      <x:c r="I631" s="87" t="n">
        <x:v>8</x:v>
      </x:c>
    </x:row>
    <x:row r="632">
      <x:c r="A632" s="85" t="n">
        <x:v>631</x:v>
      </x:c>
      <x:c r="B632" s="86" t="n">
        <x:v>78</x:v>
      </x:c>
      <x:c r="C632" s="95" t="n">
        <x:v>45974</x:v>
      </x:c>
      <x:c r="D632" s="86" t="str">
        <x:v>Dia útil</x:v>
      </x:c>
      <x:c r="E632" s="86" t="n">
        <x:v>4</x:v>
      </x:c>
      <x:c r="F632" s="99" t="n">
        <x:v>0.5</x:v>
      </x:c>
      <x:c r="G632" s="91" t="n">
        <x:v>188.71</x:v>
      </x:c>
      <x:c r="H632" s="86" t="n">
        <x:v>1</x:v>
      </x:c>
      <x:c r="I632" s="87" t="n">
        <x:v>1</x:v>
      </x:c>
    </x:row>
    <x:row r="633">
      <x:c r="A633" s="85" t="n">
        <x:v>632</x:v>
      </x:c>
      <x:c r="B633" s="86" t="n">
        <x:v>77</x:v>
      </x:c>
      <x:c r="C633" s="95" t="n">
        <x:v>45988</x:v>
      </x:c>
      <x:c r="D633" s="86" t="str">
        <x:v>Domingo/Feriado</x:v>
      </x:c>
      <x:c r="E633" s="86" t="n">
        <x:v>3</x:v>
      </x:c>
      <x:c r="F633" s="99" t="n">
        <x:v>1</x:v>
      </x:c>
      <x:c r="G633" s="91" t="n">
        <x:v>213.71</x:v>
      </x:c>
      <x:c r="H633" s="86" t="n">
        <x:v>1</x:v>
      </x:c>
      <x:c r="I633" s="87" t="n">
        <x:v>1</x:v>
      </x:c>
    </x:row>
    <x:row r="634">
      <x:c r="A634" s="85" t="n">
        <x:v>633</x:v>
      </x:c>
      <x:c r="B634" s="86" t="n">
        <x:v>214</x:v>
      </x:c>
      <x:c r="C634" s="95" t="n">
        <x:v>45970</x:v>
      </x:c>
      <x:c r="D634" s="86" t="str">
        <x:v>Dia útil</x:v>
      </x:c>
      <x:c r="E634" s="86" t="n">
        <x:v>2</x:v>
      </x:c>
      <x:c r="F634" s="99" t="n">
        <x:v>0.5</x:v>
      </x:c>
      <x:c r="G634" s="91" t="n">
        <x:v>81.52</x:v>
      </x:c>
      <x:c r="H634" s="86" t="n">
        <x:v>1</x:v>
      </x:c>
      <x:c r="I634" s="87" t="n">
        <x:v>8</x:v>
      </x:c>
    </x:row>
    <x:row r="635">
      <x:c r="A635" s="85" t="n">
        <x:v>634</x:v>
      </x:c>
      <x:c r="B635" s="86" t="n">
        <x:v>240</x:v>
      </x:c>
      <x:c r="C635" s="95" t="n">
        <x:v>45938</x:v>
      </x:c>
      <x:c r="D635" s="86" t="str">
        <x:v>Dia útil</x:v>
      </x:c>
      <x:c r="E635" s="86" t="n">
        <x:v>6</x:v>
      </x:c>
      <x:c r="F635" s="99" t="n">
        <x:v>0.5</x:v>
      </x:c>
      <x:c r="G635" s="91" t="n">
        <x:v>379.46</x:v>
      </x:c>
      <x:c r="H635" s="86" t="n">
        <x:v>1</x:v>
      </x:c>
      <x:c r="I635" s="87" t="n">
        <x:v>9</x:v>
      </x:c>
    </x:row>
    <x:row r="636">
      <x:c r="A636" s="85" t="n">
        <x:v>635</x:v>
      </x:c>
      <x:c r="B636" s="86" t="n">
        <x:v>235</x:v>
      </x:c>
      <x:c r="C636" s="95" t="n">
        <x:v>45999</x:v>
      </x:c>
      <x:c r="D636" s="86" t="str">
        <x:v>Dia útil</x:v>
      </x:c>
      <x:c r="E636" s="86" t="n">
        <x:v>2</x:v>
      </x:c>
      <x:c r="F636" s="99" t="n">
        <x:v>0.5</x:v>
      </x:c>
      <x:c r="G636" s="91" t="n">
        <x:v>41.71</x:v>
      </x:c>
      <x:c r="H636" s="86" t="n">
        <x:v>1</x:v>
      </x:c>
      <x:c r="I636" s="87" t="n">
        <x:v>1</x:v>
      </x:c>
    </x:row>
    <x:row r="637">
      <x:c r="A637" s="85" t="n">
        <x:v>636</x:v>
      </x:c>
      <x:c r="B637" s="86" t="n">
        <x:v>120</x:v>
      </x:c>
      <x:c r="C637" s="95" t="n">
        <x:v>45809</x:v>
      </x:c>
      <x:c r="D637" s="86" t="str">
        <x:v>Dia útil</x:v>
      </x:c>
      <x:c r="E637" s="86" t="n">
        <x:v>6</x:v>
      </x:c>
      <x:c r="F637" s="99" t="n">
        <x:v>0.5</x:v>
      </x:c>
      <x:c r="G637" s="91" t="n">
        <x:v>393.98</x:v>
      </x:c>
      <x:c r="H637" s="86" t="n">
        <x:v>1</x:v>
      </x:c>
      <x:c r="I637" s="87" t="n">
        <x:v>5</x:v>
      </x:c>
    </x:row>
    <x:row r="638">
      <x:c r="A638" s="85" t="n">
        <x:v>637</x:v>
      </x:c>
      <x:c r="B638" s="86" t="n">
        <x:v>252</x:v>
      </x:c>
      <x:c r="C638" s="95" t="n">
        <x:v>45947</x:v>
      </x:c>
      <x:c r="D638" s="86" t="str">
        <x:v>Dia útil</x:v>
      </x:c>
      <x:c r="E638" s="86" t="n">
        <x:v>6</x:v>
      </x:c>
      <x:c r="F638" s="99" t="n">
        <x:v>0.5</x:v>
      </x:c>
      <x:c r="G638" s="91" t="n">
        <x:v>422.85</x:v>
      </x:c>
      <x:c r="H638" s="86" t="n">
        <x:v>1</x:v>
      </x:c>
      <x:c r="I638" s="87" t="n">
        <x:v>5</x:v>
      </x:c>
    </x:row>
    <x:row r="639">
      <x:c r="A639" s="85" t="n">
        <x:v>638</x:v>
      </x:c>
      <x:c r="B639" s="86" t="n">
        <x:v>15</x:v>
      </x:c>
      <x:c r="C639" s="95" t="n">
        <x:v>45726</x:v>
      </x:c>
      <x:c r="D639" s="86" t="str">
        <x:v>Dia útil</x:v>
      </x:c>
      <x:c r="E639" s="86" t="n">
        <x:v>3</x:v>
      </x:c>
      <x:c r="F639" s="99" t="n">
        <x:v>0.5</x:v>
      </x:c>
      <x:c r="G639" s="91" t="n">
        <x:v>203.59</x:v>
      </x:c>
      <x:c r="H639" s="86" t="n">
        <x:v>1</x:v>
      </x:c>
      <x:c r="I639" s="87" t="n">
        <x:v>2</x:v>
      </x:c>
    </x:row>
    <x:row r="640">
      <x:c r="A640" s="85" t="n">
        <x:v>639</x:v>
      </x:c>
      <x:c r="B640" s="86" t="n">
        <x:v>24</x:v>
      </x:c>
      <x:c r="C640" s="95" t="n">
        <x:v>45568</x:v>
      </x:c>
      <x:c r="D640" s="86" t="str">
        <x:v>Dia útil</x:v>
      </x:c>
      <x:c r="E640" s="86" t="n">
        <x:v>6</x:v>
      </x:c>
      <x:c r="F640" s="99" t="n">
        <x:v>0.5</x:v>
      </x:c>
      <x:c r="G640" s="91" t="n">
        <x:v>141.93</x:v>
      </x:c>
      <x:c r="H640" s="86" t="n">
        <x:v>1</x:v>
      </x:c>
      <x:c r="I640" s="87" t="n">
        <x:v>10</x:v>
      </x:c>
    </x:row>
    <x:row r="641">
      <x:c r="A641" s="85" t="n">
        <x:v>640</x:v>
      </x:c>
      <x:c r="B641" s="86" t="n">
        <x:v>374</x:v>
      </x:c>
      <x:c r="C641" s="95" t="n">
        <x:v>45314</x:v>
      </x:c>
      <x:c r="D641" s="86" t="str">
        <x:v>Dia útil</x:v>
      </x:c>
      <x:c r="E641" s="86" t="n">
        <x:v>8</x:v>
      </x:c>
      <x:c r="F641" s="99" t="n">
        <x:v>0.5</x:v>
      </x:c>
      <x:c r="G641" s="91" t="n">
        <x:v>141.16</x:v>
      </x:c>
      <x:c r="H641" s="86" t="n">
        <x:v>1</x:v>
      </x:c>
      <x:c r="I641" s="87" t="n">
        <x:v>1</x:v>
      </x:c>
    </x:row>
    <x:row r="642">
      <x:c r="A642" s="85" t="n">
        <x:v>641</x:v>
      </x:c>
      <x:c r="B642" s="86" t="n">
        <x:v>305</x:v>
      </x:c>
      <x:c r="C642" s="95" t="n">
        <x:v>45555</x:v>
      </x:c>
      <x:c r="D642" s="86" t="str">
        <x:v>Dia útil</x:v>
      </x:c>
      <x:c r="E642" s="86" t="n">
        <x:v>4</x:v>
      </x:c>
      <x:c r="F642" s="99" t="n">
        <x:v>0.5</x:v>
      </x:c>
      <x:c r="G642" s="91" t="n">
        <x:v>91.61</x:v>
      </x:c>
      <x:c r="H642" s="86" t="n">
        <x:v>1</x:v>
      </x:c>
      <x:c r="I642" s="87" t="n">
        <x:v>1</x:v>
      </x:c>
    </x:row>
    <x:row r="643">
      <x:c r="A643" s="85" t="n">
        <x:v>642</x:v>
      </x:c>
      <x:c r="B643" s="86" t="n">
        <x:v>409</x:v>
      </x:c>
      <x:c r="C643" s="95" t="n">
        <x:v>45730</x:v>
      </x:c>
      <x:c r="D643" s="86" t="str">
        <x:v>Sábado</x:v>
      </x:c>
      <x:c r="E643" s="86" t="n">
        <x:v>4</x:v>
      </x:c>
      <x:c r="F643" s="99" t="n">
        <x:v>0.75</x:v>
      </x:c>
      <x:c r="G643" s="91" t="n">
        <x:v>225.44</x:v>
      </x:c>
      <x:c r="H643" s="86" t="n">
        <x:v>1</x:v>
      </x:c>
      <x:c r="I643" s="87" t="n">
        <x:v>6</x:v>
      </x:c>
    </x:row>
    <x:row r="644">
      <x:c r="A644" s="85" t="n">
        <x:v>643</x:v>
      </x:c>
      <x:c r="B644" s="86" t="n">
        <x:v>177</x:v>
      </x:c>
      <x:c r="C644" s="95" t="n">
        <x:v>45667</x:v>
      </x:c>
      <x:c r="D644" s="86" t="str">
        <x:v>Dia útil</x:v>
      </x:c>
      <x:c r="E644" s="86" t="n">
        <x:v>1</x:v>
      </x:c>
      <x:c r="F644" s="99" t="n">
        <x:v>0.5</x:v>
      </x:c>
      <x:c r="G644" s="91" t="n">
        <x:v>60.59</x:v>
      </x:c>
      <x:c r="H644" s="86" t="n">
        <x:v>1</x:v>
      </x:c>
      <x:c r="I644" s="87" t="n">
        <x:v>3</x:v>
      </x:c>
    </x:row>
    <x:row r="645">
      <x:c r="A645" s="85" t="n">
        <x:v>644</x:v>
      </x:c>
      <x:c r="B645" s="86" t="n">
        <x:v>112</x:v>
      </x:c>
      <x:c r="C645" s="95" t="n">
        <x:v>45882</x:v>
      </x:c>
      <x:c r="D645" s="86" t="str">
        <x:v>Dia útil</x:v>
      </x:c>
      <x:c r="E645" s="86" t="n">
        <x:v>6</x:v>
      </x:c>
      <x:c r="F645" s="99" t="n">
        <x:v>0.5</x:v>
      </x:c>
      <x:c r="G645" s="91" t="n">
        <x:v>185.83</x:v>
      </x:c>
      <x:c r="H645" s="86" t="n">
        <x:v>0</x:v>
      </x:c>
      <x:c r="I645" s="87" t="n">
        <x:v>2</x:v>
      </x:c>
    </x:row>
    <x:row r="646">
      <x:c r="A646" s="85" t="n">
        <x:v>645</x:v>
      </x:c>
      <x:c r="B646" s="86" t="n">
        <x:v>229</x:v>
      </x:c>
      <x:c r="C646" s="95" t="n">
        <x:v>45358</x:v>
      </x:c>
      <x:c r="D646" s="86" t="str">
        <x:v>Dia útil</x:v>
      </x:c>
      <x:c r="E646" s="86" t="n">
        <x:v>1</x:v>
      </x:c>
      <x:c r="F646" s="99" t="n">
        <x:v>0.5</x:v>
      </x:c>
      <x:c r="G646" s="91" t="n">
        <x:v>33.67</x:v>
      </x:c>
      <x:c r="H646" s="86" t="n">
        <x:v>1</x:v>
      </x:c>
      <x:c r="I646" s="87" t="n">
        <x:v>10</x:v>
      </x:c>
    </x:row>
    <x:row r="647">
      <x:c r="A647" s="85" t="n">
        <x:v>646</x:v>
      </x:c>
      <x:c r="B647" s="86" t="n">
        <x:v>352</x:v>
      </x:c>
      <x:c r="C647" s="95" t="n">
        <x:v>45358</x:v>
      </x:c>
      <x:c r="D647" s="86" t="str">
        <x:v>Dia útil</x:v>
      </x:c>
      <x:c r="E647" s="86" t="n">
        <x:v>3</x:v>
      </x:c>
      <x:c r="F647" s="99" t="n">
        <x:v>0.5</x:v>
      </x:c>
      <x:c r="G647" s="91" t="n">
        <x:v>100.41</x:v>
      </x:c>
      <x:c r="H647" s="86" t="n">
        <x:v>1</x:v>
      </x:c>
      <x:c r="I647" s="87" t="n">
        <x:v>6</x:v>
      </x:c>
    </x:row>
    <x:row r="648">
      <x:c r="A648" s="85" t="n">
        <x:v>647</x:v>
      </x:c>
      <x:c r="B648" s="86" t="n">
        <x:v>67</x:v>
      </x:c>
      <x:c r="C648" s="95" t="n">
        <x:v>45557</x:v>
      </x:c>
      <x:c r="D648" s="86" t="str">
        <x:v>Dia útil</x:v>
      </x:c>
      <x:c r="E648" s="86" t="n">
        <x:v>4</x:v>
      </x:c>
      <x:c r="F648" s="99" t="n">
        <x:v>0.5</x:v>
      </x:c>
      <x:c r="G648" s="91" t="n">
        <x:v>115.7</x:v>
      </x:c>
      <x:c r="H648" s="86" t="n">
        <x:v>1</x:v>
      </x:c>
      <x:c r="I648" s="87" t="n">
        <x:v>3</x:v>
      </x:c>
    </x:row>
    <x:row r="649">
      <x:c r="A649" s="85" t="n">
        <x:v>648</x:v>
      </x:c>
      <x:c r="B649" s="86" t="n">
        <x:v>269</x:v>
      </x:c>
      <x:c r="C649" s="95" t="n">
        <x:v>45857</x:v>
      </x:c>
      <x:c r="D649" s="86" t="str">
        <x:v>Dia útil</x:v>
      </x:c>
      <x:c r="E649" s="86" t="n">
        <x:v>1</x:v>
      </x:c>
      <x:c r="F649" s="99" t="n">
        <x:v>0.5</x:v>
      </x:c>
      <x:c r="G649" s="91" t="n">
        <x:v>43.26</x:v>
      </x:c>
      <x:c r="H649" s="86" t="n">
        <x:v>1</x:v>
      </x:c>
      <x:c r="I649" s="87" t="n">
        <x:v>4</x:v>
      </x:c>
    </x:row>
    <x:row r="650">
      <x:c r="A650" s="85" t="n">
        <x:v>649</x:v>
      </x:c>
      <x:c r="B650" s="86" t="n">
        <x:v>411</x:v>
      </x:c>
      <x:c r="C650" s="95" t="n">
        <x:v>45614</x:v>
      </x:c>
      <x:c r="D650" s="86" t="str">
        <x:v>Dia útil</x:v>
      </x:c>
      <x:c r="E650" s="86" t="n">
        <x:v>8</x:v>
      </x:c>
      <x:c r="F650" s="99" t="n">
        <x:v>0.5</x:v>
      </x:c>
      <x:c r="G650" s="91" t="n">
        <x:v>369.96</x:v>
      </x:c>
      <x:c r="H650" s="86" t="n">
        <x:v>1</x:v>
      </x:c>
      <x:c r="I650" s="87" t="n">
        <x:v>4</x:v>
      </x:c>
    </x:row>
    <x:row r="651">
      <x:c r="A651" s="85" t="n">
        <x:v>650</x:v>
      </x:c>
      <x:c r="B651" s="86" t="n">
        <x:v>191</x:v>
      </x:c>
      <x:c r="C651" s="95" t="n">
        <x:v>45840</x:v>
      </x:c>
      <x:c r="D651" s="86" t="str">
        <x:v>Dia útil</x:v>
      </x:c>
      <x:c r="E651" s="86" t="n">
        <x:v>3</x:v>
      </x:c>
      <x:c r="F651" s="99" t="n">
        <x:v>0.5</x:v>
      </x:c>
      <x:c r="G651" s="91" t="n">
        <x:v>102.68</x:v>
      </x:c>
      <x:c r="H651" s="86" t="n">
        <x:v>1</x:v>
      </x:c>
      <x:c r="I651" s="87" t="n">
        <x:v>10</x:v>
      </x:c>
    </x:row>
    <x:row r="652">
      <x:c r="A652" s="85" t="n">
        <x:v>651</x:v>
      </x:c>
      <x:c r="B652" s="86" t="n">
        <x:v>191</x:v>
      </x:c>
      <x:c r="C652" s="95" t="n">
        <x:v>45408</x:v>
      </x:c>
      <x:c r="D652" s="86" t="str">
        <x:v>Dia útil</x:v>
      </x:c>
      <x:c r="E652" s="86" t="n">
        <x:v>1</x:v>
      </x:c>
      <x:c r="F652" s="99" t="n">
        <x:v>0.5</x:v>
      </x:c>
      <x:c r="G652" s="91" t="n">
        <x:v>34.23</x:v>
      </x:c>
      <x:c r="H652" s="86" t="n">
        <x:v>1</x:v>
      </x:c>
      <x:c r="I652" s="87" t="n">
        <x:v>10</x:v>
      </x:c>
    </x:row>
    <x:row r="653">
      <x:c r="A653" s="85" t="n">
        <x:v>652</x:v>
      </x:c>
      <x:c r="B653" s="86" t="n">
        <x:v>340</x:v>
      </x:c>
      <x:c r="C653" s="95" t="n">
        <x:v>45862</x:v>
      </x:c>
      <x:c r="D653" s="86" t="str">
        <x:v>Dia útil</x:v>
      </x:c>
      <x:c r="E653" s="86" t="n">
        <x:v>6</x:v>
      </x:c>
      <x:c r="F653" s="99" t="n">
        <x:v>0.5</x:v>
      </x:c>
      <x:c r="G653" s="91" t="n">
        <x:v>108.64</x:v>
      </x:c>
      <x:c r="H653" s="86" t="n">
        <x:v>1</x:v>
      </x:c>
      <x:c r="I653" s="87" t="n">
        <x:v>1</x:v>
      </x:c>
    </x:row>
    <x:row r="654">
      <x:c r="A654" s="85" t="n">
        <x:v>653</x:v>
      </x:c>
      <x:c r="B654" s="86" t="n">
        <x:v>90</x:v>
      </x:c>
      <x:c r="C654" s="95" t="n">
        <x:v>45580</x:v>
      </x:c>
      <x:c r="D654" s="86" t="str">
        <x:v>Sábado</x:v>
      </x:c>
      <x:c r="E654" s="86" t="n">
        <x:v>6</x:v>
      </x:c>
      <x:c r="F654" s="99" t="n">
        <x:v>0.75</x:v>
      </x:c>
      <x:c r="G654" s="91" t="n">
        <x:v>254.17</x:v>
      </x:c>
      <x:c r="H654" s="86" t="n">
        <x:v>1</x:v>
      </x:c>
      <x:c r="I654" s="87" t="n">
        <x:v>6</x:v>
      </x:c>
    </x:row>
    <x:row r="655">
      <x:c r="A655" s="85" t="n">
        <x:v>654</x:v>
      </x:c>
      <x:c r="B655" s="86" t="n">
        <x:v>27</x:v>
      </x:c>
      <x:c r="C655" s="95" t="n">
        <x:v>45966</x:v>
      </x:c>
      <x:c r="D655" s="86" t="str">
        <x:v>Dia útil</x:v>
      </x:c>
      <x:c r="E655" s="86" t="n">
        <x:v>3</x:v>
      </x:c>
      <x:c r="F655" s="99" t="n">
        <x:v>0.5</x:v>
      </x:c>
      <x:c r="G655" s="91" t="n">
        <x:v>97.61</x:v>
      </x:c>
      <x:c r="H655" s="86" t="n">
        <x:v>1</x:v>
      </x:c>
      <x:c r="I655" s="87" t="n">
        <x:v>4</x:v>
      </x:c>
    </x:row>
    <x:row r="656">
      <x:c r="A656" s="85" t="n">
        <x:v>655</x:v>
      </x:c>
      <x:c r="B656" s="86" t="n">
        <x:v>25</x:v>
      </x:c>
      <x:c r="C656" s="95" t="n">
        <x:v>45888</x:v>
      </x:c>
      <x:c r="D656" s="86" t="str">
        <x:v>Dia útil</x:v>
      </x:c>
      <x:c r="E656" s="86" t="n">
        <x:v>8</x:v>
      </x:c>
      <x:c r="F656" s="99" t="n">
        <x:v>0.5</x:v>
      </x:c>
      <x:c r="G656" s="91" t="n">
        <x:v>304.53</x:v>
      </x:c>
      <x:c r="H656" s="86" t="n">
        <x:v>1</x:v>
      </x:c>
      <x:c r="I656" s="87" t="n">
        <x:v>7</x:v>
      </x:c>
    </x:row>
    <x:row r="657">
      <x:c r="A657" s="85" t="n">
        <x:v>656</x:v>
      </x:c>
      <x:c r="B657" s="86" t="n">
        <x:v>236</x:v>
      </x:c>
      <x:c r="C657" s="95" t="n">
        <x:v>45783</x:v>
      </x:c>
      <x:c r="D657" s="86" t="str">
        <x:v>Dia útil</x:v>
      </x:c>
      <x:c r="E657" s="86" t="n">
        <x:v>3</x:v>
      </x:c>
      <x:c r="F657" s="99" t="n">
        <x:v>0.5</x:v>
      </x:c>
      <x:c r="G657" s="91" t="n">
        <x:v>167.2</x:v>
      </x:c>
      <x:c r="H657" s="86" t="n">
        <x:v>1</x:v>
      </x:c>
      <x:c r="I657" s="87" t="n">
        <x:v>5</x:v>
      </x:c>
    </x:row>
    <x:row r="658">
      <x:c r="A658" s="85" t="n">
        <x:v>657</x:v>
      </x:c>
      <x:c r="B658" s="86" t="n">
        <x:v>416</x:v>
      </x:c>
      <x:c r="C658" s="95" t="n">
        <x:v>45970</x:v>
      </x:c>
      <x:c r="D658" s="86" t="str">
        <x:v>Sábado</x:v>
      </x:c>
      <x:c r="E658" s="86" t="n">
        <x:v>6</x:v>
      </x:c>
      <x:c r="F658" s="99" t="n">
        <x:v>0.75</x:v>
      </x:c>
      <x:c r="G658" s="91" t="n">
        <x:v>189.27</x:v>
      </x:c>
      <x:c r="H658" s="86" t="n">
        <x:v>0</x:v>
      </x:c>
      <x:c r="I658" s="87" t="n">
        <x:v>3</x:v>
      </x:c>
    </x:row>
    <x:row r="659">
      <x:c r="A659" s="85" t="n">
        <x:v>658</x:v>
      </x:c>
      <x:c r="B659" s="86" t="n">
        <x:v>14</x:v>
      </x:c>
      <x:c r="C659" s="95" t="n">
        <x:v>45989</x:v>
      </x:c>
      <x:c r="D659" s="86" t="str">
        <x:v>Dia útil</x:v>
      </x:c>
      <x:c r="E659" s="86" t="n">
        <x:v>4</x:v>
      </x:c>
      <x:c r="F659" s="99" t="n">
        <x:v>0.5</x:v>
      </x:c>
      <x:c r="G659" s="91" t="n">
        <x:v>91.27</x:v>
      </x:c>
      <x:c r="H659" s="86" t="n">
        <x:v>1</x:v>
      </x:c>
      <x:c r="I659" s="87" t="n">
        <x:v>3</x:v>
      </x:c>
    </x:row>
    <x:row r="660">
      <x:c r="A660" s="85" t="n">
        <x:v>659</x:v>
      </x:c>
      <x:c r="B660" s="86" t="n">
        <x:v>382</x:v>
      </x:c>
      <x:c r="C660" s="95" t="n">
        <x:v>45658</x:v>
      </x:c>
      <x:c r="D660" s="86" t="str">
        <x:v>Dia útil</x:v>
      </x:c>
      <x:c r="E660" s="86" t="n">
        <x:v>1</x:v>
      </x:c>
      <x:c r="F660" s="99" t="n">
        <x:v>0.5</x:v>
      </x:c>
      <x:c r="G660" s="91" t="n">
        <x:v>63.4</x:v>
      </x:c>
      <x:c r="H660" s="86" t="n">
        <x:v>1</x:v>
      </x:c>
      <x:c r="I660" s="87" t="n">
        <x:v>5</x:v>
      </x:c>
    </x:row>
    <x:row r="661">
      <x:c r="A661" s="85" t="n">
        <x:v>660</x:v>
      </x:c>
      <x:c r="B661" s="86" t="n">
        <x:v>311</x:v>
      </x:c>
      <x:c r="C661" s="95" t="n">
        <x:v>45640</x:v>
      </x:c>
      <x:c r="D661" s="86" t="str">
        <x:v>Dia útil</x:v>
      </x:c>
      <x:c r="E661" s="86" t="n">
        <x:v>3</x:v>
      </x:c>
      <x:c r="F661" s="99" t="n">
        <x:v>0.5</x:v>
      </x:c>
      <x:c r="G661" s="91" t="n">
        <x:v>332.67</x:v>
      </x:c>
      <x:c r="H661" s="86" t="n">
        <x:v>1</x:v>
      </x:c>
      <x:c r="I661" s="87" t="n">
        <x:v>5</x:v>
      </x:c>
    </x:row>
    <x:row r="662">
      <x:c r="A662" s="85" t="n">
        <x:v>661</x:v>
      </x:c>
      <x:c r="B662" s="86" t="n">
        <x:v>208</x:v>
      </x:c>
      <x:c r="C662" s="95" t="n">
        <x:v>45897</x:v>
      </x:c>
      <x:c r="D662" s="86" t="str">
        <x:v>Dia útil</x:v>
      </x:c>
      <x:c r="E662" s="86" t="n">
        <x:v>2</x:v>
      </x:c>
      <x:c r="F662" s="99" t="n">
        <x:v>0.5</x:v>
      </x:c>
      <x:c r="G662" s="91" t="n">
        <x:v>122.72</x:v>
      </x:c>
      <x:c r="H662" s="86" t="n">
        <x:v>1</x:v>
      </x:c>
      <x:c r="I662" s="87" t="n">
        <x:v>9</x:v>
      </x:c>
    </x:row>
    <x:row r="663">
      <x:c r="A663" s="85" t="n">
        <x:v>662</x:v>
      </x:c>
      <x:c r="B663" s="86" t="n">
        <x:v>295</x:v>
      </x:c>
      <x:c r="C663" s="95" t="n">
        <x:v>45576</x:v>
      </x:c>
      <x:c r="D663" s="86" t="str">
        <x:v>Domingo/Feriado</x:v>
      </x:c>
      <x:c r="E663" s="86" t="n">
        <x:v>8</x:v>
      </x:c>
      <x:c r="F663" s="99" t="n">
        <x:v>1</x:v>
      </x:c>
      <x:c r="G663" s="91" t="n">
        <x:v>533.6</x:v>
      </x:c>
      <x:c r="H663" s="86" t="n">
        <x:v>0</x:v>
      </x:c>
      <x:c r="I663" s="87" t="n">
        <x:v>9</x:v>
      </x:c>
    </x:row>
    <x:row r="664">
      <x:c r="A664" s="85" t="n">
        <x:v>663</x:v>
      </x:c>
      <x:c r="B664" s="86" t="n">
        <x:v>221</x:v>
      </x:c>
      <x:c r="C664" s="95" t="n">
        <x:v>45650</x:v>
      </x:c>
      <x:c r="D664" s="86" t="str">
        <x:v>Dia útil</x:v>
      </x:c>
      <x:c r="E664" s="86" t="n">
        <x:v>4</x:v>
      </x:c>
      <x:c r="F664" s="99" t="n">
        <x:v>0.5</x:v>
      </x:c>
      <x:c r="G664" s="91" t="n">
        <x:v>66.61</x:v>
      </x:c>
      <x:c r="H664" s="86" t="n">
        <x:v>1</x:v>
      </x:c>
      <x:c r="I664" s="87" t="n">
        <x:v>1</x:v>
      </x:c>
    </x:row>
    <x:row r="665">
      <x:c r="A665" s="85" t="n">
        <x:v>664</x:v>
      </x:c>
      <x:c r="B665" s="86" t="n">
        <x:v>301</x:v>
      </x:c>
      <x:c r="C665" s="95" t="n">
        <x:v>45784</x:v>
      </x:c>
      <x:c r="D665" s="86" t="str">
        <x:v>Domingo/Feriado</x:v>
      </x:c>
      <x:c r="E665" s="86" t="n">
        <x:v>2</x:v>
      </x:c>
      <x:c r="F665" s="99" t="n">
        <x:v>1</x:v>
      </x:c>
      <x:c r="G665" s="91" t="n">
        <x:v>119.42</x:v>
      </x:c>
      <x:c r="H665" s="86" t="n">
        <x:v>1</x:v>
      </x:c>
      <x:c r="I665" s="87" t="n">
        <x:v>6</x:v>
      </x:c>
    </x:row>
    <x:row r="666">
      <x:c r="A666" s="85" t="n">
        <x:v>665</x:v>
      </x:c>
      <x:c r="B666" s="86" t="n">
        <x:v>86</x:v>
      </x:c>
      <x:c r="C666" s="95" t="n">
        <x:v>45913</x:v>
      </x:c>
      <x:c r="D666" s="86" t="str">
        <x:v>Dia útil</x:v>
      </x:c>
      <x:c r="E666" s="86" t="n">
        <x:v>8</x:v>
      </x:c>
      <x:c r="F666" s="99" t="n">
        <x:v>0.5</x:v>
      </x:c>
      <x:c r="G666" s="91" t="n">
        <x:v>960.71</x:v>
      </x:c>
      <x:c r="H666" s="86" t="n">
        <x:v>1</x:v>
      </x:c>
      <x:c r="I666" s="87" t="n">
        <x:v>8</x:v>
      </x:c>
    </x:row>
    <x:row r="667">
      <x:c r="A667" s="85" t="n">
        <x:v>666</x:v>
      </x:c>
      <x:c r="B667" s="86" t="n">
        <x:v>324</x:v>
      </x:c>
      <x:c r="C667" s="95" t="n">
        <x:v>45963</x:v>
      </x:c>
      <x:c r="D667" s="86" t="str">
        <x:v>Sábado</x:v>
      </x:c>
      <x:c r="E667" s="86" t="n">
        <x:v>4</x:v>
      </x:c>
      <x:c r="F667" s="99" t="n">
        <x:v>0.75</x:v>
      </x:c>
      <x:c r="G667" s="91" t="n">
        <x:v>150.43</x:v>
      </x:c>
      <x:c r="H667" s="86" t="n">
        <x:v>1</x:v>
      </x:c>
      <x:c r="I667" s="87" t="n">
        <x:v>7</x:v>
      </x:c>
    </x:row>
    <x:row r="668">
      <x:c r="A668" s="85" t="n">
        <x:v>667</x:v>
      </x:c>
      <x:c r="B668" s="86" t="n">
        <x:v>417</x:v>
      </x:c>
      <x:c r="C668" s="95" t="n">
        <x:v>45847</x:v>
      </x:c>
      <x:c r="D668" s="86" t="str">
        <x:v>Sábado</x:v>
      </x:c>
      <x:c r="E668" s="86" t="n">
        <x:v>1</x:v>
      </x:c>
      <x:c r="F668" s="99" t="n">
        <x:v>0.75</x:v>
      </x:c>
      <x:c r="G668" s="91" t="n">
        <x:v>35.63</x:v>
      </x:c>
      <x:c r="H668" s="86" t="n">
        <x:v>1</x:v>
      </x:c>
      <x:c r="I668" s="87" t="n">
        <x:v>3</x:v>
      </x:c>
    </x:row>
    <x:row r="669">
      <x:c r="A669" s="85" t="n">
        <x:v>668</x:v>
      </x:c>
      <x:c r="B669" s="86" t="n">
        <x:v>209</x:v>
      </x:c>
      <x:c r="C669" s="95" t="n">
        <x:v>45508</x:v>
      </x:c>
      <x:c r="D669" s="86" t="str">
        <x:v>Dia útil</x:v>
      </x:c>
      <x:c r="E669" s="86" t="n">
        <x:v>4</x:v>
      </x:c>
      <x:c r="F669" s="99" t="n">
        <x:v>0.5</x:v>
      </x:c>
      <x:c r="G669" s="91" t="n">
        <x:v>190.63</x:v>
      </x:c>
      <x:c r="H669" s="86" t="n">
        <x:v>1</x:v>
      </x:c>
      <x:c r="I669" s="87" t="n">
        <x:v>7</x:v>
      </x:c>
    </x:row>
    <x:row r="670">
      <x:c r="A670" s="85" t="n">
        <x:v>669</x:v>
      </x:c>
      <x:c r="B670" s="86" t="n">
        <x:v>364</x:v>
      </x:c>
      <x:c r="C670" s="95" t="n">
        <x:v>45485</x:v>
      </x:c>
      <x:c r="D670" s="86" t="str">
        <x:v>Sábado</x:v>
      </x:c>
      <x:c r="E670" s="86" t="n">
        <x:v>8</x:v>
      </x:c>
      <x:c r="F670" s="99" t="n">
        <x:v>0.75</x:v>
      </x:c>
      <x:c r="G670" s="91" t="n">
        <x:v>549.36</x:v>
      </x:c>
      <x:c r="H670" s="86" t="n">
        <x:v>1</x:v>
      </x:c>
      <x:c r="I670" s="87" t="n">
        <x:v>5</x:v>
      </x:c>
    </x:row>
    <x:row r="671">
      <x:c r="A671" s="85" t="n">
        <x:v>670</x:v>
      </x:c>
      <x:c r="B671" s="86" t="n">
        <x:v>11</x:v>
      </x:c>
      <x:c r="C671" s="95" t="n">
        <x:v>45674</x:v>
      </x:c>
      <x:c r="D671" s="86" t="str">
        <x:v>Sábado</x:v>
      </x:c>
      <x:c r="E671" s="86" t="n">
        <x:v>3</x:v>
      </x:c>
      <x:c r="F671" s="99" t="n">
        <x:v>0.75</x:v>
      </x:c>
      <x:c r="G671" s="91" t="n">
        <x:v>190.48</x:v>
      </x:c>
      <x:c r="H671" s="86" t="n">
        <x:v>1</x:v>
      </x:c>
      <x:c r="I671" s="87" t="n">
        <x:v>9</x:v>
      </x:c>
    </x:row>
    <x:row r="672">
      <x:c r="A672" s="85" t="n">
        <x:v>671</x:v>
      </x:c>
      <x:c r="B672" s="86" t="n">
        <x:v>50</x:v>
      </x:c>
      <x:c r="C672" s="95" t="n">
        <x:v>45964</x:v>
      </x:c>
      <x:c r="D672" s="86" t="str">
        <x:v>Sábado</x:v>
      </x:c>
      <x:c r="E672" s="86" t="n">
        <x:v>1</x:v>
      </x:c>
      <x:c r="F672" s="99" t="n">
        <x:v>0.75</x:v>
      </x:c>
      <x:c r="G672" s="91" t="n">
        <x:v>38.54</x:v>
      </x:c>
      <x:c r="H672" s="86" t="n">
        <x:v>1</x:v>
      </x:c>
      <x:c r="I672" s="87" t="n">
        <x:v>6</x:v>
      </x:c>
    </x:row>
    <x:row r="673">
      <x:c r="A673" s="85" t="n">
        <x:v>672</x:v>
      </x:c>
      <x:c r="B673" s="86" t="n">
        <x:v>302</x:v>
      </x:c>
      <x:c r="C673" s="95" t="n">
        <x:v>45866</x:v>
      </x:c>
      <x:c r="D673" s="86" t="str">
        <x:v>Dia útil</x:v>
      </x:c>
      <x:c r="E673" s="86" t="n">
        <x:v>4</x:v>
      </x:c>
      <x:c r="F673" s="99" t="n">
        <x:v>0.5</x:v>
      </x:c>
      <x:c r="G673" s="91" t="n">
        <x:v>109.62</x:v>
      </x:c>
      <x:c r="H673" s="86" t="n">
        <x:v>1</x:v>
      </x:c>
      <x:c r="I673" s="87" t="n">
        <x:v>3</x:v>
      </x:c>
    </x:row>
    <x:row r="674">
      <x:c r="A674" s="85" t="n">
        <x:v>673</x:v>
      </x:c>
      <x:c r="B674" s="86" t="n">
        <x:v>31</x:v>
      </x:c>
      <x:c r="C674" s="95" t="n">
        <x:v>45747</x:v>
      </x:c>
      <x:c r="D674" s="86" t="str">
        <x:v>Dia útil</x:v>
      </x:c>
      <x:c r="E674" s="86" t="n">
        <x:v>2</x:v>
      </x:c>
      <x:c r="F674" s="99" t="n">
        <x:v>0.5</x:v>
      </x:c>
      <x:c r="G674" s="91" t="n">
        <x:v>59.89</x:v>
      </x:c>
      <x:c r="H674" s="86" t="n">
        <x:v>1</x:v>
      </x:c>
      <x:c r="I674" s="87" t="n">
        <x:v>2</x:v>
      </x:c>
    </x:row>
    <x:row r="675">
      <x:c r="A675" s="85" t="n">
        <x:v>674</x:v>
      </x:c>
      <x:c r="B675" s="86" t="n">
        <x:v>345</x:v>
      </x:c>
      <x:c r="C675" s="95" t="n">
        <x:v>45463</x:v>
      </x:c>
      <x:c r="D675" s="86" t="str">
        <x:v>Sábado</x:v>
      </x:c>
      <x:c r="E675" s="86" t="n">
        <x:v>8</x:v>
      </x:c>
      <x:c r="F675" s="99" t="n">
        <x:v>0.75</x:v>
      </x:c>
      <x:c r="G675" s="91" t="n">
        <x:v>240.16</x:v>
      </x:c>
      <x:c r="H675" s="86" t="n">
        <x:v>1</x:v>
      </x:c>
      <x:c r="I675" s="87" t="n">
        <x:v>3</x:v>
      </x:c>
    </x:row>
    <x:row r="676">
      <x:c r="A676" s="85" t="n">
        <x:v>675</x:v>
      </x:c>
      <x:c r="B676" s="86" t="n">
        <x:v>363</x:v>
      </x:c>
      <x:c r="C676" s="95" t="n">
        <x:v>45726</x:v>
      </x:c>
      <x:c r="D676" s="86" t="str">
        <x:v>Sábado</x:v>
      </x:c>
      <x:c r="E676" s="86" t="n">
        <x:v>4</x:v>
      </x:c>
      <x:c r="F676" s="99" t="n">
        <x:v>0.75</x:v>
      </x:c>
      <x:c r="G676" s="91" t="n">
        <x:v>90.07</x:v>
      </x:c>
      <x:c r="H676" s="86" t="n">
        <x:v>1</x:v>
      </x:c>
      <x:c r="I676" s="87" t="n">
        <x:v>1</x:v>
      </x:c>
    </x:row>
    <x:row r="677">
      <x:c r="A677" s="85" t="n">
        <x:v>676</x:v>
      </x:c>
      <x:c r="B677" s="86" t="n">
        <x:v>201</x:v>
      </x:c>
      <x:c r="C677" s="95" t="n">
        <x:v>45623</x:v>
      </x:c>
      <x:c r="D677" s="86" t="str">
        <x:v>Dia útil</x:v>
      </x:c>
      <x:c r="E677" s="86" t="n">
        <x:v>8</x:v>
      </x:c>
      <x:c r="F677" s="99" t="n">
        <x:v>0.5</x:v>
      </x:c>
      <x:c r="G677" s="91" t="n">
        <x:v>123.81</x:v>
      </x:c>
      <x:c r="H677" s="86" t="n">
        <x:v>1</x:v>
      </x:c>
      <x:c r="I677" s="87" t="n">
        <x:v>1</x:v>
      </x:c>
    </x:row>
    <x:row r="678">
      <x:c r="A678" s="85" t="n">
        <x:v>677</x:v>
      </x:c>
      <x:c r="B678" s="86" t="n">
        <x:v>164</x:v>
      </x:c>
      <x:c r="C678" s="95" t="n">
        <x:v>45987</x:v>
      </x:c>
      <x:c r="D678" s="86" t="str">
        <x:v>Sábado</x:v>
      </x:c>
      <x:c r="E678" s="86" t="n">
        <x:v>4</x:v>
      </x:c>
      <x:c r="F678" s="99" t="n">
        <x:v>0.75</x:v>
      </x:c>
      <x:c r="G678" s="91" t="n">
        <x:v>233.72</x:v>
      </x:c>
      <x:c r="H678" s="86" t="n">
        <x:v>1</x:v>
      </x:c>
      <x:c r="I678" s="87" t="n">
        <x:v>10</x:v>
      </x:c>
    </x:row>
    <x:row r="679">
      <x:c r="A679" s="85" t="n">
        <x:v>678</x:v>
      </x:c>
      <x:c r="B679" s="86" t="n">
        <x:v>115</x:v>
      </x:c>
      <x:c r="C679" s="95" t="n">
        <x:v>45645</x:v>
      </x:c>
      <x:c r="D679" s="86" t="str">
        <x:v>Sábado</x:v>
      </x:c>
      <x:c r="E679" s="86" t="n">
        <x:v>4</x:v>
      </x:c>
      <x:c r="F679" s="99" t="n">
        <x:v>0.75</x:v>
      </x:c>
      <x:c r="G679" s="91" t="n">
        <x:v>174.81</x:v>
      </x:c>
      <x:c r="H679" s="86" t="n">
        <x:v>1</x:v>
      </x:c>
      <x:c r="I679" s="87" t="n">
        <x:v>4</x:v>
      </x:c>
    </x:row>
    <x:row r="680">
      <x:c r="A680" s="85" t="n">
        <x:v>679</x:v>
      </x:c>
      <x:c r="B680" s="86" t="n">
        <x:v>272</x:v>
      </x:c>
      <x:c r="C680" s="95" t="n">
        <x:v>45725</x:v>
      </x:c>
      <x:c r="D680" s="86" t="str">
        <x:v>Dia útil</x:v>
      </x:c>
      <x:c r="E680" s="86" t="n">
        <x:v>2</x:v>
      </x:c>
      <x:c r="F680" s="99" t="n">
        <x:v>0.5</x:v>
      </x:c>
      <x:c r="G680" s="91" t="n">
        <x:v>87.6</x:v>
      </x:c>
      <x:c r="H680" s="86" t="n">
        <x:v>1</x:v>
      </x:c>
      <x:c r="I680" s="87" t="n">
        <x:v>10</x:v>
      </x:c>
    </x:row>
    <x:row r="681">
      <x:c r="A681" s="85" t="n">
        <x:v>680</x:v>
      </x:c>
      <x:c r="B681" s="86" t="n">
        <x:v>118</x:v>
      </x:c>
      <x:c r="C681" s="95" t="n">
        <x:v>45569</x:v>
      </x:c>
      <x:c r="D681" s="86" t="str">
        <x:v>Dia útil</x:v>
      </x:c>
      <x:c r="E681" s="86" t="n">
        <x:v>2</x:v>
      </x:c>
      <x:c r="F681" s="99" t="n">
        <x:v>0.5</x:v>
      </x:c>
      <x:c r="G681" s="91" t="n">
        <x:v>37.68</x:v>
      </x:c>
      <x:c r="H681" s="86" t="n">
        <x:v>1</x:v>
      </x:c>
      <x:c r="I681" s="87" t="n">
        <x:v>1</x:v>
      </x:c>
    </x:row>
    <x:row r="682">
      <x:c r="A682" s="85" t="n">
        <x:v>681</x:v>
      </x:c>
      <x:c r="B682" s="86" t="n">
        <x:v>223</x:v>
      </x:c>
      <x:c r="C682" s="95" t="n">
        <x:v>45890</x:v>
      </x:c>
      <x:c r="D682" s="86" t="str">
        <x:v>Dia útil</x:v>
      </x:c>
      <x:c r="E682" s="86" t="n">
        <x:v>2</x:v>
      </x:c>
      <x:c r="F682" s="99" t="n">
        <x:v>0.5</x:v>
      </x:c>
      <x:c r="G682" s="91" t="n">
        <x:v>45.36</x:v>
      </x:c>
      <x:c r="H682" s="86" t="n">
        <x:v>0</x:v>
      </x:c>
      <x:c r="I682" s="87" t="n">
        <x:v>2</x:v>
      </x:c>
    </x:row>
    <x:row r="683">
      <x:c r="A683" s="85" t="n">
        <x:v>682</x:v>
      </x:c>
      <x:c r="B683" s="86" t="n">
        <x:v>45</x:v>
      </x:c>
      <x:c r="C683" s="95" t="n">
        <x:v>45726</x:v>
      </x:c>
      <x:c r="D683" s="86" t="str">
        <x:v>Sábado</x:v>
      </x:c>
      <x:c r="E683" s="86" t="n">
        <x:v>8</x:v>
      </x:c>
      <x:c r="F683" s="99" t="n">
        <x:v>0.75</x:v>
      </x:c>
      <x:c r="G683" s="91" t="n">
        <x:v>144.31</x:v>
      </x:c>
      <x:c r="H683" s="86" t="n">
        <x:v>1</x:v>
      </x:c>
      <x:c r="I683" s="87" t="n">
        <x:v>1</x:v>
      </x:c>
    </x:row>
    <x:row r="684">
      <x:c r="A684" s="85" t="n">
        <x:v>683</x:v>
      </x:c>
      <x:c r="B684" s="86" t="n">
        <x:v>279</x:v>
      </x:c>
      <x:c r="C684" s="95" t="n">
        <x:v>45722</x:v>
      </x:c>
      <x:c r="D684" s="86" t="str">
        <x:v>Dia útil</x:v>
      </x:c>
      <x:c r="E684" s="86" t="n">
        <x:v>2</x:v>
      </x:c>
      <x:c r="F684" s="99" t="n">
        <x:v>0.5</x:v>
      </x:c>
      <x:c r="G684" s="91" t="n">
        <x:v>112.71</x:v>
      </x:c>
      <x:c r="H684" s="86" t="n">
        <x:v>1</x:v>
      </x:c>
      <x:c r="I684" s="87" t="n">
        <x:v>6</x:v>
      </x:c>
    </x:row>
    <x:row r="685">
      <x:c r="A685" s="85" t="n">
        <x:v>684</x:v>
      </x:c>
      <x:c r="B685" s="86" t="n">
        <x:v>306</x:v>
      </x:c>
      <x:c r="C685" s="95" t="n">
        <x:v>45970</x:v>
      </x:c>
      <x:c r="D685" s="86" t="str">
        <x:v>Dia útil</x:v>
      </x:c>
      <x:c r="E685" s="86" t="n">
        <x:v>1</x:v>
      </x:c>
      <x:c r="F685" s="99" t="n">
        <x:v>0.5</x:v>
      </x:c>
      <x:c r="G685" s="91" t="n">
        <x:v>20.42</x:v>
      </x:c>
      <x:c r="H685" s="86" t="n">
        <x:v>1</x:v>
      </x:c>
      <x:c r="I685" s="87" t="n">
        <x:v>1</x:v>
      </x:c>
    </x:row>
    <x:row r="686">
      <x:c r="A686" s="85" t="n">
        <x:v>685</x:v>
      </x:c>
      <x:c r="B686" s="86" t="n">
        <x:v>307</x:v>
      </x:c>
      <x:c r="C686" s="95" t="n">
        <x:v>45361</x:v>
      </x:c>
      <x:c r="D686" s="86" t="str">
        <x:v>Sábado</x:v>
      </x:c>
      <x:c r="E686" s="86" t="n">
        <x:v>6</x:v>
      </x:c>
      <x:c r="F686" s="99" t="n">
        <x:v>0.75</x:v>
      </x:c>
      <x:c r="G686" s="91" t="n">
        <x:v>206.74</x:v>
      </x:c>
      <x:c r="H686" s="86" t="n">
        <x:v>1</x:v>
      </x:c>
      <x:c r="I686" s="87" t="n">
        <x:v>3</x:v>
      </x:c>
    </x:row>
    <x:row r="687">
      <x:c r="A687" s="85" t="n">
        <x:v>686</x:v>
      </x:c>
      <x:c r="B687" s="86" t="n">
        <x:v>337</x:v>
      </x:c>
      <x:c r="C687" s="95" t="n">
        <x:v>45377</x:v>
      </x:c>
      <x:c r="D687" s="86" t="str">
        <x:v>Dia útil</x:v>
      </x:c>
      <x:c r="E687" s="86" t="n">
        <x:v>2</x:v>
      </x:c>
      <x:c r="F687" s="99" t="n">
        <x:v>0.5</x:v>
      </x:c>
      <x:c r="G687" s="91" t="n">
        <x:v>108.96</x:v>
      </x:c>
      <x:c r="H687" s="86" t="n">
        <x:v>1</x:v>
      </x:c>
      <x:c r="I687" s="87" t="n">
        <x:v>6</x:v>
      </x:c>
    </x:row>
    <x:row r="688">
      <x:c r="A688" s="85" t="n">
        <x:v>687</x:v>
      </x:c>
      <x:c r="B688" s="86" t="n">
        <x:v>332</x:v>
      </x:c>
      <x:c r="C688" s="95" t="n">
        <x:v>45991</x:v>
      </x:c>
      <x:c r="D688" s="86" t="str">
        <x:v>Dia útil</x:v>
      </x:c>
      <x:c r="E688" s="86" t="n">
        <x:v>6</x:v>
      </x:c>
      <x:c r="F688" s="99" t="n">
        <x:v>0.5</x:v>
      </x:c>
      <x:c r="G688" s="91" t="n">
        <x:v>335.74</x:v>
      </x:c>
      <x:c r="H688" s="86" t="n">
        <x:v>1</x:v>
      </x:c>
      <x:c r="I688" s="87" t="n">
        <x:v>5</x:v>
      </x:c>
    </x:row>
    <x:row r="689">
      <x:c r="A689" s="85" t="n">
        <x:v>688</x:v>
      </x:c>
      <x:c r="B689" s="86" t="n">
        <x:v>84</x:v>
      </x:c>
      <x:c r="C689" s="95" t="n">
        <x:v>45951</x:v>
      </x:c>
      <x:c r="D689" s="86" t="str">
        <x:v>Domingo/Feriado</x:v>
      </x:c>
      <x:c r="E689" s="86" t="n">
        <x:v>6</x:v>
      </x:c>
      <x:c r="F689" s="99" t="n">
        <x:v>1</x:v>
      </x:c>
      <x:c r="G689" s="91" t="n">
        <x:v>304.03</x:v>
      </x:c>
      <x:c r="H689" s="86" t="n">
        <x:v>1</x:v>
      </x:c>
      <x:c r="I689" s="87" t="n">
        <x:v>4</x:v>
      </x:c>
    </x:row>
    <x:row r="690">
      <x:c r="A690" s="85" t="n">
        <x:v>689</x:v>
      </x:c>
      <x:c r="B690" s="86" t="n">
        <x:v>252</x:v>
      </x:c>
      <x:c r="C690" s="95" t="n">
        <x:v>45842</x:v>
      </x:c>
      <x:c r="D690" s="86" t="str">
        <x:v>Dia útil</x:v>
      </x:c>
      <x:c r="E690" s="86" t="n">
        <x:v>3</x:v>
      </x:c>
      <x:c r="F690" s="99" t="n">
        <x:v>0.5</x:v>
      </x:c>
      <x:c r="G690" s="91" t="n">
        <x:v>211.43</x:v>
      </x:c>
      <x:c r="H690" s="86" t="n">
        <x:v>1</x:v>
      </x:c>
      <x:c r="I690" s="87" t="n">
        <x:v>5</x:v>
      </x:c>
    </x:row>
    <x:row r="691">
      <x:c r="A691" s="85" t="n">
        <x:v>690</x:v>
      </x:c>
      <x:c r="B691" s="86" t="n">
        <x:v>160</x:v>
      </x:c>
      <x:c r="C691" s="95" t="n">
        <x:v>45547</x:v>
      </x:c>
      <x:c r="D691" s="86" t="str">
        <x:v>Dia útil</x:v>
      </x:c>
      <x:c r="E691" s="86" t="n">
        <x:v>2</x:v>
      </x:c>
      <x:c r="F691" s="99" t="n">
        <x:v>0.5</x:v>
      </x:c>
      <x:c r="G691" s="91" t="n">
        <x:v>38.71</x:v>
      </x:c>
      <x:c r="H691" s="86" t="n">
        <x:v>1</x:v>
      </x:c>
      <x:c r="I691" s="87" t="n">
        <x:v>8</x:v>
      </x:c>
    </x:row>
    <x:row r="692">
      <x:c r="A692" s="85" t="n">
        <x:v>691</x:v>
      </x:c>
      <x:c r="B692" s="86" t="n">
        <x:v>303</x:v>
      </x:c>
      <x:c r="C692" s="95" t="n">
        <x:v>45578</x:v>
      </x:c>
      <x:c r="D692" s="86" t="str">
        <x:v>Dia útil</x:v>
      </x:c>
      <x:c r="E692" s="86" t="n">
        <x:v>4</x:v>
      </x:c>
      <x:c r="F692" s="99" t="n">
        <x:v>0.5</x:v>
      </x:c>
      <x:c r="G692" s="91" t="n">
        <x:v>90.14</x:v>
      </x:c>
      <x:c r="H692" s="86" t="n">
        <x:v>1</x:v>
      </x:c>
      <x:c r="I692" s="87" t="n">
        <x:v>1</x:v>
      </x:c>
    </x:row>
    <x:row r="693">
      <x:c r="A693" s="85" t="n">
        <x:v>692</x:v>
      </x:c>
      <x:c r="B693" s="86" t="n">
        <x:v>346</x:v>
      </x:c>
      <x:c r="C693" s="95" t="n">
        <x:v>45597</x:v>
      </x:c>
      <x:c r="D693" s="86" t="str">
        <x:v>Dia útil</x:v>
      </x:c>
      <x:c r="E693" s="86" t="n">
        <x:v>3</x:v>
      </x:c>
      <x:c r="F693" s="99" t="n">
        <x:v>0.5</x:v>
      </x:c>
      <x:c r="G693" s="91" t="n">
        <x:v>131.12</x:v>
      </x:c>
      <x:c r="H693" s="86" t="n">
        <x:v>1</x:v>
      </x:c>
      <x:c r="I693" s="87" t="n">
        <x:v>9</x:v>
      </x:c>
    </x:row>
    <x:row r="694">
      <x:c r="A694" s="85" t="n">
        <x:v>693</x:v>
      </x:c>
      <x:c r="B694" s="86" t="n">
        <x:v>279</x:v>
      </x:c>
      <x:c r="C694" s="95" t="n">
        <x:v>45766</x:v>
      </x:c>
      <x:c r="D694" s="86" t="str">
        <x:v>Dia útil</x:v>
      </x:c>
      <x:c r="E694" s="86" t="n">
        <x:v>6</x:v>
      </x:c>
      <x:c r="F694" s="99" t="n">
        <x:v>0.5</x:v>
      </x:c>
      <x:c r="G694" s="91" t="n">
        <x:v>338.13</x:v>
      </x:c>
      <x:c r="H694" s="86" t="n">
        <x:v>1</x:v>
      </x:c>
      <x:c r="I694" s="87" t="n">
        <x:v>6</x:v>
      </x:c>
    </x:row>
    <x:row r="695">
      <x:c r="A695" s="85" t="n">
        <x:v>694</x:v>
      </x:c>
      <x:c r="B695" s="86" t="n">
        <x:v>388</x:v>
      </x:c>
      <x:c r="C695" s="95" t="n">
        <x:v>45807</x:v>
      </x:c>
      <x:c r="D695" s="86" t="str">
        <x:v>Sábado</x:v>
      </x:c>
      <x:c r="E695" s="86" t="n">
        <x:v>6</x:v>
      </x:c>
      <x:c r="F695" s="99" t="n">
        <x:v>0.75</x:v>
      </x:c>
      <x:c r="G695" s="91" t="n">
        <x:v>131.6</x:v>
      </x:c>
      <x:c r="H695" s="86" t="n">
        <x:v>1</x:v>
      </x:c>
      <x:c r="I695" s="87" t="n">
        <x:v>1</x:v>
      </x:c>
    </x:row>
    <x:row r="696">
      <x:c r="A696" s="85" t="n">
        <x:v>695</x:v>
      </x:c>
      <x:c r="B696" s="86" t="n">
        <x:v>195</x:v>
      </x:c>
      <x:c r="C696" s="95" t="n">
        <x:v>45869</x:v>
      </x:c>
      <x:c r="D696" s="86" t="str">
        <x:v>Sábado</x:v>
      </x:c>
      <x:c r="E696" s="86" t="n">
        <x:v>3</x:v>
      </x:c>
      <x:c r="F696" s="99" t="n">
        <x:v>0.75</x:v>
      </x:c>
      <x:c r="G696" s="91" t="n">
        <x:v>128.16</x:v>
      </x:c>
      <x:c r="H696" s="86" t="n">
        <x:v>1</x:v>
      </x:c>
      <x:c r="I696" s="87" t="n">
        <x:v>4</x:v>
      </x:c>
    </x:row>
    <x:row r="697">
      <x:c r="A697" s="85" t="n">
        <x:v>696</x:v>
      </x:c>
      <x:c r="B697" s="86" t="n">
        <x:v>259</x:v>
      </x:c>
      <x:c r="C697" s="95" t="n">
        <x:v>45573</x:v>
      </x:c>
      <x:c r="D697" s="86" t="str">
        <x:v>Sábado</x:v>
      </x:c>
      <x:c r="E697" s="86" t="n">
        <x:v>6</x:v>
      </x:c>
      <x:c r="F697" s="99" t="n">
        <x:v>0.75</x:v>
      </x:c>
      <x:c r="G697" s="91" t="n">
        <x:v>246.57</x:v>
      </x:c>
      <x:c r="H697" s="86" t="n">
        <x:v>0</x:v>
      </x:c>
      <x:c r="I697" s="87" t="n">
        <x:v>4</x:v>
      </x:c>
    </x:row>
    <x:row r="698">
      <x:c r="A698" s="85" t="n">
        <x:v>697</x:v>
      </x:c>
      <x:c r="B698" s="86" t="n">
        <x:v>46</x:v>
      </x:c>
      <x:c r="C698" s="95" t="n">
        <x:v>45918</x:v>
      </x:c>
      <x:c r="D698" s="86" t="str">
        <x:v>Dia útil</x:v>
      </x:c>
      <x:c r="E698" s="86" t="n">
        <x:v>6</x:v>
      </x:c>
      <x:c r="F698" s="99" t="n">
        <x:v>0.5</x:v>
      </x:c>
      <x:c r="G698" s="91" t="n">
        <x:v>118.21</x:v>
      </x:c>
      <x:c r="H698" s="86" t="n">
        <x:v>1</x:v>
      </x:c>
      <x:c r="I698" s="87" t="n">
        <x:v>1</x:v>
      </x:c>
    </x:row>
    <x:row r="699">
      <x:c r="A699" s="85" t="n">
        <x:v>698</x:v>
      </x:c>
      <x:c r="B699" s="86" t="n">
        <x:v>163</x:v>
      </x:c>
      <x:c r="C699" s="95" t="n">
        <x:v>45477</x:v>
      </x:c>
      <x:c r="D699" s="86" t="str">
        <x:v>Dia útil</x:v>
      </x:c>
      <x:c r="E699" s="86" t="n">
        <x:v>2</x:v>
      </x:c>
      <x:c r="F699" s="99" t="n">
        <x:v>0.5</x:v>
      </x:c>
      <x:c r="G699" s="91" t="n">
        <x:v>54.21</x:v>
      </x:c>
      <x:c r="H699" s="86" t="n">
        <x:v>1</x:v>
      </x:c>
      <x:c r="I699" s="87" t="n">
        <x:v>3</x:v>
      </x:c>
    </x:row>
    <x:row r="700">
      <x:c r="A700" s="85" t="n">
        <x:v>699</x:v>
      </x:c>
      <x:c r="B700" s="86" t="n">
        <x:v>233</x:v>
      </x:c>
      <x:c r="C700" s="95" t="n">
        <x:v>45947</x:v>
      </x:c>
      <x:c r="D700" s="86" t="str">
        <x:v>Domingo/Feriado</x:v>
      </x:c>
      <x:c r="E700" s="86" t="n">
        <x:v>1</x:v>
      </x:c>
      <x:c r="F700" s="99" t="n">
        <x:v>1</x:v>
      </x:c>
      <x:c r="G700" s="91" t="n">
        <x:v>43.49</x:v>
      </x:c>
      <x:c r="H700" s="86" t="n">
        <x:v>1</x:v>
      </x:c>
      <x:c r="I700" s="87" t="n">
        <x:v>2</x:v>
      </x:c>
    </x:row>
    <x:row r="701">
      <x:c r="A701" s="85" t="n">
        <x:v>700</x:v>
      </x:c>
      <x:c r="B701" s="86" t="n">
        <x:v>229</x:v>
      </x:c>
      <x:c r="C701" s="95" t="n">
        <x:v>45294</x:v>
      </x:c>
      <x:c r="D701" s="86" t="str">
        <x:v>Dia útil</x:v>
      </x:c>
      <x:c r="E701" s="86" t="n">
        <x:v>8</x:v>
      </x:c>
      <x:c r="F701" s="99" t="n">
        <x:v>0.5</x:v>
      </x:c>
      <x:c r="G701" s="91" t="n">
        <x:v>269.34</x:v>
      </x:c>
      <x:c r="H701" s="86" t="n">
        <x:v>1</x:v>
      </x:c>
      <x:c r="I701" s="87" t="n">
        <x:v>10</x:v>
      </x:c>
    </x:row>
    <x:row r="702">
      <x:c r="A702" s="85" t="n">
        <x:v>701</x:v>
      </x:c>
      <x:c r="B702" s="86" t="n">
        <x:v>303</x:v>
      </x:c>
      <x:c r="C702" s="95" t="n">
        <x:v>45919</x:v>
      </x:c>
      <x:c r="D702" s="86" t="str">
        <x:v>Dia útil</x:v>
      </x:c>
      <x:c r="E702" s="86" t="n">
        <x:v>1</x:v>
      </x:c>
      <x:c r="F702" s="99" t="n">
        <x:v>0.5</x:v>
      </x:c>
      <x:c r="G702" s="91" t="n">
        <x:v>22.54</x:v>
      </x:c>
      <x:c r="H702" s="86" t="n">
        <x:v>1</x:v>
      </x:c>
      <x:c r="I702" s="87" t="n">
        <x:v>1</x:v>
      </x:c>
    </x:row>
    <x:row r="703">
      <x:c r="A703" s="85" t="n">
        <x:v>702</x:v>
      </x:c>
      <x:c r="B703" s="86" t="n">
        <x:v>124</x:v>
      </x:c>
      <x:c r="C703" s="95" t="n">
        <x:v>45778</x:v>
      </x:c>
      <x:c r="D703" s="86" t="str">
        <x:v>Dia útil</x:v>
      </x:c>
      <x:c r="E703" s="86" t="n">
        <x:v>1</x:v>
      </x:c>
      <x:c r="F703" s="99" t="n">
        <x:v>0.5</x:v>
      </x:c>
      <x:c r="G703" s="91" t="n">
        <x:v>40.32</x:v>
      </x:c>
      <x:c r="H703" s="86" t="n">
        <x:v>0</x:v>
      </x:c>
      <x:c r="I703" s="87" t="n">
        <x:v>6</x:v>
      </x:c>
    </x:row>
    <x:row r="704">
      <x:c r="A704" s="85" t="n">
        <x:v>703</x:v>
      </x:c>
      <x:c r="B704" s="86" t="n">
        <x:v>65</x:v>
      </x:c>
      <x:c r="C704" s="95" t="n">
        <x:v>45962</x:v>
      </x:c>
      <x:c r="D704" s="86" t="str">
        <x:v>Sábado</x:v>
      </x:c>
      <x:c r="E704" s="86" t="n">
        <x:v>2</x:v>
      </x:c>
      <x:c r="F704" s="99" t="n">
        <x:v>0.75</x:v>
      </x:c>
      <x:c r="G704" s="91" t="n">
        <x:v>254.46</x:v>
      </x:c>
      <x:c r="H704" s="86" t="n">
        <x:v>1</x:v>
      </x:c>
      <x:c r="I704" s="87" t="n">
        <x:v>6</x:v>
      </x:c>
    </x:row>
    <x:row r="705">
      <x:c r="A705" s="85" t="n">
        <x:v>704</x:v>
      </x:c>
      <x:c r="B705" s="86" t="n">
        <x:v>69</x:v>
      </x:c>
      <x:c r="C705" s="95" t="n">
        <x:v>45968</x:v>
      </x:c>
      <x:c r="D705" s="86" t="str">
        <x:v>Domingo/Feriado</x:v>
      </x:c>
      <x:c r="E705" s="86" t="n">
        <x:v>6</x:v>
      </x:c>
      <x:c r="F705" s="99" t="n">
        <x:v>1</x:v>
      </x:c>
      <x:c r="G705" s="91" t="n">
        <x:v>387.62</x:v>
      </x:c>
      <x:c r="H705" s="86" t="n">
        <x:v>1</x:v>
      </x:c>
      <x:c r="I705" s="87" t="n">
        <x:v>10</x:v>
      </x:c>
    </x:row>
    <x:row r="706">
      <x:c r="A706" s="85" t="n">
        <x:v>705</x:v>
      </x:c>
      <x:c r="B706" s="86" t="n">
        <x:v>351</x:v>
      </x:c>
      <x:c r="C706" s="95" t="n">
        <x:v>45961</x:v>
      </x:c>
      <x:c r="D706" s="86" t="str">
        <x:v>Dia útil</x:v>
      </x:c>
      <x:c r="E706" s="86" t="n">
        <x:v>6</x:v>
      </x:c>
      <x:c r="F706" s="99" t="n">
        <x:v>0.5</x:v>
      </x:c>
      <x:c r="G706" s="91" t="n">
        <x:v>147.1</x:v>
      </x:c>
      <x:c r="H706" s="86" t="n">
        <x:v>1</x:v>
      </x:c>
      <x:c r="I706" s="87" t="n">
        <x:v>10</x:v>
      </x:c>
    </x:row>
    <x:row r="707">
      <x:c r="A707" s="85" t="n">
        <x:v>706</x:v>
      </x:c>
      <x:c r="B707" s="86" t="n">
        <x:v>59</x:v>
      </x:c>
      <x:c r="C707" s="95" t="n">
        <x:v>45637</x:v>
      </x:c>
      <x:c r="D707" s="86" t="str">
        <x:v>Dia útil</x:v>
      </x:c>
      <x:c r="E707" s="86" t="n">
        <x:v>6</x:v>
      </x:c>
      <x:c r="F707" s="99" t="n">
        <x:v>0.5</x:v>
      </x:c>
      <x:c r="G707" s="91" t="n">
        <x:v>239.55</x:v>
      </x:c>
      <x:c r="H707" s="86" t="n">
        <x:v>1</x:v>
      </x:c>
      <x:c r="I707" s="87" t="n">
        <x:v>9</x:v>
      </x:c>
    </x:row>
    <x:row r="708">
      <x:c r="A708" s="85" t="n">
        <x:v>707</x:v>
      </x:c>
      <x:c r="B708" s="86" t="n">
        <x:v>3</x:v>
      </x:c>
      <x:c r="C708" s="95" t="n">
        <x:v>45823</x:v>
      </x:c>
      <x:c r="D708" s="86" t="str">
        <x:v>Dia útil</x:v>
      </x:c>
      <x:c r="E708" s="86" t="n">
        <x:v>4</x:v>
      </x:c>
      <x:c r="F708" s="99" t="n">
        <x:v>0.5</x:v>
      </x:c>
      <x:c r="G708" s="91" t="n">
        <x:v>89.37</x:v>
      </x:c>
      <x:c r="H708" s="86" t="n">
        <x:v>1</x:v>
      </x:c>
      <x:c r="I708" s="87" t="n">
        <x:v>1</x:v>
      </x:c>
    </x:row>
    <x:row r="709">
      <x:c r="A709" s="85" t="n">
        <x:v>708</x:v>
      </x:c>
      <x:c r="B709" s="86" t="n">
        <x:v>362</x:v>
      </x:c>
      <x:c r="C709" s="95" t="n">
        <x:v>45719</x:v>
      </x:c>
      <x:c r="D709" s="86" t="str">
        <x:v>Dia útil</x:v>
      </x:c>
      <x:c r="E709" s="86" t="n">
        <x:v>8</x:v>
      </x:c>
      <x:c r="F709" s="99" t="n">
        <x:v>0.5</x:v>
      </x:c>
      <x:c r="G709" s="91" t="n">
        <x:v>270.64</x:v>
      </x:c>
      <x:c r="H709" s="86" t="n">
        <x:v>1</x:v>
      </x:c>
      <x:c r="I709" s="87" t="n">
        <x:v>10</x:v>
      </x:c>
    </x:row>
    <x:row r="710">
      <x:c r="A710" s="85" t="n">
        <x:v>709</x:v>
      </x:c>
      <x:c r="B710" s="86" t="n">
        <x:v>42</x:v>
      </x:c>
      <x:c r="C710" s="95" t="n">
        <x:v>45934</x:v>
      </x:c>
      <x:c r="D710" s="86" t="str">
        <x:v>Sábado</x:v>
      </x:c>
      <x:c r="E710" s="86" t="n">
        <x:v>4</x:v>
      </x:c>
      <x:c r="F710" s="99" t="n">
        <x:v>0.75</x:v>
      </x:c>
      <x:c r="G710" s="91" t="n">
        <x:v>153.28</x:v>
      </x:c>
      <x:c r="H710" s="86" t="n">
        <x:v>1</x:v>
      </x:c>
      <x:c r="I710" s="87" t="n">
        <x:v>2</x:v>
      </x:c>
    </x:row>
    <x:row r="711">
      <x:c r="A711" s="85" t="n">
        <x:v>710</x:v>
      </x:c>
      <x:c r="B711" s="86" t="n">
        <x:v>109</x:v>
      </x:c>
      <x:c r="C711" s="95" t="n">
        <x:v>45908</x:v>
      </x:c>
      <x:c r="D711" s="86" t="str">
        <x:v>Sábado</x:v>
      </x:c>
      <x:c r="E711" s="86" t="n">
        <x:v>3</x:v>
      </x:c>
      <x:c r="F711" s="99" t="n">
        <x:v>0.75</x:v>
      </x:c>
      <x:c r="G711" s="91" t="n">
        <x:v>377.9</x:v>
      </x:c>
      <x:c r="H711" s="86" t="n">
        <x:v>1</x:v>
      </x:c>
      <x:c r="I711" s="87" t="n">
        <x:v>8</x:v>
      </x:c>
    </x:row>
    <x:row r="712">
      <x:c r="A712" s="85" t="n">
        <x:v>711</x:v>
      </x:c>
      <x:c r="B712" s="86" t="n">
        <x:v>323</x:v>
      </x:c>
      <x:c r="C712" s="95" t="n">
        <x:v>46021</x:v>
      </x:c>
      <x:c r="D712" s="86" t="str">
        <x:v>Dia útil</x:v>
      </x:c>
      <x:c r="E712" s="86" t="n">
        <x:v>8</x:v>
      </x:c>
      <x:c r="F712" s="99" t="n">
        <x:v>0.5</x:v>
      </x:c>
      <x:c r="G712" s="91" t="n">
        <x:v>409.18</x:v>
      </x:c>
      <x:c r="H712" s="86" t="n">
        <x:v>1</x:v>
      </x:c>
      <x:c r="I712" s="87" t="n">
        <x:v>5</x:v>
      </x:c>
    </x:row>
    <x:row r="713">
      <x:c r="A713" s="85" t="n">
        <x:v>712</x:v>
      </x:c>
      <x:c r="B713" s="86" t="n">
        <x:v>3</x:v>
      </x:c>
      <x:c r="C713" s="95" t="n">
        <x:v>45680</x:v>
      </x:c>
      <x:c r="D713" s="86" t="str">
        <x:v>Dia útil</x:v>
      </x:c>
      <x:c r="E713" s="86" t="n">
        <x:v>1</x:v>
      </x:c>
      <x:c r="F713" s="99" t="n">
        <x:v>0.5</x:v>
      </x:c>
      <x:c r="G713" s="91" t="n">
        <x:v>22.34</x:v>
      </x:c>
      <x:c r="H713" s="86" t="n">
        <x:v>1</x:v>
      </x:c>
      <x:c r="I713" s="87" t="n">
        <x:v>1</x:v>
      </x:c>
    </x:row>
    <x:row r="714">
      <x:c r="A714" s="85" t="n">
        <x:v>713</x:v>
      </x:c>
      <x:c r="B714" s="86" t="n">
        <x:v>239</x:v>
      </x:c>
      <x:c r="C714" s="95" t="n">
        <x:v>45401</x:v>
      </x:c>
      <x:c r="D714" s="86" t="str">
        <x:v>Sábado</x:v>
      </x:c>
      <x:c r="E714" s="86" t="n">
        <x:v>2</x:v>
      </x:c>
      <x:c r="F714" s="99" t="n">
        <x:v>0.75</x:v>
      </x:c>
      <x:c r="G714" s="91" t="n">
        <x:v>174.74</x:v>
      </x:c>
      <x:c r="H714" s="86" t="n">
        <x:v>1</x:v>
      </x:c>
      <x:c r="I714" s="87" t="n">
        <x:v>4</x:v>
      </x:c>
    </x:row>
    <x:row r="715">
      <x:c r="A715" s="85" t="n">
        <x:v>714</x:v>
      </x:c>
      <x:c r="B715" s="86" t="n">
        <x:v>269</x:v>
      </x:c>
      <x:c r="C715" s="95" t="n">
        <x:v>45967</x:v>
      </x:c>
      <x:c r="D715" s="86" t="str">
        <x:v>Domingo/Feriado</x:v>
      </x:c>
      <x:c r="E715" s="86" t="n">
        <x:v>2</x:v>
      </x:c>
      <x:c r="F715" s="99" t="n">
        <x:v>1</x:v>
      </x:c>
      <x:c r="G715" s="91" t="n">
        <x:v>115.36</x:v>
      </x:c>
      <x:c r="H715" s="86" t="n">
        <x:v>1</x:v>
      </x:c>
      <x:c r="I715" s="87" t="n">
        <x:v>4</x:v>
      </x:c>
    </x:row>
    <x:row r="716">
      <x:c r="A716" s="85" t="n">
        <x:v>715</x:v>
      </x:c>
      <x:c r="B716" s="86" t="n">
        <x:v>184</x:v>
      </x:c>
      <x:c r="C716" s="95" t="n">
        <x:v>45537</x:v>
      </x:c>
      <x:c r="D716" s="86" t="str">
        <x:v>Sábado</x:v>
      </x:c>
      <x:c r="E716" s="86" t="n">
        <x:v>3</x:v>
      </x:c>
      <x:c r="F716" s="99" t="n">
        <x:v>0.75</x:v>
      </x:c>
      <x:c r="G716" s="91" t="n">
        <x:v>53.93</x:v>
      </x:c>
      <x:c r="H716" s="86" t="n">
        <x:v>1</x:v>
      </x:c>
      <x:c r="I716" s="87" t="n">
        <x:v>1</x:v>
      </x:c>
    </x:row>
    <x:row r="717">
      <x:c r="A717" s="85" t="n">
        <x:v>716</x:v>
      </x:c>
      <x:c r="B717" s="86" t="n">
        <x:v>167</x:v>
      </x:c>
      <x:c r="C717" s="95" t="n">
        <x:v>45981</x:v>
      </x:c>
      <x:c r="D717" s="86" t="str">
        <x:v>Sábado</x:v>
      </x:c>
      <x:c r="E717" s="86" t="n">
        <x:v>6</x:v>
      </x:c>
      <x:c r="F717" s="99" t="n">
        <x:v>0.75</x:v>
      </x:c>
      <x:c r="G717" s="91" t="n">
        <x:v>179.75</x:v>
      </x:c>
      <x:c r="H717" s="86" t="n">
        <x:v>1</x:v>
      </x:c>
      <x:c r="I717" s="87" t="n">
        <x:v>10</x:v>
      </x:c>
    </x:row>
    <x:row r="718">
      <x:c r="A718" s="85" t="n">
        <x:v>717</x:v>
      </x:c>
      <x:c r="B718" s="86" t="n">
        <x:v>185</x:v>
      </x:c>
      <x:c r="C718" s="95" t="n">
        <x:v>45669</x:v>
      </x:c>
      <x:c r="D718" s="86" t="str">
        <x:v>Dia útil</x:v>
      </x:c>
      <x:c r="E718" s="86" t="n">
        <x:v>4</x:v>
      </x:c>
      <x:c r="F718" s="99" t="n">
        <x:v>0.5</x:v>
      </x:c>
      <x:c r="G718" s="91" t="n">
        <x:v>218.63</x:v>
      </x:c>
      <x:c r="H718" s="86" t="n">
        <x:v>1</x:v>
      </x:c>
      <x:c r="I718" s="87" t="n">
        <x:v>1</x:v>
      </x:c>
    </x:row>
    <x:row r="719">
      <x:c r="A719" s="85" t="n">
        <x:v>718</x:v>
      </x:c>
      <x:c r="B719" s="86" t="n">
        <x:v>394</x:v>
      </x:c>
      <x:c r="C719" s="95" t="n">
        <x:v>45841</x:v>
      </x:c>
      <x:c r="D719" s="86" t="str">
        <x:v>Dia útil</x:v>
      </x:c>
      <x:c r="E719" s="86" t="n">
        <x:v>8</x:v>
      </x:c>
      <x:c r="F719" s="99" t="n">
        <x:v>0.5</x:v>
      </x:c>
      <x:c r="G719" s="91" t="n">
        <x:v>336.57</x:v>
      </x:c>
      <x:c r="H719" s="86" t="n">
        <x:v>1</x:v>
      </x:c>
      <x:c r="I719" s="87" t="n">
        <x:v>9</x:v>
      </x:c>
    </x:row>
    <x:row r="720">
      <x:c r="A720" s="85" t="n">
        <x:v>719</x:v>
      </x:c>
      <x:c r="B720" s="86" t="n">
        <x:v>356</x:v>
      </x:c>
      <x:c r="C720" s="95" t="n">
        <x:v>45676</x:v>
      </x:c>
      <x:c r="D720" s="86" t="str">
        <x:v>Dia útil</x:v>
      </x:c>
      <x:c r="E720" s="86" t="n">
        <x:v>4</x:v>
      </x:c>
      <x:c r="F720" s="99" t="n">
        <x:v>0.5</x:v>
      </x:c>
      <x:c r="G720" s="91" t="n">
        <x:v>183.33</x:v>
      </x:c>
      <x:c r="H720" s="86" t="n">
        <x:v>1</x:v>
      </x:c>
      <x:c r="I720" s="87" t="n">
        <x:v>8</x:v>
      </x:c>
    </x:row>
    <x:row r="721">
      <x:c r="A721" s="85" t="n">
        <x:v>720</x:v>
      </x:c>
      <x:c r="B721" s="86" t="n">
        <x:v>115</x:v>
      </x:c>
      <x:c r="C721" s="95" t="n">
        <x:v>45530</x:v>
      </x:c>
      <x:c r="D721" s="86" t="str">
        <x:v>Sábado</x:v>
      </x:c>
      <x:c r="E721" s="86" t="n">
        <x:v>4</x:v>
      </x:c>
      <x:c r="F721" s="99" t="n">
        <x:v>0.75</x:v>
      </x:c>
      <x:c r="G721" s="91" t="n">
        <x:v>174.81</x:v>
      </x:c>
      <x:c r="H721" s="86" t="n">
        <x:v>1</x:v>
      </x:c>
      <x:c r="I721" s="87" t="n">
        <x:v>4</x:v>
      </x:c>
    </x:row>
    <x:row r="722">
      <x:c r="A722" s="85" t="n">
        <x:v>721</x:v>
      </x:c>
      <x:c r="B722" s="86" t="n">
        <x:v>132</x:v>
      </x:c>
      <x:c r="C722" s="95" t="n">
        <x:v>45998</x:v>
      </x:c>
      <x:c r="D722" s="86" t="str">
        <x:v>Dia útil</x:v>
      </x:c>
      <x:c r="E722" s="86" t="n">
        <x:v>8</x:v>
      </x:c>
      <x:c r="F722" s="99" t="n">
        <x:v>0.5</x:v>
      </x:c>
      <x:c r="G722" s="91" t="n">
        <x:v>317.14</x:v>
      </x:c>
      <x:c r="H722" s="86" t="n">
        <x:v>1</x:v>
      </x:c>
      <x:c r="I722" s="87" t="n">
        <x:v>4</x:v>
      </x:c>
    </x:row>
    <x:row r="723">
      <x:c r="A723" s="85" t="n">
        <x:v>722</x:v>
      </x:c>
      <x:c r="B723" s="86" t="n">
        <x:v>261</x:v>
      </x:c>
      <x:c r="C723" s="95" t="n">
        <x:v>45295</x:v>
      </x:c>
      <x:c r="D723" s="86" t="str">
        <x:v>Domingo/Feriado</x:v>
      </x:c>
      <x:c r="E723" s="86" t="n">
        <x:v>8</x:v>
      </x:c>
      <x:c r="F723" s="99" t="n">
        <x:v>1</x:v>
      </x:c>
      <x:c r="G723" s="91" t="n">
        <x:v>255.41</x:v>
      </x:c>
      <x:c r="H723" s="86" t="n">
        <x:v>1</x:v>
      </x:c>
      <x:c r="I723" s="87" t="n">
        <x:v>3</x:v>
      </x:c>
    </x:row>
    <x:row r="724">
      <x:c r="A724" s="85" t="n">
        <x:v>723</x:v>
      </x:c>
      <x:c r="B724" s="86" t="n">
        <x:v>372</x:v>
      </x:c>
      <x:c r="C724" s="95" t="n">
        <x:v>45991</x:v>
      </x:c>
      <x:c r="D724" s="86" t="str">
        <x:v>Dia útil</x:v>
      </x:c>
      <x:c r="E724" s="86" t="n">
        <x:v>6</x:v>
      </x:c>
      <x:c r="F724" s="99" t="n">
        <x:v>0.5</x:v>
      </x:c>
      <x:c r="G724" s="91" t="n">
        <x:v>151.31</x:v>
      </x:c>
      <x:c r="H724" s="86" t="n">
        <x:v>1</x:v>
      </x:c>
      <x:c r="I724" s="87" t="n">
        <x:v>2</x:v>
      </x:c>
    </x:row>
    <x:row r="725">
      <x:c r="A725" s="85" t="n">
        <x:v>724</x:v>
      </x:c>
      <x:c r="B725" s="86" t="n">
        <x:v>58</x:v>
      </x:c>
      <x:c r="C725" s="95" t="n">
        <x:v>45913</x:v>
      </x:c>
      <x:c r="D725" s="86" t="str">
        <x:v>Domingo/Feriado</x:v>
      </x:c>
      <x:c r="E725" s="86" t="n">
        <x:v>4</x:v>
      </x:c>
      <x:c r="F725" s="99" t="n">
        <x:v>1</x:v>
      </x:c>
      <x:c r="G725" s="91" t="n">
        <x:v>176.06</x:v>
      </x:c>
      <x:c r="H725" s="86" t="n">
        <x:v>1</x:v>
      </x:c>
      <x:c r="I725" s="87" t="n">
        <x:v>6</x:v>
      </x:c>
    </x:row>
    <x:row r="726">
      <x:c r="A726" s="85" t="n">
        <x:v>725</x:v>
      </x:c>
      <x:c r="B726" s="86" t="n">
        <x:v>60</x:v>
      </x:c>
      <x:c r="C726" s="95" t="n">
        <x:v>45520</x:v>
      </x:c>
      <x:c r="D726" s="86" t="str">
        <x:v>Dia útil</x:v>
      </x:c>
      <x:c r="E726" s="86" t="n">
        <x:v>8</x:v>
      </x:c>
      <x:c r="F726" s="99" t="n">
        <x:v>0.5</x:v>
      </x:c>
      <x:c r="G726" s="91" t="n">
        <x:v>559.26</x:v>
      </x:c>
      <x:c r="H726" s="86" t="n">
        <x:v>0</x:v>
      </x:c>
      <x:c r="I726" s="87" t="n">
        <x:v>5</x:v>
      </x:c>
    </x:row>
    <x:row r="727">
      <x:c r="A727" s="85" t="n">
        <x:v>726</x:v>
      </x:c>
      <x:c r="B727" s="86" t="n">
        <x:v>119</x:v>
      </x:c>
      <x:c r="C727" s="95" t="n">
        <x:v>45886</x:v>
      </x:c>
      <x:c r="D727" s="86" t="str">
        <x:v>Sábado</x:v>
      </x:c>
      <x:c r="E727" s="86" t="n">
        <x:v>3</x:v>
      </x:c>
      <x:c r="F727" s="99" t="n">
        <x:v>0.75</x:v>
      </x:c>
      <x:c r="G727" s="91" t="n">
        <x:v>137.98</x:v>
      </x:c>
      <x:c r="H727" s="86" t="n">
        <x:v>1</x:v>
      </x:c>
      <x:c r="I727" s="87" t="n">
        <x:v>8</x:v>
      </x:c>
    </x:row>
    <x:row r="728">
      <x:c r="A728" s="85" t="n">
        <x:v>727</x:v>
      </x:c>
      <x:c r="B728" s="86" t="n">
        <x:v>277</x:v>
      </x:c>
      <x:c r="C728" s="95" t="n">
        <x:v>45776</x:v>
      </x:c>
      <x:c r="D728" s="86" t="str">
        <x:v>Sábado</x:v>
      </x:c>
      <x:c r="E728" s="86" t="n">
        <x:v>1</x:v>
      </x:c>
      <x:c r="F728" s="99" t="n">
        <x:v>0.75</x:v>
      </x:c>
      <x:c r="G728" s="91" t="n">
        <x:v>42.91</x:v>
      </x:c>
      <x:c r="H728" s="86" t="n">
        <x:v>1</x:v>
      </x:c>
      <x:c r="I728" s="87" t="n">
        <x:v>8</x:v>
      </x:c>
    </x:row>
    <x:row r="729">
      <x:c r="A729" s="85" t="n">
        <x:v>728</x:v>
      </x:c>
      <x:c r="B729" s="86" t="n">
        <x:v>144</x:v>
      </x:c>
      <x:c r="C729" s="95" t="n">
        <x:v>45963</x:v>
      </x:c>
      <x:c r="D729" s="86" t="str">
        <x:v>Dia útil</x:v>
      </x:c>
      <x:c r="E729" s="86" t="n">
        <x:v>8</x:v>
      </x:c>
      <x:c r="F729" s="99" t="n">
        <x:v>0.5</x:v>
      </x:c>
      <x:c r="G729" s="91" t="n">
        <x:v>334.61</x:v>
      </x:c>
      <x:c r="H729" s="86" t="n">
        <x:v>1</x:v>
      </x:c>
      <x:c r="I729" s="87" t="n">
        <x:v>4</x:v>
      </x:c>
    </x:row>
    <x:row r="730">
      <x:c r="A730" s="85" t="n">
        <x:v>729</x:v>
      </x:c>
      <x:c r="B730" s="86" t="n">
        <x:v>91</x:v>
      </x:c>
      <x:c r="C730" s="95" t="n">
        <x:v>45762</x:v>
      </x:c>
      <x:c r="D730" s="86" t="str">
        <x:v>Dia útil</x:v>
      </x:c>
      <x:c r="E730" s="86" t="n">
        <x:v>1</x:v>
      </x:c>
      <x:c r="F730" s="99" t="n">
        <x:v>0.5</x:v>
      </x:c>
      <x:c r="G730" s="91" t="n">
        <x:v>53.7</x:v>
      </x:c>
      <x:c r="H730" s="86" t="n">
        <x:v>1</x:v>
      </x:c>
      <x:c r="I730" s="87" t="n">
        <x:v>1</x:v>
      </x:c>
    </x:row>
    <x:row r="731">
      <x:c r="A731" s="85" t="n">
        <x:v>730</x:v>
      </x:c>
      <x:c r="B731" s="86" t="n">
        <x:v>184</x:v>
      </x:c>
      <x:c r="C731" s="95" t="n">
        <x:v>45359</x:v>
      </x:c>
      <x:c r="D731" s="86" t="str">
        <x:v>Sábado</x:v>
      </x:c>
      <x:c r="E731" s="86" t="n">
        <x:v>2</x:v>
      </x:c>
      <x:c r="F731" s="99" t="n">
        <x:v>0.75</x:v>
      </x:c>
      <x:c r="G731" s="91" t="n">
        <x:v>35.95</x:v>
      </x:c>
      <x:c r="H731" s="86" t="n">
        <x:v>1</x:v>
      </x:c>
      <x:c r="I731" s="87" t="n">
        <x:v>1</x:v>
      </x:c>
    </x:row>
    <x:row r="732">
      <x:c r="A732" s="85" t="n">
        <x:v>731</x:v>
      </x:c>
      <x:c r="B732" s="86" t="n">
        <x:v>279</x:v>
      </x:c>
      <x:c r="C732" s="95" t="n">
        <x:v>45650</x:v>
      </x:c>
      <x:c r="D732" s="86" t="str">
        <x:v>Dia útil</x:v>
      </x:c>
      <x:c r="E732" s="86" t="n">
        <x:v>1</x:v>
      </x:c>
      <x:c r="F732" s="99" t="n">
        <x:v>0.5</x:v>
      </x:c>
      <x:c r="G732" s="91" t="n">
        <x:v>56.35</x:v>
      </x:c>
      <x:c r="H732" s="86" t="n">
        <x:v>1</x:v>
      </x:c>
      <x:c r="I732" s="87" t="n">
        <x:v>6</x:v>
      </x:c>
    </x:row>
    <x:row r="733">
      <x:c r="A733" s="85" t="n">
        <x:v>732</x:v>
      </x:c>
      <x:c r="B733" s="86" t="n">
        <x:v>133</x:v>
      </x:c>
      <x:c r="C733" s="95" t="n">
        <x:v>45820</x:v>
      </x:c>
      <x:c r="D733" s="86" t="str">
        <x:v>Dia útil</x:v>
      </x:c>
      <x:c r="E733" s="86" t="n">
        <x:v>8</x:v>
      </x:c>
      <x:c r="F733" s="99" t="n">
        <x:v>0.5</x:v>
      </x:c>
      <x:c r="G733" s="91" t="n">
        <x:v>449.94</x:v>
      </x:c>
      <x:c r="H733" s="86" t="n">
        <x:v>1</x:v>
      </x:c>
      <x:c r="I733" s="87" t="n">
        <x:v>6</x:v>
      </x:c>
    </x:row>
    <x:row r="734">
      <x:c r="A734" s="85" t="n">
        <x:v>733</x:v>
      </x:c>
      <x:c r="B734" s="86" t="n">
        <x:v>267</x:v>
      </x:c>
      <x:c r="C734" s="95" t="n">
        <x:v>45958</x:v>
      </x:c>
      <x:c r="D734" s="86" t="str">
        <x:v>Dia útil</x:v>
      </x:c>
      <x:c r="E734" s="86" t="n">
        <x:v>3</x:v>
      </x:c>
      <x:c r="F734" s="99" t="n">
        <x:v>0.5</x:v>
      </x:c>
      <x:c r="G734" s="91" t="n">
        <x:v>103.54</x:v>
      </x:c>
      <x:c r="H734" s="86" t="n">
        <x:v>1</x:v>
      </x:c>
      <x:c r="I734" s="87" t="n">
        <x:v>4</x:v>
      </x:c>
    </x:row>
    <x:row r="735">
      <x:c r="A735" s="85" t="n">
        <x:v>734</x:v>
      </x:c>
      <x:c r="B735" s="86" t="n">
        <x:v>149</x:v>
      </x:c>
      <x:c r="C735" s="95" t="n">
        <x:v>45782</x:v>
      </x:c>
      <x:c r="D735" s="86" t="str">
        <x:v>Dia útil</x:v>
      </x:c>
      <x:c r="E735" s="86" t="n">
        <x:v>4</x:v>
      </x:c>
      <x:c r="F735" s="99" t="n">
        <x:v>0.5</x:v>
      </x:c>
      <x:c r="G735" s="91" t="n">
        <x:v>199.9</x:v>
      </x:c>
      <x:c r="H735" s="86" t="n">
        <x:v>1</x:v>
      </x:c>
      <x:c r="I735" s="87" t="n">
        <x:v>6</x:v>
      </x:c>
    </x:row>
    <x:row r="736">
      <x:c r="A736" s="85" t="n">
        <x:v>735</x:v>
      </x:c>
      <x:c r="B736" s="86" t="n">
        <x:v>287</x:v>
      </x:c>
      <x:c r="C736" s="95" t="n">
        <x:v>45946</x:v>
      </x:c>
      <x:c r="D736" s="86" t="str">
        <x:v>Dia útil</x:v>
      </x:c>
      <x:c r="E736" s="86" t="n">
        <x:v>1</x:v>
      </x:c>
      <x:c r="F736" s="99" t="n">
        <x:v>0.5</x:v>
      </x:c>
      <x:c r="G736" s="91" t="n">
        <x:v>66.2</x:v>
      </x:c>
      <x:c r="H736" s="86" t="n">
        <x:v>1</x:v>
      </x:c>
      <x:c r="I736" s="87" t="n">
        <x:v>5</x:v>
      </x:c>
    </x:row>
    <x:row r="737">
      <x:c r="A737" s="85" t="n">
        <x:v>736</x:v>
      </x:c>
      <x:c r="B737" s="86" t="n">
        <x:v>254</x:v>
      </x:c>
      <x:c r="C737" s="95" t="n">
        <x:v>45881</x:v>
      </x:c>
      <x:c r="D737" s="86" t="str">
        <x:v>Dia útil</x:v>
      </x:c>
      <x:c r="E737" s="86" t="n">
        <x:v>3</x:v>
      </x:c>
      <x:c r="F737" s="99" t="n">
        <x:v>0.5</x:v>
      </x:c>
      <x:c r="G737" s="91" t="n">
        <x:v>57.32</x:v>
      </x:c>
      <x:c r="H737" s="86" t="n">
        <x:v>1</x:v>
      </x:c>
      <x:c r="I737" s="87" t="n">
        <x:v>1</x:v>
      </x:c>
    </x:row>
    <x:row r="738">
      <x:c r="A738" s="85" t="n">
        <x:v>737</x:v>
      </x:c>
      <x:c r="B738" s="86" t="n">
        <x:v>206</x:v>
      </x:c>
      <x:c r="C738" s="95" t="n">
        <x:v>45693</x:v>
      </x:c>
      <x:c r="D738" s="86" t="str">
        <x:v>Dia útil</x:v>
      </x:c>
      <x:c r="E738" s="86" t="n">
        <x:v>4</x:v>
      </x:c>
      <x:c r="F738" s="99" t="n">
        <x:v>0.5</x:v>
      </x:c>
      <x:c r="G738" s="91" t="n">
        <x:v>149.95</x:v>
      </x:c>
      <x:c r="H738" s="86" t="n">
        <x:v>1</x:v>
      </x:c>
      <x:c r="I738" s="87" t="n">
        <x:v>6</x:v>
      </x:c>
    </x:row>
    <x:row r="739">
      <x:c r="A739" s="85" t="n">
        <x:v>738</x:v>
      </x:c>
      <x:c r="B739" s="86" t="n">
        <x:v>175</x:v>
      </x:c>
      <x:c r="C739" s="95" t="n">
        <x:v>45933</x:v>
      </x:c>
      <x:c r="D739" s="86" t="str">
        <x:v>Sábado</x:v>
      </x:c>
      <x:c r="E739" s="86" t="n">
        <x:v>2</x:v>
      </x:c>
      <x:c r="F739" s="99" t="n">
        <x:v>0.75</x:v>
      </x:c>
      <x:c r="G739" s="91" t="n">
        <x:v>127</x:v>
      </x:c>
      <x:c r="H739" s="86" t="n">
        <x:v>1</x:v>
      </x:c>
      <x:c r="I739" s="87" t="n">
        <x:v>9</x:v>
      </x:c>
    </x:row>
    <x:row r="740">
      <x:c r="A740" s="85" t="n">
        <x:v>739</x:v>
      </x:c>
      <x:c r="B740" s="86" t="n">
        <x:v>224</x:v>
      </x:c>
      <x:c r="C740" s="95" t="n">
        <x:v>45873</x:v>
      </x:c>
      <x:c r="D740" s="86" t="str">
        <x:v>Domingo/Feriado</x:v>
      </x:c>
      <x:c r="E740" s="86" t="n">
        <x:v>1</x:v>
      </x:c>
      <x:c r="F740" s="99" t="n">
        <x:v>1</x:v>
      </x:c>
      <x:c r="G740" s="91" t="n">
        <x:v>21.21</x:v>
      </x:c>
      <x:c r="H740" s="86" t="n">
        <x:v>1</x:v>
      </x:c>
      <x:c r="I740" s="87" t="n">
        <x:v>1</x:v>
      </x:c>
    </x:row>
    <x:row r="741">
      <x:c r="A741" s="85" t="n">
        <x:v>740</x:v>
      </x:c>
      <x:c r="B741" s="86" t="n">
        <x:v>376</x:v>
      </x:c>
      <x:c r="C741" s="95" t="n">
        <x:v>45915</x:v>
      </x:c>
      <x:c r="D741" s="86" t="str">
        <x:v>Domingo/Feriado</x:v>
      </x:c>
      <x:c r="E741" s="86" t="n">
        <x:v>8</x:v>
      </x:c>
      <x:c r="F741" s="99" t="n">
        <x:v>1</x:v>
      </x:c>
      <x:c r="G741" s="91" t="n">
        <x:v>680.8</x:v>
      </x:c>
      <x:c r="H741" s="86" t="n">
        <x:v>0</x:v>
      </x:c>
      <x:c r="I741" s="87" t="n">
        <x:v>4</x:v>
      </x:c>
    </x:row>
    <x:row r="742">
      <x:c r="A742" s="85" t="n">
        <x:v>741</x:v>
      </x:c>
      <x:c r="B742" s="86" t="n">
        <x:v>210</x:v>
      </x:c>
      <x:c r="C742" s="95" t="n">
        <x:v>45932</x:v>
      </x:c>
      <x:c r="D742" s="86" t="str">
        <x:v>Dia útil</x:v>
      </x:c>
      <x:c r="E742" s="86" t="n">
        <x:v>1</x:v>
      </x:c>
      <x:c r="F742" s="99" t="n">
        <x:v>0.5</x:v>
      </x:c>
      <x:c r="G742" s="91" t="n">
        <x:v>22.42</x:v>
      </x:c>
      <x:c r="H742" s="86" t="n">
        <x:v>1</x:v>
      </x:c>
      <x:c r="I742" s="87" t="n">
        <x:v>1</x:v>
      </x:c>
    </x:row>
    <x:row r="743">
      <x:c r="A743" s="85" t="n">
        <x:v>742</x:v>
      </x:c>
      <x:c r="B743" s="86" t="n">
        <x:v>18</x:v>
      </x:c>
      <x:c r="C743" s="95" t="n">
        <x:v>45841</x:v>
      </x:c>
      <x:c r="D743" s="86" t="str">
        <x:v>Dia útil</x:v>
      </x:c>
      <x:c r="E743" s="86" t="n">
        <x:v>1</x:v>
      </x:c>
      <x:c r="F743" s="99" t="n">
        <x:v>0.5</x:v>
      </x:c>
      <x:c r="G743" s="91" t="n">
        <x:v>18.63</x:v>
      </x:c>
      <x:c r="H743" s="86" t="n">
        <x:v>1</x:v>
      </x:c>
      <x:c r="I743" s="87" t="n">
        <x:v>1</x:v>
      </x:c>
    </x:row>
    <x:row r="744">
      <x:c r="A744" s="85" t="n">
        <x:v>743</x:v>
      </x:c>
      <x:c r="B744" s="86" t="n">
        <x:v>234</x:v>
      </x:c>
      <x:c r="C744" s="95" t="n">
        <x:v>45516</x:v>
      </x:c>
      <x:c r="D744" s="86" t="str">
        <x:v>Sábado</x:v>
      </x:c>
      <x:c r="E744" s="86" t="n">
        <x:v>8</x:v>
      </x:c>
      <x:c r="F744" s="99" t="n">
        <x:v>0.75</x:v>
      </x:c>
      <x:c r="G744" s="91" t="n">
        <x:v>155</x:v>
      </x:c>
      <x:c r="H744" s="86" t="n">
        <x:v>0</x:v>
      </x:c>
      <x:c r="I744" s="87" t="n">
        <x:v>1</x:v>
      </x:c>
    </x:row>
    <x:row r="745">
      <x:c r="A745" s="85" t="n">
        <x:v>744</x:v>
      </x:c>
      <x:c r="B745" s="86" t="n">
        <x:v>307</x:v>
      </x:c>
      <x:c r="C745" s="95" t="n">
        <x:v>45443</x:v>
      </x:c>
      <x:c r="D745" s="86" t="str">
        <x:v>Dia útil</x:v>
      </x:c>
      <x:c r="E745" s="86" t="n">
        <x:v>2</x:v>
      </x:c>
      <x:c r="F745" s="99" t="n">
        <x:v>0.5</x:v>
      </x:c>
      <x:c r="G745" s="91" t="n">
        <x:v>59.07</x:v>
      </x:c>
      <x:c r="H745" s="86" t="n">
        <x:v>1</x:v>
      </x:c>
      <x:c r="I745" s="87" t="n">
        <x:v>3</x:v>
      </x:c>
    </x:row>
    <x:row r="746">
      <x:c r="A746" s="85" t="n">
        <x:v>745</x:v>
      </x:c>
      <x:c r="B746" s="86" t="n">
        <x:v>134</x:v>
      </x:c>
      <x:c r="C746" s="95" t="n">
        <x:v>45459</x:v>
      </x:c>
      <x:c r="D746" s="86" t="str">
        <x:v>Dia útil</x:v>
      </x:c>
      <x:c r="E746" s="86" t="n">
        <x:v>8</x:v>
      </x:c>
      <x:c r="F746" s="99" t="n">
        <x:v>0.5</x:v>
      </x:c>
      <x:c r="G746" s="91" t="n">
        <x:v>420.79</x:v>
      </x:c>
      <x:c r="H746" s="86" t="n">
        <x:v>1</x:v>
      </x:c>
      <x:c r="I746" s="87" t="n">
        <x:v>5</x:v>
      </x:c>
    </x:row>
    <x:row r="747">
      <x:c r="A747" s="85" t="n">
        <x:v>746</x:v>
      </x:c>
      <x:c r="B747" s="86" t="n">
        <x:v>275</x:v>
      </x:c>
      <x:c r="C747" s="95" t="n">
        <x:v>45988</x:v>
      </x:c>
      <x:c r="D747" s="86" t="str">
        <x:v>Dia útil</x:v>
      </x:c>
      <x:c r="E747" s="86" t="n">
        <x:v>1</x:v>
      </x:c>
      <x:c r="F747" s="99" t="n">
        <x:v>0.5</x:v>
      </x:c>
      <x:c r="G747" s="91" t="n">
        <x:v>15.1</x:v>
      </x:c>
      <x:c r="H747" s="86" t="n">
        <x:v>1</x:v>
      </x:c>
      <x:c r="I747" s="87" t="n">
        <x:v>1</x:v>
      </x:c>
    </x:row>
    <x:row r="748">
      <x:c r="A748" s="85" t="n">
        <x:v>747</x:v>
      </x:c>
      <x:c r="B748" s="86" t="n">
        <x:v>387</x:v>
      </x:c>
      <x:c r="C748" s="95" t="n">
        <x:v>45584</x:v>
      </x:c>
      <x:c r="D748" s="86" t="str">
        <x:v>Dia útil</x:v>
      </x:c>
      <x:c r="E748" s="86" t="n">
        <x:v>3</x:v>
      </x:c>
      <x:c r="F748" s="99" t="n">
        <x:v>0.5</x:v>
      </x:c>
      <x:c r="G748" s="91" t="n">
        <x:v>142.5</x:v>
      </x:c>
      <x:c r="H748" s="86" t="n">
        <x:v>1</x:v>
      </x:c>
      <x:c r="I748" s="87" t="n">
        <x:v>5</x:v>
      </x:c>
    </x:row>
    <x:row r="749">
      <x:c r="A749" s="85" t="n">
        <x:v>748</x:v>
      </x:c>
      <x:c r="B749" s="86" t="n">
        <x:v>68</x:v>
      </x:c>
      <x:c r="C749" s="95" t="n">
        <x:v>45838</x:v>
      </x:c>
      <x:c r="D749" s="86" t="str">
        <x:v>Dia útil</x:v>
      </x:c>
      <x:c r="E749" s="86" t="n">
        <x:v>3</x:v>
      </x:c>
      <x:c r="F749" s="99" t="n">
        <x:v>0.5</x:v>
      </x:c>
      <x:c r="G749" s="91" t="n">
        <x:v>90.05</x:v>
      </x:c>
      <x:c r="H749" s="86" t="n">
        <x:v>1</x:v>
      </x:c>
      <x:c r="I749" s="87" t="n">
        <x:v>4</x:v>
      </x:c>
    </x:row>
    <x:row r="750">
      <x:c r="A750" s="85" t="n">
        <x:v>749</x:v>
      </x:c>
      <x:c r="B750" s="86" t="n">
        <x:v>133</x:v>
      </x:c>
      <x:c r="C750" s="95" t="n">
        <x:v>45765</x:v>
      </x:c>
      <x:c r="D750" s="86" t="str">
        <x:v>Sábado</x:v>
      </x:c>
      <x:c r="E750" s="86" t="n">
        <x:v>4</x:v>
      </x:c>
      <x:c r="F750" s="99" t="n">
        <x:v>0.75</x:v>
      </x:c>
      <x:c r="G750" s="91" t="n">
        <x:v>262.47</x:v>
      </x:c>
      <x:c r="H750" s="86" t="n">
        <x:v>1</x:v>
      </x:c>
      <x:c r="I750" s="87" t="n">
        <x:v>6</x:v>
      </x:c>
    </x:row>
    <x:row r="751">
      <x:c r="A751" s="85" t="n">
        <x:v>750</x:v>
      </x:c>
      <x:c r="B751" s="86" t="n">
        <x:v>35</x:v>
      </x:c>
      <x:c r="C751" s="95" t="n">
        <x:v>45307</x:v>
      </x:c>
      <x:c r="D751" s="86" t="str">
        <x:v>Dia útil</x:v>
      </x:c>
      <x:c r="E751" s="86" t="n">
        <x:v>2</x:v>
      </x:c>
      <x:c r="F751" s="99" t="n">
        <x:v>0.5</x:v>
      </x:c>
      <x:c r="G751" s="91" t="n">
        <x:v>100.34</x:v>
      </x:c>
      <x:c r="H751" s="86" t="n">
        <x:v>1</x:v>
      </x:c>
      <x:c r="I751" s="87" t="n">
        <x:v>6</x:v>
      </x:c>
    </x:row>
    <x:row r="752">
      <x:c r="A752" s="85" t="n">
        <x:v>751</x:v>
      </x:c>
      <x:c r="B752" s="86" t="n">
        <x:v>53</x:v>
      </x:c>
      <x:c r="C752" s="95" t="n">
        <x:v>45881</x:v>
      </x:c>
      <x:c r="D752" s="86" t="str">
        <x:v>Dia útil</x:v>
      </x:c>
      <x:c r="E752" s="86" t="n">
        <x:v>2</x:v>
      </x:c>
      <x:c r="F752" s="99" t="n">
        <x:v>0.5</x:v>
      </x:c>
      <x:c r="G752" s="91" t="n">
        <x:v>63.13</x:v>
      </x:c>
      <x:c r="H752" s="86" t="n">
        <x:v>1</x:v>
      </x:c>
      <x:c r="I752" s="87" t="n">
        <x:v>7</x:v>
      </x:c>
    </x:row>
    <x:row r="753">
      <x:c r="A753" s="85" t="n">
        <x:v>752</x:v>
      </x:c>
      <x:c r="B753" s="86" t="n">
        <x:v>277</x:v>
      </x:c>
      <x:c r="C753" s="95" t="n">
        <x:v>45420</x:v>
      </x:c>
      <x:c r="D753" s="86" t="str">
        <x:v>Dia útil</x:v>
      </x:c>
      <x:c r="E753" s="86" t="n">
        <x:v>2</x:v>
      </x:c>
      <x:c r="F753" s="99" t="n">
        <x:v>0.5</x:v>
      </x:c>
      <x:c r="G753" s="91" t="n">
        <x:v>73.56</x:v>
      </x:c>
      <x:c r="H753" s="86" t="n">
        <x:v>1</x:v>
      </x:c>
      <x:c r="I753" s="87" t="n">
        <x:v>8</x:v>
      </x:c>
    </x:row>
    <x:row r="754">
      <x:c r="A754" s="85" t="n">
        <x:v>753</x:v>
      </x:c>
      <x:c r="B754" s="86" t="n">
        <x:v>174</x:v>
      </x:c>
      <x:c r="C754" s="95" t="n">
        <x:v>45531</x:v>
      </x:c>
      <x:c r="D754" s="86" t="str">
        <x:v>Dia útil</x:v>
      </x:c>
      <x:c r="E754" s="86" t="n">
        <x:v>6</x:v>
      </x:c>
      <x:c r="F754" s="99" t="n">
        <x:v>0.5</x:v>
      </x:c>
      <x:c r="G754" s="91" t="n">
        <x:v>207.44</x:v>
      </x:c>
      <x:c r="H754" s="86" t="n">
        <x:v>1</x:v>
      </x:c>
      <x:c r="I754" s="87" t="n">
        <x:v>2</x:v>
      </x:c>
    </x:row>
    <x:row r="755">
      <x:c r="A755" s="85" t="n">
        <x:v>754</x:v>
      </x:c>
      <x:c r="B755" s="86" t="n">
        <x:v>368</x:v>
      </x:c>
      <x:c r="C755" s="95" t="n">
        <x:v>45983</x:v>
      </x:c>
      <x:c r="D755" s="86" t="str">
        <x:v>Dia útil</x:v>
      </x:c>
      <x:c r="E755" s="86" t="n">
        <x:v>1</x:v>
      </x:c>
      <x:c r="F755" s="99" t="n">
        <x:v>0.5</x:v>
      </x:c>
      <x:c r="G755" s="91" t="n">
        <x:v>15.2</x:v>
      </x:c>
      <x:c r="H755" s="86" t="n">
        <x:v>1</x:v>
      </x:c>
      <x:c r="I755" s="87" t="n">
        <x:v>1</x:v>
      </x:c>
    </x:row>
    <x:row r="756">
      <x:c r="A756" s="85" t="n">
        <x:v>755</x:v>
      </x:c>
      <x:c r="B756" s="86" t="n">
        <x:v>289</x:v>
      </x:c>
      <x:c r="C756" s="95" t="n">
        <x:v>45997</x:v>
      </x:c>
      <x:c r="D756" s="86" t="str">
        <x:v>Domingo/Feriado</x:v>
      </x:c>
      <x:c r="E756" s="86" t="n">
        <x:v>8</x:v>
      </x:c>
      <x:c r="F756" s="99" t="n">
        <x:v>1</x:v>
      </x:c>
      <x:c r="G756" s="91" t="n">
        <x:v>199.49</x:v>
      </x:c>
      <x:c r="H756" s="86" t="n">
        <x:v>1</x:v>
      </x:c>
      <x:c r="I756" s="87" t="n">
        <x:v>1</x:v>
      </x:c>
    </x:row>
    <x:row r="757">
      <x:c r="A757" s="85" t="n">
        <x:v>756</x:v>
      </x:c>
      <x:c r="B757" s="86" t="n">
        <x:v>350</x:v>
      </x:c>
      <x:c r="C757" s="95" t="n">
        <x:v>45905</x:v>
      </x:c>
      <x:c r="D757" s="86" t="str">
        <x:v>Dia útil</x:v>
      </x:c>
      <x:c r="E757" s="86" t="n">
        <x:v>8</x:v>
      </x:c>
      <x:c r="F757" s="99" t="n">
        <x:v>0.5</x:v>
      </x:c>
      <x:c r="G757" s="91" t="n">
        <x:v>139.73</x:v>
      </x:c>
      <x:c r="H757" s="86" t="n">
        <x:v>1</x:v>
      </x:c>
      <x:c r="I757" s="87" t="n">
        <x:v>1</x:v>
      </x:c>
    </x:row>
    <x:row r="758">
      <x:c r="A758" s="85" t="n">
        <x:v>757</x:v>
      </x:c>
      <x:c r="B758" s="86" t="n">
        <x:v>143</x:v>
      </x:c>
      <x:c r="C758" s="95" t="n">
        <x:v>45809</x:v>
      </x:c>
      <x:c r="D758" s="86" t="str">
        <x:v>Dia útil</x:v>
      </x:c>
      <x:c r="E758" s="86" t="n">
        <x:v>3</x:v>
      </x:c>
      <x:c r="F758" s="99" t="n">
        <x:v>0.5</x:v>
      </x:c>
      <x:c r="G758" s="91" t="n">
        <x:v>137.1</x:v>
      </x:c>
      <x:c r="H758" s="86" t="n">
        <x:v>1</x:v>
      </x:c>
      <x:c r="I758" s="87" t="n">
        <x:v>4</x:v>
      </x:c>
    </x:row>
    <x:row r="759">
      <x:c r="A759" s="85" t="n">
        <x:v>758</x:v>
      </x:c>
      <x:c r="B759" s="86" t="n">
        <x:v>28</x:v>
      </x:c>
      <x:c r="C759" s="95" t="n">
        <x:v>45846</x:v>
      </x:c>
      <x:c r="D759" s="86" t="str">
        <x:v>Dia útil</x:v>
      </x:c>
      <x:c r="E759" s="86" t="n">
        <x:v>6</x:v>
      </x:c>
      <x:c r="F759" s="99" t="n">
        <x:v>0.5</x:v>
      </x:c>
      <x:c r="G759" s="91" t="n">
        <x:v>123.48</x:v>
      </x:c>
      <x:c r="H759" s="86" t="n">
        <x:v>1</x:v>
      </x:c>
      <x:c r="I759" s="87" t="n">
        <x:v>1</x:v>
      </x:c>
    </x:row>
    <x:row r="760">
      <x:c r="A760" s="85" t="n">
        <x:v>759</x:v>
      </x:c>
      <x:c r="B760" s="86" t="n">
        <x:v>249</x:v>
      </x:c>
      <x:c r="C760" s="95" t="n">
        <x:v>45719</x:v>
      </x:c>
      <x:c r="D760" s="86" t="str">
        <x:v>Dia útil</x:v>
      </x:c>
      <x:c r="E760" s="86" t="n">
        <x:v>3</x:v>
      </x:c>
      <x:c r="F760" s="99" t="n">
        <x:v>0.5</x:v>
      </x:c>
      <x:c r="G760" s="91" t="n">
        <x:v>152.04</x:v>
      </x:c>
      <x:c r="H760" s="86" t="n">
        <x:v>1</x:v>
      </x:c>
      <x:c r="I760" s="87" t="n">
        <x:v>5</x:v>
      </x:c>
    </x:row>
    <x:row r="761">
      <x:c r="A761" s="85" t="n">
        <x:v>760</x:v>
      </x:c>
      <x:c r="B761" s="86" t="n">
        <x:v>239</x:v>
      </x:c>
      <x:c r="C761" s="95" t="n">
        <x:v>45393</x:v>
      </x:c>
      <x:c r="D761" s="86" t="str">
        <x:v>Dia útil</x:v>
      </x:c>
      <x:c r="E761" s="86" t="n">
        <x:v>8</x:v>
      </x:c>
      <x:c r="F761" s="99" t="n">
        <x:v>0.5</x:v>
      </x:c>
      <x:c r="G761" s="91" t="n">
        <x:v>599.1</x:v>
      </x:c>
      <x:c r="H761" s="86" t="n">
        <x:v>1</x:v>
      </x:c>
      <x:c r="I761" s="87" t="n">
        <x:v>4</x:v>
      </x:c>
    </x:row>
    <x:row r="762">
      <x:c r="A762" s="85" t="n">
        <x:v>761</x:v>
      </x:c>
      <x:c r="B762" s="86" t="n">
        <x:v>116</x:v>
      </x:c>
      <x:c r="C762" s="95" t="n">
        <x:v>45309</x:v>
      </x:c>
      <x:c r="D762" s="86" t="str">
        <x:v>Dia útil</x:v>
      </x:c>
      <x:c r="E762" s="86" t="n">
        <x:v>1</x:v>
      </x:c>
      <x:c r="F762" s="99" t="n">
        <x:v>0.5</x:v>
      </x:c>
      <x:c r="G762" s="91" t="n">
        <x:v>102.03</x:v>
      </x:c>
      <x:c r="H762" s="86" t="n">
        <x:v>1</x:v>
      </x:c>
      <x:c r="I762" s="87" t="n">
        <x:v>6</x:v>
      </x:c>
    </x:row>
    <x:row r="763">
      <x:c r="A763" s="85" t="n">
        <x:v>762</x:v>
      </x:c>
      <x:c r="B763" s="86" t="n">
        <x:v>125</x:v>
      </x:c>
      <x:c r="C763" s="95" t="n">
        <x:v>45920</x:v>
      </x:c>
      <x:c r="D763" s="86" t="str">
        <x:v>Dia útil</x:v>
      </x:c>
      <x:c r="E763" s="86" t="n">
        <x:v>2</x:v>
      </x:c>
      <x:c r="F763" s="99" t="n">
        <x:v>0.5</x:v>
      </x:c>
      <x:c r="G763" s="91" t="n">
        <x:v>42.96</x:v>
      </x:c>
      <x:c r="H763" s="86" t="n">
        <x:v>1</x:v>
      </x:c>
      <x:c r="I763" s="87" t="n">
        <x:v>1</x:v>
      </x:c>
    </x:row>
    <x:row r="764">
      <x:c r="A764" s="85" t="n">
        <x:v>763</x:v>
      </x:c>
      <x:c r="B764" s="86" t="n">
        <x:v>206</x:v>
      </x:c>
      <x:c r="C764" s="95" t="n">
        <x:v>45687</x:v>
      </x:c>
      <x:c r="D764" s="86" t="str">
        <x:v>Dia útil</x:v>
      </x:c>
      <x:c r="E764" s="86" t="n">
        <x:v>6</x:v>
      </x:c>
      <x:c r="F764" s="99" t="n">
        <x:v>0.5</x:v>
      </x:c>
      <x:c r="G764" s="91" t="n">
        <x:v>224.92</x:v>
      </x:c>
      <x:c r="H764" s="86" t="n">
        <x:v>1</x:v>
      </x:c>
      <x:c r="I764" s="87" t="n">
        <x:v>6</x:v>
      </x:c>
    </x:row>
    <x:row r="765">
      <x:c r="A765" s="85" t="n">
        <x:v>764</x:v>
      </x:c>
      <x:c r="B765" s="86" t="n">
        <x:v>203</x:v>
      </x:c>
      <x:c r="C765" s="95" t="n">
        <x:v>45408</x:v>
      </x:c>
      <x:c r="D765" s="86" t="str">
        <x:v>Sábado</x:v>
      </x:c>
      <x:c r="E765" s="86" t="n">
        <x:v>4</x:v>
      </x:c>
      <x:c r="F765" s="99" t="n">
        <x:v>0.75</x:v>
      </x:c>
      <x:c r="G765" s="91" t="n">
        <x:v>153.02</x:v>
      </x:c>
      <x:c r="H765" s="86" t="n">
        <x:v>1</x:v>
      </x:c>
      <x:c r="I765" s="87" t="n">
        <x:v>8</x:v>
      </x:c>
    </x:row>
    <x:row r="766">
      <x:c r="A766" s="85" t="n">
        <x:v>765</x:v>
      </x:c>
      <x:c r="B766" s="86" t="n">
        <x:v>370</x:v>
      </x:c>
      <x:c r="C766" s="95" t="n">
        <x:v>45959</x:v>
      </x:c>
      <x:c r="D766" s="86" t="str">
        <x:v>Sábado</x:v>
      </x:c>
      <x:c r="E766" s="86" t="n">
        <x:v>3</x:v>
      </x:c>
      <x:c r="F766" s="99" t="n">
        <x:v>0.75</x:v>
      </x:c>
      <x:c r="G766" s="91" t="n">
        <x:v>147.83</x:v>
      </x:c>
      <x:c r="H766" s="86" t="n">
        <x:v>1</x:v>
      </x:c>
      <x:c r="I766" s="87" t="n">
        <x:v>4</x:v>
      </x:c>
    </x:row>
    <x:row r="767">
      <x:c r="A767" s="85" t="n">
        <x:v>766</x:v>
      </x:c>
      <x:c r="B767" s="86" t="n">
        <x:v>298</x:v>
      </x:c>
      <x:c r="C767" s="95" t="n">
        <x:v>45466</x:v>
      </x:c>
      <x:c r="D767" s="86" t="str">
        <x:v>Sábado</x:v>
      </x:c>
      <x:c r="E767" s="86" t="n">
        <x:v>1</x:v>
      </x:c>
      <x:c r="F767" s="99" t="n">
        <x:v>0.75</x:v>
      </x:c>
      <x:c r="G767" s="91" t="n">
        <x:v>23.67</x:v>
      </x:c>
      <x:c r="H767" s="86" t="n">
        <x:v>0</x:v>
      </x:c>
      <x:c r="I767" s="87" t="n">
        <x:v>8</x:v>
      </x:c>
    </x:row>
    <x:row r="768">
      <x:c r="A768" s="85" t="n">
        <x:v>767</x:v>
      </x:c>
      <x:c r="B768" s="86" t="n">
        <x:v>237</x:v>
      </x:c>
      <x:c r="C768" s="95" t="n">
        <x:v>45876</x:v>
      </x:c>
      <x:c r="D768" s="86" t="str">
        <x:v>Dia útil</x:v>
      </x:c>
      <x:c r="E768" s="86" t="n">
        <x:v>6</x:v>
      </x:c>
      <x:c r="F768" s="99" t="n">
        <x:v>0.5</x:v>
      </x:c>
      <x:c r="G768" s="91" t="n">
        <x:v>380.45</x:v>
      </x:c>
      <x:c r="H768" s="86" t="n">
        <x:v>1</x:v>
      </x:c>
      <x:c r="I768" s="87" t="n">
        <x:v>4</x:v>
      </x:c>
    </x:row>
    <x:row r="769">
      <x:c r="A769" s="85" t="n">
        <x:v>768</x:v>
      </x:c>
      <x:c r="B769" s="86" t="n">
        <x:v>10</x:v>
      </x:c>
      <x:c r="C769" s="95" t="n">
        <x:v>45717</x:v>
      </x:c>
      <x:c r="D769" s="86" t="str">
        <x:v>Domingo/Feriado</x:v>
      </x:c>
      <x:c r="E769" s="86" t="n">
        <x:v>8</x:v>
      </x:c>
      <x:c r="F769" s="99" t="n">
        <x:v>1</x:v>
      </x:c>
      <x:c r="G769" s="91" t="n">
        <x:v>509.12</x:v>
      </x:c>
      <x:c r="H769" s="86" t="n">
        <x:v>1</x:v>
      </x:c>
      <x:c r="I769" s="87" t="n">
        <x:v>1</x:v>
      </x:c>
    </x:row>
    <x:row r="770">
      <x:c r="A770" s="85" t="n">
        <x:v>769</x:v>
      </x:c>
      <x:c r="B770" s="86" t="n">
        <x:v>93</x:v>
      </x:c>
      <x:c r="C770" s="95" t="n">
        <x:v>45918</x:v>
      </x:c>
      <x:c r="D770" s="86" t="str">
        <x:v>Sábado</x:v>
      </x:c>
      <x:c r="E770" s="86" t="n">
        <x:v>8</x:v>
      </x:c>
      <x:c r="F770" s="99" t="n">
        <x:v>0.75</x:v>
      </x:c>
      <x:c r="G770" s="91" t="n">
        <x:v>324.45</x:v>
      </x:c>
      <x:c r="H770" s="86" t="n">
        <x:v>1</x:v>
      </x:c>
      <x:c r="I770" s="87" t="n">
        <x:v>8</x:v>
      </x:c>
    </x:row>
    <x:row r="771">
      <x:c r="A771" s="85" t="n">
        <x:v>770</x:v>
      </x:c>
      <x:c r="B771" s="86" t="n">
        <x:v>360</x:v>
      </x:c>
      <x:c r="C771" s="95" t="n">
        <x:v>45761</x:v>
      </x:c>
      <x:c r="D771" s="86" t="str">
        <x:v>Dia útil</x:v>
      </x:c>
      <x:c r="E771" s="86" t="n">
        <x:v>2</x:v>
      </x:c>
      <x:c r="F771" s="99" t="n">
        <x:v>0.5</x:v>
      </x:c>
      <x:c r="G771" s="91" t="n">
        <x:v>61.33</x:v>
      </x:c>
      <x:c r="H771" s="86" t="n">
        <x:v>1</x:v>
      </x:c>
      <x:c r="I771" s="87" t="n">
        <x:v>2</x:v>
      </x:c>
    </x:row>
    <x:row r="772">
      <x:c r="A772" s="85" t="n">
        <x:v>771</x:v>
      </x:c>
      <x:c r="B772" s="86" t="n">
        <x:v>10</x:v>
      </x:c>
      <x:c r="C772" s="95" t="n">
        <x:v>45833</x:v>
      </x:c>
      <x:c r="D772" s="86" t="str">
        <x:v>Dia útil</x:v>
      </x:c>
      <x:c r="E772" s="86" t="n">
        <x:v>4</x:v>
      </x:c>
      <x:c r="F772" s="99" t="n">
        <x:v>0.5</x:v>
      </x:c>
      <x:c r="G772" s="91" t="n">
        <x:v>190.92</x:v>
      </x:c>
      <x:c r="H772" s="86" t="n">
        <x:v>1</x:v>
      </x:c>
      <x:c r="I772" s="87" t="n">
        <x:v>1</x:v>
      </x:c>
    </x:row>
    <x:row r="773">
      <x:c r="A773" s="85" t="n">
        <x:v>772</x:v>
      </x:c>
      <x:c r="B773" s="86" t="n">
        <x:v>260</x:v>
      </x:c>
      <x:c r="C773" s="95" t="n">
        <x:v>46002</x:v>
      </x:c>
      <x:c r="D773" s="86" t="str">
        <x:v>Dia útil</x:v>
      </x:c>
      <x:c r="E773" s="86" t="n">
        <x:v>3</x:v>
      </x:c>
      <x:c r="F773" s="99" t="n">
        <x:v>0.5</x:v>
      </x:c>
      <x:c r="G773" s="91" t="n">
        <x:v>53.31</x:v>
      </x:c>
      <x:c r="H773" s="86" t="n">
        <x:v>1</x:v>
      </x:c>
      <x:c r="I773" s="87" t="n">
        <x:v>1</x:v>
      </x:c>
    </x:row>
    <x:row r="774">
      <x:c r="A774" s="85" t="n">
        <x:v>773</x:v>
      </x:c>
      <x:c r="B774" s="86" t="n">
        <x:v>392</x:v>
      </x:c>
      <x:c r="C774" s="95" t="n">
        <x:v>45466</x:v>
      </x:c>
      <x:c r="D774" s="86" t="str">
        <x:v>Sábado</x:v>
      </x:c>
      <x:c r="E774" s="86" t="n">
        <x:v>3</x:v>
      </x:c>
      <x:c r="F774" s="99" t="n">
        <x:v>0.75</x:v>
      </x:c>
      <x:c r="G774" s="91" t="n">
        <x:v>156.07</x:v>
      </x:c>
      <x:c r="H774" s="86" t="n">
        <x:v>1</x:v>
      </x:c>
      <x:c r="I774" s="87" t="n">
        <x:v>7</x:v>
      </x:c>
    </x:row>
    <x:row r="775">
      <x:c r="A775" s="85" t="n">
        <x:v>774</x:v>
      </x:c>
      <x:c r="B775" s="86" t="n">
        <x:v>12</x:v>
      </x:c>
      <x:c r="C775" s="95" t="n">
        <x:v>45594</x:v>
      </x:c>
      <x:c r="D775" s="86" t="str">
        <x:v>Dia útil</x:v>
      </x:c>
      <x:c r="E775" s="86" t="n">
        <x:v>4</x:v>
      </x:c>
      <x:c r="F775" s="99" t="n">
        <x:v>0.5</x:v>
      </x:c>
      <x:c r="G775" s="91" t="n">
        <x:v>67.14</x:v>
      </x:c>
      <x:c r="H775" s="86" t="n">
        <x:v>1</x:v>
      </x:c>
      <x:c r="I775" s="87" t="n">
        <x:v>1</x:v>
      </x:c>
    </x:row>
    <x:row r="776">
      <x:c r="A776" s="85" t="n">
        <x:v>775</x:v>
      </x:c>
      <x:c r="B776" s="86" t="n">
        <x:v>310</x:v>
      </x:c>
      <x:c r="C776" s="95" t="n">
        <x:v>45937</x:v>
      </x:c>
      <x:c r="D776" s="86" t="str">
        <x:v>Dia útil</x:v>
      </x:c>
      <x:c r="E776" s="86" t="n">
        <x:v>1</x:v>
      </x:c>
      <x:c r="F776" s="99" t="n">
        <x:v>0.5</x:v>
      </x:c>
      <x:c r="G776" s="91" t="n">
        <x:v>18.5</x:v>
      </x:c>
      <x:c r="H776" s="86" t="n">
        <x:v>1</x:v>
      </x:c>
      <x:c r="I776" s="87" t="n">
        <x:v>1</x:v>
      </x:c>
    </x:row>
    <x:row r="777">
      <x:c r="A777" s="85" t="n">
        <x:v>776</x:v>
      </x:c>
      <x:c r="B777" s="86" t="n">
        <x:v>124</x:v>
      </x:c>
      <x:c r="C777" s="95" t="n">
        <x:v>45620</x:v>
      </x:c>
      <x:c r="D777" s="86" t="str">
        <x:v>Dia útil</x:v>
      </x:c>
      <x:c r="E777" s="86" t="n">
        <x:v>2</x:v>
      </x:c>
      <x:c r="F777" s="99" t="n">
        <x:v>0.5</x:v>
      </x:c>
      <x:c r="G777" s="91" t="n">
        <x:v>80.63</x:v>
      </x:c>
      <x:c r="H777" s="86" t="n">
        <x:v>1</x:v>
      </x:c>
      <x:c r="I777" s="87" t="n">
        <x:v>6</x:v>
      </x:c>
    </x:row>
    <x:row r="778">
      <x:c r="A778" s="85" t="n">
        <x:v>777</x:v>
      </x:c>
      <x:c r="B778" s="86" t="n">
        <x:v>175</x:v>
      </x:c>
      <x:c r="C778" s="95" t="n">
        <x:v>45868</x:v>
      </x:c>
      <x:c r="D778" s="86" t="str">
        <x:v>Sábado</x:v>
      </x:c>
      <x:c r="E778" s="86" t="n">
        <x:v>4</x:v>
      </x:c>
      <x:c r="F778" s="99" t="n">
        <x:v>0.75</x:v>
      </x:c>
      <x:c r="G778" s="91" t="n">
        <x:v>254.01</x:v>
      </x:c>
      <x:c r="H778" s="86" t="n">
        <x:v>1</x:v>
      </x:c>
      <x:c r="I778" s="87" t="n">
        <x:v>9</x:v>
      </x:c>
    </x:row>
    <x:row r="779">
      <x:c r="A779" s="85" t="n">
        <x:v>778</x:v>
      </x:c>
      <x:c r="B779" s="86" t="n">
        <x:v>37</x:v>
      </x:c>
      <x:c r="C779" s="95" t="n">
        <x:v>45947</x:v>
      </x:c>
      <x:c r="D779" s="86" t="str">
        <x:v>Sábado</x:v>
      </x:c>
      <x:c r="E779" s="86" t="n">
        <x:v>3</x:v>
      </x:c>
      <x:c r="F779" s="99" t="n">
        <x:v>0.75</x:v>
      </x:c>
      <x:c r="G779" s="91" t="n">
        <x:v>76.34</x:v>
      </x:c>
      <x:c r="H779" s="86" t="n">
        <x:v>1</x:v>
      </x:c>
      <x:c r="I779" s="87" t="n">
        <x:v>3</x:v>
      </x:c>
    </x:row>
    <x:row r="780">
      <x:c r="A780" s="85" t="n">
        <x:v>779</x:v>
      </x:c>
      <x:c r="B780" s="86" t="n">
        <x:v>136</x:v>
      </x:c>
      <x:c r="C780" s="95" t="n">
        <x:v>45341</x:v>
      </x:c>
      <x:c r="D780" s="86" t="str">
        <x:v>Dia útil</x:v>
      </x:c>
      <x:c r="E780" s="86" t="n">
        <x:v>2</x:v>
      </x:c>
      <x:c r="F780" s="99" t="n">
        <x:v>0.5</x:v>
      </x:c>
      <x:c r="G780" s="91" t="n">
        <x:v>31.34</x:v>
      </x:c>
      <x:c r="H780" s="86" t="n">
        <x:v>1</x:v>
      </x:c>
      <x:c r="I780" s="87" t="n">
        <x:v>1</x:v>
      </x:c>
    </x:row>
    <x:row r="781">
      <x:c r="A781" s="85" t="n">
        <x:v>780</x:v>
      </x:c>
      <x:c r="B781" s="86" t="n">
        <x:v>163</x:v>
      </x:c>
      <x:c r="C781" s="95" t="n">
        <x:v>45489</x:v>
      </x:c>
      <x:c r="D781" s="86" t="str">
        <x:v>Dia útil</x:v>
      </x:c>
      <x:c r="E781" s="86" t="n">
        <x:v>3</x:v>
      </x:c>
      <x:c r="F781" s="99" t="n">
        <x:v>0.5</x:v>
      </x:c>
      <x:c r="G781" s="91" t="n">
        <x:v>81.32</x:v>
      </x:c>
      <x:c r="H781" s="86" t="n">
        <x:v>1</x:v>
      </x:c>
      <x:c r="I781" s="87" t="n">
        <x:v>3</x:v>
      </x:c>
    </x:row>
    <x:row r="782">
      <x:c r="A782" s="85" t="n">
        <x:v>781</x:v>
      </x:c>
      <x:c r="B782" s="86" t="n">
        <x:v>221</x:v>
      </x:c>
      <x:c r="C782" s="95" t="n">
        <x:v>45722</x:v>
      </x:c>
      <x:c r="D782" s="86" t="str">
        <x:v>Dia útil</x:v>
      </x:c>
      <x:c r="E782" s="86" t="n">
        <x:v>8</x:v>
      </x:c>
      <x:c r="F782" s="99" t="n">
        <x:v>0.5</x:v>
      </x:c>
      <x:c r="G782" s="91" t="n">
        <x:v>133.23</x:v>
      </x:c>
      <x:c r="H782" s="86" t="n">
        <x:v>1</x:v>
      </x:c>
      <x:c r="I782" s="87" t="n">
        <x:v>1</x:v>
      </x:c>
    </x:row>
    <x:row r="783">
      <x:c r="A783" s="85" t="n">
        <x:v>782</x:v>
      </x:c>
      <x:c r="B783" s="86" t="n">
        <x:v>252</x:v>
      </x:c>
      <x:c r="C783" s="95" t="n">
        <x:v>45910</x:v>
      </x:c>
      <x:c r="D783" s="86" t="str">
        <x:v>Dia útil</x:v>
      </x:c>
      <x:c r="E783" s="86" t="n">
        <x:v>1</x:v>
      </x:c>
      <x:c r="F783" s="99" t="n">
        <x:v>0.5</x:v>
      </x:c>
      <x:c r="G783" s="91" t="n">
        <x:v>70.48</x:v>
      </x:c>
      <x:c r="H783" s="86" t="n">
        <x:v>1</x:v>
      </x:c>
      <x:c r="I783" s="87" t="n">
        <x:v>5</x:v>
      </x:c>
    </x:row>
    <x:row r="784">
      <x:c r="A784" s="85" t="n">
        <x:v>783</x:v>
      </x:c>
      <x:c r="B784" s="86" t="n">
        <x:v>370</x:v>
      </x:c>
      <x:c r="C784" s="95" t="n">
        <x:v>45997</x:v>
      </x:c>
      <x:c r="D784" s="86" t="str">
        <x:v>Dia útil</x:v>
      </x:c>
      <x:c r="E784" s="86" t="n">
        <x:v>1</x:v>
      </x:c>
      <x:c r="F784" s="99" t="n">
        <x:v>0.5</x:v>
      </x:c>
      <x:c r="G784" s="91" t="n">
        <x:v>42.24</x:v>
      </x:c>
      <x:c r="H784" s="86" t="n">
        <x:v>1</x:v>
      </x:c>
      <x:c r="I784" s="87" t="n">
        <x:v>4</x:v>
      </x:c>
    </x:row>
    <x:row r="785">
      <x:c r="A785" s="85" t="n">
        <x:v>784</x:v>
      </x:c>
      <x:c r="B785" s="86" t="n">
        <x:v>278</x:v>
      </x:c>
      <x:c r="C785" s="95" t="n">
        <x:v>45526</x:v>
      </x:c>
      <x:c r="D785" s="86" t="str">
        <x:v>Domingo/Feriado</x:v>
      </x:c>
      <x:c r="E785" s="86" t="n">
        <x:v>2</x:v>
      </x:c>
      <x:c r="F785" s="99" t="n">
        <x:v>1</x:v>
      </x:c>
      <x:c r="G785" s="91" t="n">
        <x:v>117.4</x:v>
      </x:c>
      <x:c r="H785" s="86" t="n">
        <x:v>1</x:v>
      </x:c>
      <x:c r="I785" s="87" t="n">
        <x:v>4</x:v>
      </x:c>
    </x:row>
    <x:row r="786">
      <x:c r="A786" s="85" t="n">
        <x:v>785</x:v>
      </x:c>
      <x:c r="B786" s="86" t="n">
        <x:v>350</x:v>
      </x:c>
      <x:c r="C786" s="95" t="n">
        <x:v>45906</x:v>
      </x:c>
      <x:c r="D786" s="86" t="str">
        <x:v>Sábado</x:v>
      </x:c>
      <x:c r="E786" s="86" t="n">
        <x:v>2</x:v>
      </x:c>
      <x:c r="F786" s="99" t="n">
        <x:v>0.75</x:v>
      </x:c>
      <x:c r="G786" s="91" t="n">
        <x:v>40.75</x:v>
      </x:c>
      <x:c r="H786" s="86" t="n">
        <x:v>1</x:v>
      </x:c>
      <x:c r="I786" s="87" t="n">
        <x:v>1</x:v>
      </x:c>
    </x:row>
    <x:row r="787">
      <x:c r="A787" s="85" t="n">
        <x:v>786</x:v>
      </x:c>
      <x:c r="B787" s="86" t="n">
        <x:v>198</x:v>
      </x:c>
      <x:c r="C787" s="95" t="n">
        <x:v>45462</x:v>
      </x:c>
      <x:c r="D787" s="86" t="str">
        <x:v>Dia útil</x:v>
      </x:c>
      <x:c r="E787" s="86" t="n">
        <x:v>3</x:v>
      </x:c>
      <x:c r="F787" s="99" t="n">
        <x:v>0.5</x:v>
      </x:c>
      <x:c r="G787" s="91" t="n">
        <x:v>187.52</x:v>
      </x:c>
      <x:c r="H787" s="86" t="n">
        <x:v>1</x:v>
      </x:c>
      <x:c r="I787" s="87" t="n">
        <x:v>5</x:v>
      </x:c>
    </x:row>
    <x:row r="788">
      <x:c r="A788" s="85" t="n">
        <x:v>787</x:v>
      </x:c>
      <x:c r="B788" s="86" t="n">
        <x:v>18</x:v>
      </x:c>
      <x:c r="C788" s="95" t="n">
        <x:v>45838</x:v>
      </x:c>
      <x:c r="D788" s="86" t="str">
        <x:v>Sábado</x:v>
      </x:c>
      <x:c r="E788" s="86" t="n">
        <x:v>6</x:v>
      </x:c>
      <x:c r="F788" s="99" t="n">
        <x:v>0.75</x:v>
      </x:c>
      <x:c r="G788" s="91" t="n">
        <x:v>130.41</x:v>
      </x:c>
      <x:c r="H788" s="86" t="n">
        <x:v>1</x:v>
      </x:c>
      <x:c r="I788" s="87" t="n">
        <x:v>1</x:v>
      </x:c>
    </x:row>
    <x:row r="789">
      <x:c r="A789" s="85" t="n">
        <x:v>788</x:v>
      </x:c>
      <x:c r="B789" s="86" t="n">
        <x:v>138</x:v>
      </x:c>
      <x:c r="C789" s="95" t="n">
        <x:v>45689</x:v>
      </x:c>
      <x:c r="D789" s="86" t="str">
        <x:v>Dia útil</x:v>
      </x:c>
      <x:c r="E789" s="86" t="n">
        <x:v>1</x:v>
      </x:c>
      <x:c r="F789" s="99" t="n">
        <x:v>0.5</x:v>
      </x:c>
      <x:c r="G789" s="91" t="n">
        <x:v>39.58</x:v>
      </x:c>
      <x:c r="H789" s="86" t="n">
        <x:v>1</x:v>
      </x:c>
      <x:c r="I789" s="87" t="n">
        <x:v>7</x:v>
      </x:c>
    </x:row>
    <x:row r="790">
      <x:c r="A790" s="85" t="n">
        <x:v>789</x:v>
      </x:c>
      <x:c r="B790" s="86" t="n">
        <x:v>23</x:v>
      </x:c>
      <x:c r="C790" s="95" t="n">
        <x:v>45844</x:v>
      </x:c>
      <x:c r="D790" s="86" t="str">
        <x:v>Dia útil</x:v>
      </x:c>
      <x:c r="E790" s="86" t="n">
        <x:v>2</x:v>
      </x:c>
      <x:c r="F790" s="99" t="n">
        <x:v>0.5</x:v>
      </x:c>
      <x:c r="G790" s="91" t="n">
        <x:v>133.25</x:v>
      </x:c>
      <x:c r="H790" s="86" t="n">
        <x:v>1</x:v>
      </x:c>
      <x:c r="I790" s="87" t="n">
        <x:v>5</x:v>
      </x:c>
    </x:row>
    <x:row r="791">
      <x:c r="A791" s="85" t="n">
        <x:v>790</x:v>
      </x:c>
      <x:c r="B791" s="86" t="n">
        <x:v>234</x:v>
      </x:c>
      <x:c r="C791" s="95" t="n">
        <x:v>45395</x:v>
      </x:c>
      <x:c r="D791" s="86" t="str">
        <x:v>Dia útil</x:v>
      </x:c>
      <x:c r="E791" s="86" t="n">
        <x:v>3</x:v>
      </x:c>
      <x:c r="F791" s="99" t="n">
        <x:v>0.5</x:v>
      </x:c>
      <x:c r="G791" s="91" t="n">
        <x:v>49.82</x:v>
      </x:c>
      <x:c r="H791" s="86" t="n">
        <x:v>0</x:v>
      </x:c>
      <x:c r="I791" s="87" t="n">
        <x:v>1</x:v>
      </x:c>
    </x:row>
    <x:row r="792">
      <x:c r="A792" s="85" t="n">
        <x:v>791</x:v>
      </x:c>
      <x:c r="B792" s="86" t="n">
        <x:v>154</x:v>
      </x:c>
      <x:c r="C792" s="95" t="n">
        <x:v>45593</x:v>
      </x:c>
      <x:c r="D792" s="86" t="str">
        <x:v>Dia útil</x:v>
      </x:c>
      <x:c r="E792" s="86" t="n">
        <x:v>2</x:v>
      </x:c>
      <x:c r="F792" s="99" t="n">
        <x:v>0.5</x:v>
      </x:c>
      <x:c r="G792" s="91" t="n">
        <x:v>74.38</x:v>
      </x:c>
      <x:c r="H792" s="86" t="n">
        <x:v>1</x:v>
      </x:c>
      <x:c r="I792" s="87" t="n">
        <x:v>7</x:v>
      </x:c>
    </x:row>
    <x:row r="793">
      <x:c r="A793" s="85" t="n">
        <x:v>792</x:v>
      </x:c>
      <x:c r="B793" s="86" t="n">
        <x:v>122</x:v>
      </x:c>
      <x:c r="C793" s="95" t="n">
        <x:v>45693</x:v>
      </x:c>
      <x:c r="D793" s="86" t="str">
        <x:v>Sábado</x:v>
      </x:c>
      <x:c r="E793" s="86" t="n">
        <x:v>3</x:v>
      </x:c>
      <x:c r="F793" s="99" t="n">
        <x:v>0.75</x:v>
      </x:c>
      <x:c r="G793" s="91" t="n">
        <x:v>54.17</x:v>
      </x:c>
      <x:c r="H793" s="86" t="n">
        <x:v>1</x:v>
      </x:c>
      <x:c r="I793" s="87" t="n">
        <x:v>1</x:v>
      </x:c>
    </x:row>
    <x:row r="794">
      <x:c r="A794" s="85" t="n">
        <x:v>793</x:v>
      </x:c>
      <x:c r="B794" s="86" t="n">
        <x:v>167</x:v>
      </x:c>
      <x:c r="C794" s="95" t="n">
        <x:v>45925</x:v>
      </x:c>
      <x:c r="D794" s="86" t="str">
        <x:v>Sábado</x:v>
      </x:c>
      <x:c r="E794" s="86" t="n">
        <x:v>6</x:v>
      </x:c>
      <x:c r="F794" s="99" t="n">
        <x:v>0.75</x:v>
      </x:c>
      <x:c r="G794" s="91" t="n">
        <x:v>179.75</x:v>
      </x:c>
      <x:c r="H794" s="86" t="n">
        <x:v>1</x:v>
      </x:c>
      <x:c r="I794" s="87" t="n">
        <x:v>10</x:v>
      </x:c>
    </x:row>
    <x:row r="795">
      <x:c r="A795" s="85" t="n">
        <x:v>794</x:v>
      </x:c>
      <x:c r="B795" s="86" t="n">
        <x:v>400</x:v>
      </x:c>
      <x:c r="C795" s="95" t="n">
        <x:v>45849</x:v>
      </x:c>
      <x:c r="D795" s="86" t="str">
        <x:v>Dia útil</x:v>
      </x:c>
      <x:c r="E795" s="86" t="n">
        <x:v>8</x:v>
      </x:c>
      <x:c r="F795" s="99" t="n">
        <x:v>0.5</x:v>
      </x:c>
      <x:c r="G795" s="91" t="n">
        <x:v>126.58</x:v>
      </x:c>
      <x:c r="H795" s="86" t="n">
        <x:v>1</x:v>
      </x:c>
      <x:c r="I795" s="87" t="n">
        <x:v>1</x:v>
      </x:c>
    </x:row>
    <x:row r="796">
      <x:c r="A796" s="85" t="n">
        <x:v>795</x:v>
      </x:c>
      <x:c r="B796" s="86" t="n">
        <x:v>193</x:v>
      </x:c>
      <x:c r="C796" s="95" t="n">
        <x:v>45959</x:v>
      </x:c>
      <x:c r="D796" s="86" t="str">
        <x:v>Sábado</x:v>
      </x:c>
      <x:c r="E796" s="86" t="n">
        <x:v>6</x:v>
      </x:c>
      <x:c r="F796" s="99" t="n">
        <x:v>0.75</x:v>
      </x:c>
      <x:c r="G796" s="91" t="n">
        <x:v>292.18</x:v>
      </x:c>
      <x:c r="H796" s="86" t="n">
        <x:v>1</x:v>
      </x:c>
      <x:c r="I796" s="87" t="n">
        <x:v>6</x:v>
      </x:c>
    </x:row>
    <x:row r="797">
      <x:c r="A797" s="85" t="n">
        <x:v>796</x:v>
      </x:c>
      <x:c r="B797" s="86" t="n">
        <x:v>154</x:v>
      </x:c>
      <x:c r="C797" s="95" t="n">
        <x:v>45685</x:v>
      </x:c>
      <x:c r="D797" s="86" t="str">
        <x:v>Dia útil</x:v>
      </x:c>
      <x:c r="E797" s="86" t="n">
        <x:v>6</x:v>
      </x:c>
      <x:c r="F797" s="99" t="n">
        <x:v>0.5</x:v>
      </x:c>
      <x:c r="G797" s="91" t="n">
        <x:v>223.13</x:v>
      </x:c>
      <x:c r="H797" s="86" t="n">
        <x:v>1</x:v>
      </x:c>
      <x:c r="I797" s="87" t="n">
        <x:v>7</x:v>
      </x:c>
    </x:row>
    <x:row r="798">
      <x:c r="A798" s="85" t="n">
        <x:v>797</x:v>
      </x:c>
      <x:c r="B798" s="86" t="n">
        <x:v>155</x:v>
      </x:c>
      <x:c r="C798" s="95" t="n">
        <x:v>45686</x:v>
      </x:c>
      <x:c r="D798" s="86" t="str">
        <x:v>Dia útil</x:v>
      </x:c>
      <x:c r="E798" s="86" t="n">
        <x:v>6</x:v>
      </x:c>
      <x:c r="F798" s="99" t="n">
        <x:v>0.5</x:v>
      </x:c>
      <x:c r="G798" s="91" t="n">
        <x:v>119.85</x:v>
      </x:c>
      <x:c r="H798" s="86" t="n">
        <x:v>1</x:v>
      </x:c>
      <x:c r="I798" s="87" t="n">
        <x:v>1</x:v>
      </x:c>
    </x:row>
    <x:row r="799">
      <x:c r="A799" s="85" t="n">
        <x:v>798</x:v>
      </x:c>
      <x:c r="B799" s="86" t="n">
        <x:v>248</x:v>
      </x:c>
      <x:c r="C799" s="95" t="n">
        <x:v>45372</x:v>
      </x:c>
      <x:c r="D799" s="86" t="str">
        <x:v>Dia útil</x:v>
      </x:c>
      <x:c r="E799" s="86" t="n">
        <x:v>1</x:v>
      </x:c>
      <x:c r="F799" s="99" t="n">
        <x:v>0.5</x:v>
      </x:c>
      <x:c r="G799" s="91" t="n">
        <x:v>15.5</x:v>
      </x:c>
      <x:c r="H799" s="86" t="n">
        <x:v>1</x:v>
      </x:c>
      <x:c r="I799" s="87" t="n">
        <x:v>1</x:v>
      </x:c>
    </x:row>
    <x:row r="800">
      <x:c r="A800" s="85" t="n">
        <x:v>799</x:v>
      </x:c>
      <x:c r="B800" s="86" t="n">
        <x:v>171</x:v>
      </x:c>
      <x:c r="C800" s="95" t="n">
        <x:v>45600</x:v>
      </x:c>
      <x:c r="D800" s="86" t="str">
        <x:v>Dia útil</x:v>
      </x:c>
      <x:c r="E800" s="86" t="n">
        <x:v>6</x:v>
      </x:c>
      <x:c r="F800" s="99" t="n">
        <x:v>0.5</x:v>
      </x:c>
      <x:c r="G800" s="91" t="n">
        <x:v>278.08</x:v>
      </x:c>
      <x:c r="H800" s="86" t="n">
        <x:v>1</x:v>
      </x:c>
      <x:c r="I800" s="87" t="n">
        <x:v>10</x:v>
      </x:c>
    </x:row>
    <x:row r="801">
      <x:c r="A801" s="85" t="n">
        <x:v>800</x:v>
      </x:c>
      <x:c r="B801" s="86" t="n">
        <x:v>180</x:v>
      </x:c>
      <x:c r="C801" s="95" t="n">
        <x:v>45586</x:v>
      </x:c>
      <x:c r="D801" s="86" t="str">
        <x:v>Dia útil</x:v>
      </x:c>
      <x:c r="E801" s="86" t="n">
        <x:v>6</x:v>
      </x:c>
      <x:c r="F801" s="99" t="n">
        <x:v>0.5</x:v>
      </x:c>
      <x:c r="G801" s="91" t="n">
        <x:v>264.36</x:v>
      </x:c>
      <x:c r="H801" s="86" t="n">
        <x:v>1</x:v>
      </x:c>
      <x:c r="I801" s="87" t="n">
        <x:v>10</x:v>
      </x:c>
    </x:row>
    <x:row r="802">
      <x:c r="A802" s="85" t="n">
        <x:v>801</x:v>
      </x:c>
      <x:c r="B802" s="86" t="n">
        <x:v>132</x:v>
      </x:c>
      <x:c r="C802" s="95" t="n">
        <x:v>45886</x:v>
      </x:c>
      <x:c r="D802" s="86" t="str">
        <x:v>Dia útil</x:v>
      </x:c>
      <x:c r="E802" s="86" t="n">
        <x:v>3</x:v>
      </x:c>
      <x:c r="F802" s="99" t="n">
        <x:v>0.5</x:v>
      </x:c>
      <x:c r="G802" s="91" t="n">
        <x:v>118.93</x:v>
      </x:c>
      <x:c r="H802" s="86" t="n">
        <x:v>1</x:v>
      </x:c>
      <x:c r="I802" s="87" t="n">
        <x:v>4</x:v>
      </x:c>
    </x:row>
    <x:row r="803">
      <x:c r="A803" s="85" t="n">
        <x:v>802</x:v>
      </x:c>
      <x:c r="B803" s="86" t="n">
        <x:v>334</x:v>
      </x:c>
      <x:c r="C803" s="95" t="n">
        <x:v>45854</x:v>
      </x:c>
      <x:c r="D803" s="86" t="str">
        <x:v>Dia útil</x:v>
      </x:c>
      <x:c r="E803" s="86" t="n">
        <x:v>8</x:v>
      </x:c>
      <x:c r="F803" s="99" t="n">
        <x:v>0.5</x:v>
      </x:c>
      <x:c r="G803" s="91" t="n">
        <x:v>400.84</x:v>
      </x:c>
      <x:c r="H803" s="86" t="n">
        <x:v>1</x:v>
      </x:c>
      <x:c r="I803" s="87" t="n">
        <x:v>5</x:v>
      </x:c>
    </x:row>
    <x:row r="804">
      <x:c r="A804" s="85" t="n">
        <x:v>803</x:v>
      </x:c>
      <x:c r="B804" s="86" t="n">
        <x:v>21</x:v>
      </x:c>
      <x:c r="C804" s="95" t="n">
        <x:v>45604</x:v>
      </x:c>
      <x:c r="D804" s="86" t="str">
        <x:v>Dia útil</x:v>
      </x:c>
      <x:c r="E804" s="86" t="n">
        <x:v>1</x:v>
      </x:c>
      <x:c r="F804" s="99" t="n">
        <x:v>0.5</x:v>
      </x:c>
      <x:c r="G804" s="91" t="n">
        <x:v>24.23</x:v>
      </x:c>
      <x:c r="H804" s="86" t="n">
        <x:v>1</x:v>
      </x:c>
      <x:c r="I804" s="87" t="n">
        <x:v>3</x:v>
      </x:c>
    </x:row>
    <x:row r="805">
      <x:c r="A805" s="85" t="n">
        <x:v>804</x:v>
      </x:c>
      <x:c r="B805" s="86" t="n">
        <x:v>335</x:v>
      </x:c>
      <x:c r="C805" s="95" t="n">
        <x:v>45945</x:v>
      </x:c>
      <x:c r="D805" s="86" t="str">
        <x:v>Dia útil</x:v>
      </x:c>
      <x:c r="E805" s="86" t="n">
        <x:v>3</x:v>
      </x:c>
      <x:c r="F805" s="99" t="n">
        <x:v>0.5</x:v>
      </x:c>
      <x:c r="G805" s="91" t="n">
        <x:v>140.89</x:v>
      </x:c>
      <x:c r="H805" s="86" t="n">
        <x:v>1</x:v>
      </x:c>
      <x:c r="I805" s="87" t="n">
        <x:v>7</x:v>
      </x:c>
    </x:row>
    <x:row r="806">
      <x:c r="A806" s="85" t="n">
        <x:v>805</x:v>
      </x:c>
      <x:c r="B806" s="86" t="n">
        <x:v>247</x:v>
      </x:c>
      <x:c r="C806" s="95" t="n">
        <x:v>45904</x:v>
      </x:c>
      <x:c r="D806" s="86" t="str">
        <x:v>Domingo/Feriado</x:v>
      </x:c>
      <x:c r="E806" s="86" t="n">
        <x:v>8</x:v>
      </x:c>
      <x:c r="F806" s="99" t="n">
        <x:v>1</x:v>
      </x:c>
      <x:c r="G806" s="91" t="n">
        <x:v>245.13</x:v>
      </x:c>
      <x:c r="H806" s="86" t="n">
        <x:v>1</x:v>
      </x:c>
      <x:c r="I806" s="87" t="n">
        <x:v>3</x:v>
      </x:c>
    </x:row>
    <x:row r="807">
      <x:c r="A807" s="85" t="n">
        <x:v>806</x:v>
      </x:c>
      <x:c r="B807" s="86" t="n">
        <x:v>385</x:v>
      </x:c>
      <x:c r="C807" s="95" t="n">
        <x:v>45992</x:v>
      </x:c>
      <x:c r="D807" s="86" t="str">
        <x:v>Dia útil</x:v>
      </x:c>
      <x:c r="E807" s="86" t="n">
        <x:v>6</x:v>
      </x:c>
      <x:c r="F807" s="99" t="n">
        <x:v>0.5</x:v>
      </x:c>
      <x:c r="G807" s="91" t="n">
        <x:v>135.09</x:v>
      </x:c>
      <x:c r="H807" s="86" t="n">
        <x:v>1</x:v>
      </x:c>
      <x:c r="I807" s="87" t="n">
        <x:v>3</x:v>
      </x:c>
    </x:row>
    <x:row r="808">
      <x:c r="A808" s="85" t="n">
        <x:v>807</x:v>
      </x:c>
      <x:c r="B808" s="86" t="n">
        <x:v>21</x:v>
      </x:c>
      <x:c r="C808" s="95" t="n">
        <x:v>45980</x:v>
      </x:c>
      <x:c r="D808" s="86" t="str">
        <x:v>Dia útil</x:v>
      </x:c>
      <x:c r="E808" s="86" t="n">
        <x:v>2</x:v>
      </x:c>
      <x:c r="F808" s="99" t="n">
        <x:v>0.5</x:v>
      </x:c>
      <x:c r="G808" s="91" t="n">
        <x:v>48.46</x:v>
      </x:c>
      <x:c r="H808" s="86" t="n">
        <x:v>1</x:v>
      </x:c>
      <x:c r="I808" s="87" t="n">
        <x:v>3</x:v>
      </x:c>
    </x:row>
    <x:row r="809">
      <x:c r="A809" s="85" t="n">
        <x:v>808</x:v>
      </x:c>
      <x:c r="B809" s="86" t="n">
        <x:v>130</x:v>
      </x:c>
      <x:c r="C809" s="95" t="n">
        <x:v>45330</x:v>
      </x:c>
      <x:c r="D809" s="86" t="str">
        <x:v>Dia útil</x:v>
      </x:c>
      <x:c r="E809" s="86" t="n">
        <x:v>1</x:v>
      </x:c>
      <x:c r="F809" s="99" t="n">
        <x:v>0.5</x:v>
      </x:c>
      <x:c r="G809" s="91" t="n">
        <x:v>48.45</x:v>
      </x:c>
      <x:c r="H809" s="86" t="n">
        <x:v>1</x:v>
      </x:c>
      <x:c r="I809" s="87" t="n">
        <x:v>10</x:v>
      </x:c>
    </x:row>
    <x:row r="810">
      <x:c r="A810" s="85" t="n">
        <x:v>809</x:v>
      </x:c>
      <x:c r="B810" s="86" t="n">
        <x:v>46</x:v>
      </x:c>
      <x:c r="C810" s="95" t="n">
        <x:v>46009</x:v>
      </x:c>
      <x:c r="D810" s="86" t="str">
        <x:v>Dia útil</x:v>
      </x:c>
      <x:c r="E810" s="86" t="n">
        <x:v>1</x:v>
      </x:c>
      <x:c r="F810" s="99" t="n">
        <x:v>0.5</x:v>
      </x:c>
      <x:c r="G810" s="91" t="n">
        <x:v>19.7</x:v>
      </x:c>
      <x:c r="H810" s="86" t="n">
        <x:v>1</x:v>
      </x:c>
      <x:c r="I810" s="87" t="n">
        <x:v>1</x:v>
      </x:c>
    </x:row>
    <x:row r="811">
      <x:c r="A811" s="85" t="n">
        <x:v>810</x:v>
      </x:c>
      <x:c r="B811" s="86" t="n">
        <x:v>101</x:v>
      </x:c>
      <x:c r="C811" s="95" t="n">
        <x:v>46003</x:v>
      </x:c>
      <x:c r="D811" s="86" t="str">
        <x:v>Sábado</x:v>
      </x:c>
      <x:c r="E811" s="86" t="n">
        <x:v>3</x:v>
      </x:c>
      <x:c r="F811" s="99" t="n">
        <x:v>0.75</x:v>
      </x:c>
      <x:c r="G811" s="91" t="n">
        <x:v>55.06</x:v>
      </x:c>
      <x:c r="H811" s="86" t="n">
        <x:v>1</x:v>
      </x:c>
      <x:c r="I811" s="87" t="n">
        <x:v>1</x:v>
      </x:c>
    </x:row>
    <x:row r="812">
      <x:c r="A812" s="85" t="n">
        <x:v>811</x:v>
      </x:c>
      <x:c r="B812" s="86" t="n">
        <x:v>201</x:v>
      </x:c>
      <x:c r="C812" s="95" t="n">
        <x:v>45593</x:v>
      </x:c>
      <x:c r="D812" s="86" t="str">
        <x:v>Dia útil</x:v>
      </x:c>
      <x:c r="E812" s="86" t="n">
        <x:v>6</x:v>
      </x:c>
      <x:c r="F812" s="99" t="n">
        <x:v>0.5</x:v>
      </x:c>
      <x:c r="G812" s="91" t="n">
        <x:v>92.86</x:v>
      </x:c>
      <x:c r="H812" s="86" t="n">
        <x:v>1</x:v>
      </x:c>
      <x:c r="I812" s="87" t="n">
        <x:v>1</x:v>
      </x:c>
    </x:row>
    <x:row r="813">
      <x:c r="A813" s="85" t="n">
        <x:v>812</x:v>
      </x:c>
      <x:c r="B813" s="86" t="n">
        <x:v>253</x:v>
      </x:c>
      <x:c r="C813" s="95" t="n">
        <x:v>45607</x:v>
      </x:c>
      <x:c r="D813" s="86" t="str">
        <x:v>Dia útil</x:v>
      </x:c>
      <x:c r="E813" s="86" t="n">
        <x:v>2</x:v>
      </x:c>
      <x:c r="F813" s="99" t="n">
        <x:v>0.5</x:v>
      </x:c>
      <x:c r="G813" s="91" t="n">
        <x:v>44.83</x:v>
      </x:c>
      <x:c r="H813" s="86" t="n">
        <x:v>1</x:v>
      </x:c>
      <x:c r="I813" s="87" t="n">
        <x:v>2</x:v>
      </x:c>
    </x:row>
    <x:row r="814">
      <x:c r="A814" s="85" t="n">
        <x:v>813</x:v>
      </x:c>
      <x:c r="B814" s="86" t="n">
        <x:v>146</x:v>
      </x:c>
      <x:c r="C814" s="95" t="n">
        <x:v>45995</x:v>
      </x:c>
      <x:c r="D814" s="86" t="str">
        <x:v>Domingo/Feriado</x:v>
      </x:c>
      <x:c r="E814" s="86" t="n">
        <x:v>3</x:v>
      </x:c>
      <x:c r="F814" s="99" t="n">
        <x:v>1</x:v>
      </x:c>
      <x:c r="G814" s="91" t="n">
        <x:v>254.05</x:v>
      </x:c>
      <x:c r="H814" s="86" t="n">
        <x:v>1</x:v>
      </x:c>
      <x:c r="I814" s="87" t="n">
        <x:v>9</x:v>
      </x:c>
    </x:row>
    <x:row r="815">
      <x:c r="A815" s="85" t="n">
        <x:v>814</x:v>
      </x:c>
      <x:c r="B815" s="86" t="n">
        <x:v>407</x:v>
      </x:c>
      <x:c r="C815" s="95" t="n">
        <x:v>45745</x:v>
      </x:c>
      <x:c r="D815" s="86" t="str">
        <x:v>Dia útil</x:v>
      </x:c>
      <x:c r="E815" s="86" t="n">
        <x:v>3</x:v>
      </x:c>
      <x:c r="F815" s="99" t="n">
        <x:v>0.5</x:v>
      </x:c>
      <x:c r="G815" s="91" t="n">
        <x:v>197.34</x:v>
      </x:c>
      <x:c r="H815" s="86" t="n">
        <x:v>1</x:v>
      </x:c>
      <x:c r="I815" s="87" t="n">
        <x:v>5</x:v>
      </x:c>
    </x:row>
    <x:row r="816">
      <x:c r="A816" s="85" t="n">
        <x:v>815</x:v>
      </x:c>
      <x:c r="B816" s="86" t="n">
        <x:v>35</x:v>
      </x:c>
      <x:c r="C816" s="95" t="n">
        <x:v>45785</x:v>
      </x:c>
      <x:c r="D816" s="86" t="str">
        <x:v>Dia útil</x:v>
      </x:c>
      <x:c r="E816" s="86" t="n">
        <x:v>3</x:v>
      </x:c>
      <x:c r="F816" s="99" t="n">
        <x:v>0.5</x:v>
      </x:c>
      <x:c r="G816" s="91" t="n">
        <x:v>150.51</x:v>
      </x:c>
      <x:c r="H816" s="86" t="n">
        <x:v>1</x:v>
      </x:c>
      <x:c r="I816" s="87" t="n">
        <x:v>6</x:v>
      </x:c>
    </x:row>
    <x:row r="817">
      <x:c r="A817" s="85" t="n">
        <x:v>816</x:v>
      </x:c>
      <x:c r="B817" s="86" t="n">
        <x:v>332</x:v>
      </x:c>
      <x:c r="C817" s="95" t="n">
        <x:v>45848</x:v>
      </x:c>
      <x:c r="D817" s="86" t="str">
        <x:v>Dia útil</x:v>
      </x:c>
      <x:c r="E817" s="86" t="n">
        <x:v>3</x:v>
      </x:c>
      <x:c r="F817" s="99" t="n">
        <x:v>0.5</x:v>
      </x:c>
      <x:c r="G817" s="91" t="n">
        <x:v>167.87</x:v>
      </x:c>
      <x:c r="H817" s="86" t="n">
        <x:v>1</x:v>
      </x:c>
      <x:c r="I817" s="87" t="n">
        <x:v>5</x:v>
      </x:c>
    </x:row>
    <x:row r="818">
      <x:c r="A818" s="85" t="n">
        <x:v>817</x:v>
      </x:c>
      <x:c r="B818" s="86" t="n">
        <x:v>247</x:v>
      </x:c>
      <x:c r="C818" s="95" t="n">
        <x:v>45953</x:v>
      </x:c>
      <x:c r="D818" s="86" t="str">
        <x:v>Sábado</x:v>
      </x:c>
      <x:c r="E818" s="86" t="n">
        <x:v>3</x:v>
      </x:c>
      <x:c r="F818" s="99" t="n">
        <x:v>0.75</x:v>
      </x:c>
      <x:c r="G818" s="91" t="n">
        <x:v>80.43</x:v>
      </x:c>
      <x:c r="H818" s="86" t="n">
        <x:v>1</x:v>
      </x:c>
      <x:c r="I818" s="87" t="n">
        <x:v>3</x:v>
      </x:c>
    </x:row>
    <x:row r="819">
      <x:c r="A819" s="85" t="n">
        <x:v>818</x:v>
      </x:c>
      <x:c r="B819" s="86" t="n">
        <x:v>224</x:v>
      </x:c>
      <x:c r="C819" s="95" t="n">
        <x:v>45884</x:v>
      </x:c>
      <x:c r="D819" s="86" t="str">
        <x:v>Dia útil</x:v>
      </x:c>
      <x:c r="E819" s="86" t="n">
        <x:v>6</x:v>
      </x:c>
      <x:c r="F819" s="99" t="n">
        <x:v>0.5</x:v>
      </x:c>
      <x:c r="G819" s="91" t="n">
        <x:v>95.46</x:v>
      </x:c>
      <x:c r="H819" s="86" t="n">
        <x:v>1</x:v>
      </x:c>
      <x:c r="I819" s="87" t="n">
        <x:v>1</x:v>
      </x:c>
    </x:row>
    <x:row r="820">
      <x:c r="A820" s="85" t="n">
        <x:v>819</x:v>
      </x:c>
      <x:c r="B820" s="86" t="n">
        <x:v>383</x:v>
      </x:c>
      <x:c r="C820" s="95" t="n">
        <x:v>45971</x:v>
      </x:c>
      <x:c r="D820" s="86" t="str">
        <x:v>Dia útil</x:v>
      </x:c>
      <x:c r="E820" s="86" t="n">
        <x:v>3</x:v>
      </x:c>
      <x:c r="F820" s="99" t="n">
        <x:v>0.5</x:v>
      </x:c>
      <x:c r="G820" s="91" t="n">
        <x:v>94.04</x:v>
      </x:c>
      <x:c r="H820" s="86" t="n">
        <x:v>1</x:v>
      </x:c>
      <x:c r="I820" s="87" t="n">
        <x:v>3</x:v>
      </x:c>
    </x:row>
    <x:row r="821">
      <x:c r="A821" s="85" t="n">
        <x:v>820</x:v>
      </x:c>
      <x:c r="B821" s="86" t="n">
        <x:v>112</x:v>
      </x:c>
      <x:c r="C821" s="95" t="n">
        <x:v>45843</x:v>
      </x:c>
      <x:c r="D821" s="86" t="str">
        <x:v>Dia útil</x:v>
      </x:c>
      <x:c r="E821" s="86" t="n">
        <x:v>2</x:v>
      </x:c>
      <x:c r="F821" s="99" t="n">
        <x:v>0.5</x:v>
      </x:c>
      <x:c r="G821" s="91" t="n">
        <x:v>61.94</x:v>
      </x:c>
      <x:c r="H821" s="86" t="n">
        <x:v>1</x:v>
      </x:c>
      <x:c r="I821" s="87" t="n">
        <x:v>2</x:v>
      </x:c>
    </x:row>
    <x:row r="822">
      <x:c r="A822" s="85" t="n">
        <x:v>821</x:v>
      </x:c>
      <x:c r="B822" s="86" t="n">
        <x:v>152</x:v>
      </x:c>
      <x:c r="C822" s="95" t="n">
        <x:v>45949</x:v>
      </x:c>
      <x:c r="D822" s="86" t="str">
        <x:v>Dia útil</x:v>
      </x:c>
      <x:c r="E822" s="86" t="n">
        <x:v>4</x:v>
      </x:c>
      <x:c r="F822" s="99" t="n">
        <x:v>0.5</x:v>
      </x:c>
      <x:c r="G822" s="91" t="n">
        <x:v>92.29</x:v>
      </x:c>
      <x:c r="H822" s="86" t="n">
        <x:v>1</x:v>
      </x:c>
      <x:c r="I822" s="87" t="n">
        <x:v>1</x:v>
      </x:c>
    </x:row>
    <x:row r="823">
      <x:c r="A823" s="85" t="n">
        <x:v>822</x:v>
      </x:c>
      <x:c r="B823" s="86" t="n">
        <x:v>60</x:v>
      </x:c>
      <x:c r="C823" s="95" t="n">
        <x:v>46016</x:v>
      </x:c>
      <x:c r="D823" s="86" t="str">
        <x:v>Dia útil</x:v>
      </x:c>
      <x:c r="E823" s="86" t="n">
        <x:v>2</x:v>
      </x:c>
      <x:c r="F823" s="99" t="n">
        <x:v>0.5</x:v>
      </x:c>
      <x:c r="G823" s="91" t="n">
        <x:v>139.82</x:v>
      </x:c>
      <x:c r="H823" s="86" t="n">
        <x:v>1</x:v>
      </x:c>
      <x:c r="I823" s="87" t="n">
        <x:v>5</x:v>
      </x:c>
    </x:row>
    <x:row r="824">
      <x:c r="A824" s="85" t="n">
        <x:v>823</x:v>
      </x:c>
      <x:c r="B824" s="86" t="n">
        <x:v>156</x:v>
      </x:c>
      <x:c r="C824" s="95" t="n">
        <x:v>45620</x:v>
      </x:c>
      <x:c r="D824" s="86" t="str">
        <x:v>Sábado</x:v>
      </x:c>
      <x:c r="E824" s="86" t="n">
        <x:v>1</x:v>
      </x:c>
      <x:c r="F824" s="99" t="n">
        <x:v>0.75</x:v>
      </x:c>
      <x:c r="G824" s="91" t="n">
        <x:v>133.28</x:v>
      </x:c>
      <x:c r="H824" s="86" t="n">
        <x:v>1</x:v>
      </x:c>
      <x:c r="I824" s="87" t="n">
        <x:v>7</x:v>
      </x:c>
    </x:row>
    <x:row r="825">
      <x:c r="A825" s="85" t="n">
        <x:v>824</x:v>
      </x:c>
      <x:c r="B825" s="86" t="n">
        <x:v>420</x:v>
      </x:c>
      <x:c r="C825" s="95" t="n">
        <x:v>45776</x:v>
      </x:c>
      <x:c r="D825" s="86" t="str">
        <x:v>Dia útil</x:v>
      </x:c>
      <x:c r="E825" s="86" t="n">
        <x:v>4</x:v>
      </x:c>
      <x:c r="F825" s="99" t="n">
        <x:v>0.5</x:v>
      </x:c>
      <x:c r="G825" s="91" t="n">
        <x:v>88.74</x:v>
      </x:c>
      <x:c r="H825" s="86" t="n">
        <x:v>1</x:v>
      </x:c>
      <x:c r="I825" s="87" t="n">
        <x:v>3</x:v>
      </x:c>
    </x:row>
    <x:row r="826">
      <x:c r="A826" s="85" t="n">
        <x:v>825</x:v>
      </x:c>
      <x:c r="B826" s="86" t="n">
        <x:v>108</x:v>
      </x:c>
      <x:c r="C826" s="95" t="n">
        <x:v>45620</x:v>
      </x:c>
      <x:c r="D826" s="86" t="str">
        <x:v>Dia útil</x:v>
      </x:c>
      <x:c r="E826" s="86" t="n">
        <x:v>2</x:v>
      </x:c>
      <x:c r="F826" s="99" t="n">
        <x:v>0.5</x:v>
      </x:c>
      <x:c r="G826" s="91" t="n">
        <x:v>35.62</x:v>
      </x:c>
      <x:c r="H826" s="86" t="n">
        <x:v>1</x:v>
      </x:c>
      <x:c r="I826" s="87" t="n">
        <x:v>1</x:v>
      </x:c>
    </x:row>
    <x:row r="827">
      <x:c r="A827" s="85" t="n">
        <x:v>826</x:v>
      </x:c>
      <x:c r="B827" s="86" t="n">
        <x:v>328</x:v>
      </x:c>
      <x:c r="C827" s="95" t="n">
        <x:v>45355</x:v>
      </x:c>
      <x:c r="D827" s="86" t="str">
        <x:v>Domingo/Feriado</x:v>
      </x:c>
      <x:c r="E827" s="86" t="n">
        <x:v>8</x:v>
      </x:c>
      <x:c r="F827" s="99" t="n">
        <x:v>1</x:v>
      </x:c>
      <x:c r="G827" s="91" t="n">
        <x:v>454.16</x:v>
      </x:c>
      <x:c r="H827" s="86" t="n">
        <x:v>1</x:v>
      </x:c>
      <x:c r="I827" s="87" t="n">
        <x:v>6</x:v>
      </x:c>
    </x:row>
    <x:row r="828">
      <x:c r="A828" s="85" t="n">
        <x:v>827</x:v>
      </x:c>
      <x:c r="B828" s="86" t="n">
        <x:v>15</x:v>
      </x:c>
      <x:c r="C828" s="95" t="n">
        <x:v>45411</x:v>
      </x:c>
      <x:c r="D828" s="86" t="str">
        <x:v>Sábado</x:v>
      </x:c>
      <x:c r="E828" s="86" t="n">
        <x:v>4</x:v>
      </x:c>
      <x:c r="F828" s="99" t="n">
        <x:v>0.75</x:v>
      </x:c>
      <x:c r="G828" s="91" t="n">
        <x:v>316.7</x:v>
      </x:c>
      <x:c r="H828" s="86" t="n">
        <x:v>1</x:v>
      </x:c>
      <x:c r="I828" s="87" t="n">
        <x:v>2</x:v>
      </x:c>
    </x:row>
    <x:row r="829">
      <x:c r="A829" s="85" t="n">
        <x:v>828</x:v>
      </x:c>
      <x:c r="B829" s="86" t="n">
        <x:v>236</x:v>
      </x:c>
      <x:c r="C829" s="95" t="n">
        <x:v>45431</x:v>
      </x:c>
      <x:c r="D829" s="86" t="str">
        <x:v>Sábado</x:v>
      </x:c>
      <x:c r="E829" s="86" t="n">
        <x:v>1</x:v>
      </x:c>
      <x:c r="F829" s="99" t="n">
        <x:v>0.75</x:v>
      </x:c>
      <x:c r="G829" s="91" t="n">
        <x:v>65.02</x:v>
      </x:c>
      <x:c r="H829" s="86" t="n">
        <x:v>1</x:v>
      </x:c>
      <x:c r="I829" s="87" t="n">
        <x:v>5</x:v>
      </x:c>
    </x:row>
    <x:row r="830">
      <x:c r="A830" s="85" t="n">
        <x:v>829</x:v>
      </x:c>
      <x:c r="B830" s="86" t="n">
        <x:v>85</x:v>
      </x:c>
      <x:c r="C830" s="95" t="n">
        <x:v>45337</x:v>
      </x:c>
      <x:c r="D830" s="86" t="str">
        <x:v>Dia útil</x:v>
      </x:c>
      <x:c r="E830" s="86" t="n">
        <x:v>8</x:v>
      </x:c>
      <x:c r="F830" s="99" t="n">
        <x:v>0.5</x:v>
      </x:c>
      <x:c r="G830" s="91" t="n">
        <x:v>445.71</x:v>
      </x:c>
      <x:c r="H830" s="86" t="n">
        <x:v>1</x:v>
      </x:c>
      <x:c r="I830" s="87" t="n">
        <x:v>1</x:v>
      </x:c>
    </x:row>
    <x:row r="831">
      <x:c r="A831" s="85" t="n">
        <x:v>830</x:v>
      </x:c>
      <x:c r="B831" s="86" t="n">
        <x:v>341</x:v>
      </x:c>
      <x:c r="C831" s="95" t="n">
        <x:v>45370</x:v>
      </x:c>
      <x:c r="D831" s="86" t="str">
        <x:v>Dia útil</x:v>
      </x:c>
      <x:c r="E831" s="86" t="n">
        <x:v>2</x:v>
      </x:c>
      <x:c r="F831" s="99" t="n">
        <x:v>0.5</x:v>
      </x:c>
      <x:c r="G831" s="91" t="n">
        <x:v>38.74</x:v>
      </x:c>
      <x:c r="H831" s="86" t="n">
        <x:v>1</x:v>
      </x:c>
      <x:c r="I831" s="87" t="n">
        <x:v>1</x:v>
      </x:c>
    </x:row>
    <x:row r="832">
      <x:c r="A832" s="85" t="n">
        <x:v>831</x:v>
      </x:c>
      <x:c r="B832" s="86" t="n">
        <x:v>87</x:v>
      </x:c>
      <x:c r="C832" s="95" t="n">
        <x:v>45918</x:v>
      </x:c>
      <x:c r="D832" s="86" t="str">
        <x:v>Dia útil</x:v>
      </x:c>
      <x:c r="E832" s="86" t="n">
        <x:v>3</x:v>
      </x:c>
      <x:c r="F832" s="99" t="n">
        <x:v>0.5</x:v>
      </x:c>
      <x:c r="G832" s="91" t="n">
        <x:v>81.38</x:v>
      </x:c>
      <x:c r="H832" s="86" t="n">
        <x:v>1</x:v>
      </x:c>
      <x:c r="I832" s="87" t="n">
        <x:v>2</x:v>
      </x:c>
    </x:row>
    <x:row r="833">
      <x:c r="A833" s="85" t="n">
        <x:v>832</x:v>
      </x:c>
      <x:c r="B833" s="86" t="n">
        <x:v>67</x:v>
      </x:c>
      <x:c r="C833" s="95" t="n">
        <x:v>45724</x:v>
      </x:c>
      <x:c r="D833" s="86" t="str">
        <x:v>Domingo/Feriado</x:v>
      </x:c>
      <x:c r="E833" s="86" t="n">
        <x:v>3</x:v>
      </x:c>
      <x:c r="F833" s="99" t="n">
        <x:v>1</x:v>
      </x:c>
      <x:c r="G833" s="91" t="n">
        <x:v>115.7</x:v>
      </x:c>
      <x:c r="H833" s="86" t="n">
        <x:v>1</x:v>
      </x:c>
      <x:c r="I833" s="87" t="n">
        <x:v>3</x:v>
      </x:c>
    </x:row>
    <x:row r="834">
      <x:c r="A834" s="85" t="n">
        <x:v>833</x:v>
      </x:c>
      <x:c r="B834" s="86" t="n">
        <x:v>179</x:v>
      </x:c>
      <x:c r="C834" s="95" t="n">
        <x:v>45945</x:v>
      </x:c>
      <x:c r="D834" s="86" t="str">
        <x:v>Dia útil</x:v>
      </x:c>
      <x:c r="E834" s="86" t="n">
        <x:v>2</x:v>
      </x:c>
      <x:c r="F834" s="99" t="n">
        <x:v>0.5</x:v>
      </x:c>
      <x:c r="G834" s="91" t="n">
        <x:v>98.89</x:v>
      </x:c>
      <x:c r="H834" s="86" t="n">
        <x:v>1</x:v>
      </x:c>
      <x:c r="I834" s="87" t="n">
        <x:v>8</x:v>
      </x:c>
    </x:row>
    <x:row r="835">
      <x:c r="A835" s="85" t="n">
        <x:v>834</x:v>
      </x:c>
      <x:c r="B835" s="86" t="n">
        <x:v>179</x:v>
      </x:c>
      <x:c r="C835" s="95" t="n">
        <x:v>45893</x:v>
      </x:c>
      <x:c r="D835" s="86" t="str">
        <x:v>Sábado</x:v>
      </x:c>
      <x:c r="E835" s="86" t="n">
        <x:v>2</x:v>
      </x:c>
      <x:c r="F835" s="99" t="n">
        <x:v>0.75</x:v>
      </x:c>
      <x:c r="G835" s="91" t="n">
        <x:v>115.37</x:v>
      </x:c>
      <x:c r="H835" s="86" t="n">
        <x:v>1</x:v>
      </x:c>
      <x:c r="I835" s="87" t="n">
        <x:v>8</x:v>
      </x:c>
    </x:row>
    <x:row r="836">
      <x:c r="A836" s="85" t="n">
        <x:v>835</x:v>
      </x:c>
      <x:c r="B836" s="86" t="n">
        <x:v>63</x:v>
      </x:c>
      <x:c r="C836" s="95" t="n">
        <x:v>45769</x:v>
      </x:c>
      <x:c r="D836" s="86" t="str">
        <x:v>Dia útil</x:v>
      </x:c>
      <x:c r="E836" s="86" t="n">
        <x:v>4</x:v>
      </x:c>
      <x:c r="F836" s="99" t="n">
        <x:v>0.5</x:v>
      </x:c>
      <x:c r="G836" s="91" t="n">
        <x:v>133.49</x:v>
      </x:c>
      <x:c r="H836" s="86" t="n">
        <x:v>1</x:v>
      </x:c>
      <x:c r="I836" s="87" t="n">
        <x:v>7</x:v>
      </x:c>
    </x:row>
    <x:row r="837">
      <x:c r="A837" s="85" t="n">
        <x:v>836</x:v>
      </x:c>
      <x:c r="B837" s="86" t="n">
        <x:v>38</x:v>
      </x:c>
      <x:c r="C837" s="95" t="n">
        <x:v>45392</x:v>
      </x:c>
      <x:c r="D837" s="86" t="str">
        <x:v>Sábado</x:v>
      </x:c>
      <x:c r="E837" s="86" t="n">
        <x:v>3</x:v>
      </x:c>
      <x:c r="F837" s="99" t="n">
        <x:v>0.75</x:v>
      </x:c>
      <x:c r="G837" s="91" t="n">
        <x:v>388.51</x:v>
      </x:c>
      <x:c r="H837" s="86" t="n">
        <x:v>1</x:v>
      </x:c>
      <x:c r="I837" s="87" t="n">
        <x:v>5</x:v>
      </x:c>
    </x:row>
    <x:row r="838">
      <x:c r="A838" s="85" t="n">
        <x:v>837</x:v>
      </x:c>
      <x:c r="B838" s="86" t="n">
        <x:v>257</x:v>
      </x:c>
      <x:c r="C838" s="95" t="n">
        <x:v>45897</x:v>
      </x:c>
      <x:c r="D838" s="86" t="str">
        <x:v>Dia útil</x:v>
      </x:c>
      <x:c r="E838" s="86" t="n">
        <x:v>4</x:v>
      </x:c>
      <x:c r="F838" s="99" t="n">
        <x:v>0.5</x:v>
      </x:c>
      <x:c r="G838" s="91" t="n">
        <x:v>208.13</x:v>
      </x:c>
      <x:c r="H838" s="86" t="n">
        <x:v>1</x:v>
      </x:c>
      <x:c r="I838" s="87" t="n">
        <x:v>6</x:v>
      </x:c>
    </x:row>
    <x:row r="839">
      <x:c r="A839" s="85" t="n">
        <x:v>838</x:v>
      </x:c>
      <x:c r="B839" s="86" t="n">
        <x:v>155</x:v>
      </x:c>
      <x:c r="C839" s="95" t="n">
        <x:v>45683</x:v>
      </x:c>
      <x:c r="D839" s="86" t="str">
        <x:v>Dia útil</x:v>
      </x:c>
      <x:c r="E839" s="86" t="n">
        <x:v>8</x:v>
      </x:c>
      <x:c r="F839" s="99" t="n">
        <x:v>0.5</x:v>
      </x:c>
      <x:c r="G839" s="91" t="n">
        <x:v>159.81</x:v>
      </x:c>
      <x:c r="H839" s="86" t="n">
        <x:v>0</x:v>
      </x:c>
      <x:c r="I839" s="87" t="n">
        <x:v>1</x:v>
      </x:c>
    </x:row>
    <x:row r="840">
      <x:c r="A840" s="85" t="n">
        <x:v>839</x:v>
      </x:c>
      <x:c r="B840" s="86" t="n">
        <x:v>420</x:v>
      </x:c>
      <x:c r="C840" s="95" t="n">
        <x:v>46007</x:v>
      </x:c>
      <x:c r="D840" s="86" t="str">
        <x:v>Dia útil</x:v>
      </x:c>
      <x:c r="E840" s="86" t="n">
        <x:v>3</x:v>
      </x:c>
      <x:c r="F840" s="99" t="n">
        <x:v>0.5</x:v>
      </x:c>
      <x:c r="G840" s="91" t="n">
        <x:v>66.55</x:v>
      </x:c>
      <x:c r="H840" s="86" t="n">
        <x:v>1</x:v>
      </x:c>
      <x:c r="I840" s="87" t="n">
        <x:v>3</x:v>
      </x:c>
    </x:row>
    <x:row r="841">
      <x:c r="A841" s="85" t="n">
        <x:v>840</x:v>
      </x:c>
      <x:c r="B841" s="86" t="n">
        <x:v>229</x:v>
      </x:c>
      <x:c r="C841" s="95" t="n">
        <x:v>45364</x:v>
      </x:c>
      <x:c r="D841" s="86" t="str">
        <x:v>Dia útil</x:v>
      </x:c>
      <x:c r="E841" s="86" t="n">
        <x:v>3</x:v>
      </x:c>
      <x:c r="F841" s="99" t="n">
        <x:v>0.5</x:v>
      </x:c>
      <x:c r="G841" s="91" t="n">
        <x:v>101</x:v>
      </x:c>
      <x:c r="H841" s="86" t="n">
        <x:v>1</x:v>
      </x:c>
      <x:c r="I841" s="87" t="n">
        <x:v>10</x:v>
      </x:c>
    </x:row>
    <x:row r="842">
      <x:c r="A842" s="85" t="n">
        <x:v>841</x:v>
      </x:c>
      <x:c r="B842" s="86" t="n">
        <x:v>398</x:v>
      </x:c>
      <x:c r="C842" s="95" t="n">
        <x:v>45810</x:v>
      </x:c>
      <x:c r="D842" s="86" t="str">
        <x:v>Sábado</x:v>
      </x:c>
      <x:c r="E842" s="86" t="n">
        <x:v>3</x:v>
      </x:c>
      <x:c r="F842" s="99" t="n">
        <x:v>0.75</x:v>
      </x:c>
      <x:c r="G842" s="91" t="n">
        <x:v>61.08</x:v>
      </x:c>
      <x:c r="H842" s="86" t="n">
        <x:v>1</x:v>
      </x:c>
      <x:c r="I842" s="87" t="n">
        <x:v>1</x:v>
      </x:c>
    </x:row>
    <x:row r="843">
      <x:c r="A843" s="85" t="n">
        <x:v>842</x:v>
      </x:c>
      <x:c r="B843" s="86" t="n">
        <x:v>351</x:v>
      </x:c>
      <x:c r="C843" s="95" t="n">
        <x:v>46003</x:v>
      </x:c>
      <x:c r="D843" s="86" t="str">
        <x:v>Dia útil</x:v>
      </x:c>
      <x:c r="E843" s="86" t="n">
        <x:v>1</x:v>
      </x:c>
      <x:c r="F843" s="99" t="n">
        <x:v>0.5</x:v>
      </x:c>
      <x:c r="G843" s="91" t="n">
        <x:v>24.52</x:v>
      </x:c>
      <x:c r="H843" s="86" t="n">
        <x:v>1</x:v>
      </x:c>
      <x:c r="I843" s="87" t="n">
        <x:v>10</x:v>
      </x:c>
    </x:row>
    <x:row r="844">
      <x:c r="A844" s="85" t="n">
        <x:v>843</x:v>
      </x:c>
      <x:c r="B844" s="86" t="n">
        <x:v>203</x:v>
      </x:c>
      <x:c r="C844" s="95" t="n">
        <x:v>45595</x:v>
      </x:c>
      <x:c r="D844" s="86" t="str">
        <x:v>Dia útil</x:v>
      </x:c>
      <x:c r="E844" s="86" t="n">
        <x:v>3</x:v>
      </x:c>
      <x:c r="F844" s="99" t="n">
        <x:v>0.5</x:v>
      </x:c>
      <x:c r="G844" s="91" t="n">
        <x:v>98.37</x:v>
      </x:c>
      <x:c r="H844" s="86" t="n">
        <x:v>1</x:v>
      </x:c>
      <x:c r="I844" s="87" t="n">
        <x:v>8</x:v>
      </x:c>
    </x:row>
    <x:row r="845">
      <x:c r="A845" s="85" t="n">
        <x:v>844</x:v>
      </x:c>
      <x:c r="B845" s="86" t="n">
        <x:v>12</x:v>
      </x:c>
      <x:c r="C845" s="95" t="n">
        <x:v>45785</x:v>
      </x:c>
      <x:c r="D845" s="86" t="str">
        <x:v>Domingo/Feriado</x:v>
      </x:c>
      <x:c r="E845" s="86" t="n">
        <x:v>8</x:v>
      </x:c>
      <x:c r="F845" s="99" t="n">
        <x:v>1</x:v>
      </x:c>
      <x:c r="G845" s="91" t="n">
        <x:v>179.04</x:v>
      </x:c>
      <x:c r="H845" s="86" t="n">
        <x:v>1</x:v>
      </x:c>
      <x:c r="I845" s="87" t="n">
        <x:v>1</x:v>
      </x:c>
    </x:row>
    <x:row r="846">
      <x:c r="A846" s="85" t="n">
        <x:v>845</x:v>
      </x:c>
      <x:c r="B846" s="86" t="n">
        <x:v>402</x:v>
      </x:c>
      <x:c r="C846" s="95" t="n">
        <x:v>45443</x:v>
      </x:c>
      <x:c r="D846" s="86" t="str">
        <x:v>Sábado</x:v>
      </x:c>
      <x:c r="E846" s="86" t="n">
        <x:v>8</x:v>
      </x:c>
      <x:c r="F846" s="99" t="n">
        <x:v>0.75</x:v>
      </x:c>
      <x:c r="G846" s="91" t="n">
        <x:v>223.22</x:v>
      </x:c>
      <x:c r="H846" s="86" t="n">
        <x:v>1</x:v>
      </x:c>
      <x:c r="I846" s="87" t="n">
        <x:v>1</x:v>
      </x:c>
    </x:row>
    <x:row r="847">
      <x:c r="A847" s="85" t="n">
        <x:v>846</x:v>
      </x:c>
      <x:c r="B847" s="86" t="n">
        <x:v>114</x:v>
      </x:c>
      <x:c r="C847" s="95" t="n">
        <x:v>45852</x:v>
      </x:c>
      <x:c r="D847" s="86" t="str">
        <x:v>Dia útil</x:v>
      </x:c>
      <x:c r="E847" s="86" t="n">
        <x:v>8</x:v>
      </x:c>
      <x:c r="F847" s="99" t="n">
        <x:v>0.5</x:v>
      </x:c>
      <x:c r="G847" s="91" t="n">
        <x:v>267.24</x:v>
      </x:c>
      <x:c r="H847" s="86" t="n">
        <x:v>1</x:v>
      </x:c>
      <x:c r="I847" s="87" t="n">
        <x:v>7</x:v>
      </x:c>
    </x:row>
    <x:row r="848">
      <x:c r="A848" s="85" t="n">
        <x:v>847</x:v>
      </x:c>
      <x:c r="B848" s="86" t="n">
        <x:v>299</x:v>
      </x:c>
      <x:c r="C848" s="95" t="n">
        <x:v>45322</x:v>
      </x:c>
      <x:c r="D848" s="86" t="str">
        <x:v>Domingo/Feriado</x:v>
      </x:c>
      <x:c r="E848" s="86" t="n">
        <x:v>3</x:v>
      </x:c>
      <x:c r="F848" s="99" t="n">
        <x:v>1</x:v>
      </x:c>
      <x:c r="G848" s="91" t="n">
        <x:v>77.4</x:v>
      </x:c>
      <x:c r="H848" s="86" t="n">
        <x:v>1</x:v>
      </x:c>
      <x:c r="I848" s="87" t="n">
        <x:v>1</x:v>
      </x:c>
    </x:row>
    <x:row r="849">
      <x:c r="A849" s="85" t="n">
        <x:v>848</x:v>
      </x:c>
      <x:c r="B849" s="86" t="n">
        <x:v>174</x:v>
      </x:c>
      <x:c r="C849" s="95" t="n">
        <x:v>45304</x:v>
      </x:c>
      <x:c r="D849" s="86" t="str">
        <x:v>Dia útil</x:v>
      </x:c>
      <x:c r="E849" s="86" t="n">
        <x:v>2</x:v>
      </x:c>
      <x:c r="F849" s="99" t="n">
        <x:v>0.5</x:v>
      </x:c>
      <x:c r="G849" s="91" t="n">
        <x:v>69.15</x:v>
      </x:c>
      <x:c r="H849" s="86" t="n">
        <x:v>0</x:v>
      </x:c>
      <x:c r="I849" s="87" t="n">
        <x:v>2</x:v>
      </x:c>
    </x:row>
    <x:row r="850">
      <x:c r="A850" s="85" t="n">
        <x:v>849</x:v>
      </x:c>
      <x:c r="B850" s="86" t="n">
        <x:v>285</x:v>
      </x:c>
      <x:c r="C850" s="95" t="n">
        <x:v>45859</x:v>
      </x:c>
      <x:c r="D850" s="86" t="str">
        <x:v>Dia útil</x:v>
      </x:c>
      <x:c r="E850" s="86" t="n">
        <x:v>2</x:v>
      </x:c>
      <x:c r="F850" s="99" t="n">
        <x:v>0.5</x:v>
      </x:c>
      <x:c r="G850" s="91" t="n">
        <x:v>42.63</x:v>
      </x:c>
      <x:c r="H850" s="86" t="n">
        <x:v>1</x:v>
      </x:c>
      <x:c r="I850" s="87" t="n">
        <x:v>1</x:v>
      </x:c>
    </x:row>
    <x:row r="851">
      <x:c r="A851" s="85" t="n">
        <x:v>850</x:v>
      </x:c>
      <x:c r="B851" s="86" t="n">
        <x:v>49</x:v>
      </x:c>
      <x:c r="C851" s="95" t="n">
        <x:v>46003</x:v>
      </x:c>
      <x:c r="D851" s="86" t="str">
        <x:v>Domingo/Feriado</x:v>
      </x:c>
      <x:c r="E851" s="86" t="n">
        <x:v>1</x:v>
      </x:c>
      <x:c r="F851" s="99" t="n">
        <x:v>1</x:v>
      </x:c>
      <x:c r="G851" s="91" t="n">
        <x:v>59.39</x:v>
      </x:c>
      <x:c r="H851" s="86" t="n">
        <x:v>1</x:v>
      </x:c>
      <x:c r="I851" s="87" t="n">
        <x:v>10</x:v>
      </x:c>
    </x:row>
    <x:row r="852">
      <x:c r="A852" s="85" t="n">
        <x:v>851</x:v>
      </x:c>
      <x:c r="B852" s="86" t="n">
        <x:v>376</x:v>
      </x:c>
      <x:c r="C852" s="95" t="n">
        <x:v>45960</x:v>
      </x:c>
      <x:c r="D852" s="86" t="str">
        <x:v>Dia útil</x:v>
      </x:c>
      <x:c r="E852" s="86" t="n">
        <x:v>4</x:v>
      </x:c>
      <x:c r="F852" s="99" t="n">
        <x:v>0.5</x:v>
      </x:c>
      <x:c r="G852" s="91" t="n">
        <x:v>255.3</x:v>
      </x:c>
      <x:c r="H852" s="86" t="n">
        <x:v>1</x:v>
      </x:c>
      <x:c r="I852" s="87" t="n">
        <x:v>4</x:v>
      </x:c>
    </x:row>
    <x:row r="853">
      <x:c r="A853" s="85" t="n">
        <x:v>852</x:v>
      </x:c>
      <x:c r="B853" s="86" t="n">
        <x:v>344</x:v>
      </x:c>
      <x:c r="C853" s="95" t="n">
        <x:v>45650</x:v>
      </x:c>
      <x:c r="D853" s="86" t="str">
        <x:v>Dia útil</x:v>
      </x:c>
      <x:c r="E853" s="86" t="n">
        <x:v>8</x:v>
      </x:c>
      <x:c r="F853" s="99" t="n">
        <x:v>0.5</x:v>
      </x:c>
      <x:c r="G853" s="91" t="n">
        <x:v>139.17</x:v>
      </x:c>
      <x:c r="H853" s="86" t="n">
        <x:v>1</x:v>
      </x:c>
      <x:c r="I853" s="87" t="n">
        <x:v>1</x:v>
      </x:c>
    </x:row>
    <x:row r="854">
      <x:c r="A854" s="85" t="n">
        <x:v>853</x:v>
      </x:c>
      <x:c r="B854" s="86" t="n">
        <x:v>283</x:v>
      </x:c>
      <x:c r="C854" s="95" t="n">
        <x:v>45838</x:v>
      </x:c>
      <x:c r="D854" s="86" t="str">
        <x:v>Sábado</x:v>
      </x:c>
      <x:c r="E854" s="86" t="n">
        <x:v>2</x:v>
      </x:c>
      <x:c r="F854" s="99" t="n">
        <x:v>0.75</x:v>
      </x:c>
      <x:c r="G854" s="91" t="n">
        <x:v>53.63</x:v>
      </x:c>
      <x:c r="H854" s="86" t="n">
        <x:v>1</x:v>
      </x:c>
      <x:c r="I854" s="87" t="n">
        <x:v>1</x:v>
      </x:c>
    </x:row>
    <x:row r="855">
      <x:c r="A855" s="85" t="n">
        <x:v>854</x:v>
      </x:c>
      <x:c r="B855" s="86" t="n">
        <x:v>173</x:v>
      </x:c>
      <x:c r="C855" s="95" t="n">
        <x:v>45657</x:v>
      </x:c>
      <x:c r="D855" s="86" t="str">
        <x:v>Dia útil</x:v>
      </x:c>
      <x:c r="E855" s="86" t="n">
        <x:v>8</x:v>
      </x:c>
      <x:c r="F855" s="99" t="n">
        <x:v>0.5</x:v>
      </x:c>
      <x:c r="G855" s="91" t="n">
        <x:v>402.93</x:v>
      </x:c>
      <x:c r="H855" s="86" t="n">
        <x:v>1</x:v>
      </x:c>
      <x:c r="I855" s="87" t="n">
        <x:v>8</x:v>
      </x:c>
    </x:row>
    <x:row r="856">
      <x:c r="A856" s="85" t="n">
        <x:v>855</x:v>
      </x:c>
      <x:c r="B856" s="86" t="n">
        <x:v>206</x:v>
      </x:c>
      <x:c r="C856" s="95" t="n">
        <x:v>45951</x:v>
      </x:c>
      <x:c r="D856" s="86" t="str">
        <x:v>Dia útil</x:v>
      </x:c>
      <x:c r="E856" s="86" t="n">
        <x:v>2</x:v>
      </x:c>
      <x:c r="F856" s="99" t="n">
        <x:v>0.5</x:v>
      </x:c>
      <x:c r="G856" s="91" t="n">
        <x:v>74.97</x:v>
      </x:c>
      <x:c r="H856" s="86" t="n">
        <x:v>1</x:v>
      </x:c>
      <x:c r="I856" s="87" t="n">
        <x:v>6</x:v>
      </x:c>
    </x:row>
    <x:row r="857">
      <x:c r="A857" s="85" t="n">
        <x:v>856</x:v>
      </x:c>
      <x:c r="B857" s="86" t="n">
        <x:v>279</x:v>
      </x:c>
      <x:c r="C857" s="95" t="n">
        <x:v>45906</x:v>
      </x:c>
      <x:c r="D857" s="86" t="str">
        <x:v>Dia útil</x:v>
      </x:c>
      <x:c r="E857" s="86" t="n">
        <x:v>6</x:v>
      </x:c>
      <x:c r="F857" s="99" t="n">
        <x:v>0.5</x:v>
      </x:c>
      <x:c r="G857" s="91" t="n">
        <x:v>338.13</x:v>
      </x:c>
      <x:c r="H857" s="86" t="n">
        <x:v>1</x:v>
      </x:c>
      <x:c r="I857" s="87" t="n">
        <x:v>6</x:v>
      </x:c>
    </x:row>
    <x:row r="858">
      <x:c r="A858" s="85" t="n">
        <x:v>857</x:v>
      </x:c>
      <x:c r="B858" s="86" t="n">
        <x:v>193</x:v>
      </x:c>
      <x:c r="C858" s="95" t="n">
        <x:v>45882</x:v>
      </x:c>
      <x:c r="D858" s="86" t="str">
        <x:v>Dia útil</x:v>
      </x:c>
      <x:c r="E858" s="86" t="n">
        <x:v>2</x:v>
      </x:c>
      <x:c r="F858" s="99" t="n">
        <x:v>0.5</x:v>
      </x:c>
      <x:c r="G858" s="91" t="n">
        <x:v>83.48</x:v>
      </x:c>
      <x:c r="H858" s="86" t="n">
        <x:v>1</x:v>
      </x:c>
      <x:c r="I858" s="87" t="n">
        <x:v>6</x:v>
      </x:c>
    </x:row>
    <x:row r="859">
      <x:c r="A859" s="85" t="n">
        <x:v>858</x:v>
      </x:c>
      <x:c r="B859" s="86" t="n">
        <x:v>188</x:v>
      </x:c>
      <x:c r="C859" s="95" t="n">
        <x:v>45875</x:v>
      </x:c>
      <x:c r="D859" s="86" t="str">
        <x:v>Sábado</x:v>
      </x:c>
      <x:c r="E859" s="86" t="n">
        <x:v>2</x:v>
      </x:c>
      <x:c r="F859" s="99" t="n">
        <x:v>0.75</x:v>
      </x:c>
      <x:c r="G859" s="91" t="n">
        <x:v>49.01</x:v>
      </x:c>
      <x:c r="H859" s="86" t="n">
        <x:v>1</x:v>
      </x:c>
      <x:c r="I859" s="87" t="n">
        <x:v>1</x:v>
      </x:c>
    </x:row>
    <x:row r="860">
      <x:c r="A860" s="85" t="n">
        <x:v>859</x:v>
      </x:c>
      <x:c r="B860" s="86" t="n">
        <x:v>347</x:v>
      </x:c>
      <x:c r="C860" s="95" t="n">
        <x:v>45945</x:v>
      </x:c>
      <x:c r="D860" s="86" t="str">
        <x:v>Dia útil</x:v>
      </x:c>
      <x:c r="E860" s="86" t="n">
        <x:v>1</x:v>
      </x:c>
      <x:c r="F860" s="99" t="n">
        <x:v>0.5</x:v>
      </x:c>
      <x:c r="G860" s="91" t="n">
        <x:v>31.47</x:v>
      </x:c>
      <x:c r="H860" s="86" t="n">
        <x:v>1</x:v>
      </x:c>
      <x:c r="I860" s="87" t="n">
        <x:v>7</x:v>
      </x:c>
    </x:row>
    <x:row r="861">
      <x:c r="A861" s="85" t="n">
        <x:v>860</x:v>
      </x:c>
      <x:c r="B861" s="86" t="n">
        <x:v>57</x:v>
      </x:c>
      <x:c r="C861" s="95" t="n">
        <x:v>45470</x:v>
      </x:c>
      <x:c r="D861" s="86" t="str">
        <x:v>Domingo/Feriado</x:v>
      </x:c>
      <x:c r="E861" s="86" t="n">
        <x:v>2</x:v>
      </x:c>
      <x:c r="F861" s="99" t="n">
        <x:v>1</x:v>
      </x:c>
      <x:c r="G861" s="91" t="n">
        <x:v>119.15</x:v>
      </x:c>
      <x:c r="H861" s="86" t="n">
        <x:v>1</x:v>
      </x:c>
      <x:c r="I861" s="87" t="n">
        <x:v>5</x:v>
      </x:c>
    </x:row>
    <x:row r="862">
      <x:c r="A862" s="85" t="n">
        <x:v>861</x:v>
      </x:c>
      <x:c r="B862" s="86" t="n">
        <x:v>305</x:v>
      </x:c>
      <x:c r="C862" s="95" t="n">
        <x:v>45785</x:v>
      </x:c>
      <x:c r="D862" s="86" t="str">
        <x:v>Sábado</x:v>
      </x:c>
      <x:c r="E862" s="86" t="n">
        <x:v>3</x:v>
      </x:c>
      <x:c r="F862" s="99" t="n">
        <x:v>0.75</x:v>
      </x:c>
      <x:c r="G862" s="91" t="n">
        <x:v>80.16</x:v>
      </x:c>
      <x:c r="H862" s="86" t="n">
        <x:v>1</x:v>
      </x:c>
      <x:c r="I862" s="87" t="n">
        <x:v>1</x:v>
      </x:c>
    </x:row>
    <x:row r="863">
      <x:c r="A863" s="85" t="n">
        <x:v>862</x:v>
      </x:c>
      <x:c r="B863" s="86" t="n">
        <x:v>228</x:v>
      </x:c>
      <x:c r="C863" s="95" t="n">
        <x:v>45708</x:v>
      </x:c>
      <x:c r="D863" s="86" t="str">
        <x:v>Dia útil</x:v>
      </x:c>
      <x:c r="E863" s="86" t="n">
        <x:v>1</x:v>
      </x:c>
      <x:c r="F863" s="99" t="n">
        <x:v>0.5</x:v>
      </x:c>
      <x:c r="G863" s="91" t="n">
        <x:v>29.63</x:v>
      </x:c>
      <x:c r="H863" s="86" t="n">
        <x:v>1</x:v>
      </x:c>
      <x:c r="I863" s="87" t="n">
        <x:v>3</x:v>
      </x:c>
    </x:row>
    <x:row r="864">
      <x:c r="A864" s="85" t="n">
        <x:v>863</x:v>
      </x:c>
      <x:c r="B864" s="86" t="n">
        <x:v>382</x:v>
      </x:c>
      <x:c r="C864" s="95" t="n">
        <x:v>45395</x:v>
      </x:c>
      <x:c r="D864" s="86" t="str">
        <x:v>Dia útil</x:v>
      </x:c>
      <x:c r="E864" s="86" t="n">
        <x:v>8</x:v>
      </x:c>
      <x:c r="F864" s="99" t="n">
        <x:v>0.5</x:v>
      </x:c>
      <x:c r="G864" s="91" t="n">
        <x:v>507.18</x:v>
      </x:c>
      <x:c r="H864" s="86" t="n">
        <x:v>1</x:v>
      </x:c>
      <x:c r="I864" s="87" t="n">
        <x:v>5</x:v>
      </x:c>
    </x:row>
    <x:row r="865">
      <x:c r="A865" s="85" t="n">
        <x:v>864</x:v>
      </x:c>
      <x:c r="B865" s="86" t="n">
        <x:v>190</x:v>
      </x:c>
      <x:c r="C865" s="95" t="n">
        <x:v>45948</x:v>
      </x:c>
      <x:c r="D865" s="86" t="str">
        <x:v>Dia útil</x:v>
      </x:c>
      <x:c r="E865" s="86" t="n">
        <x:v>2</x:v>
      </x:c>
      <x:c r="F865" s="99" t="n">
        <x:v>0.5</x:v>
      </x:c>
      <x:c r="G865" s="91" t="n">
        <x:v>91.72</x:v>
      </x:c>
      <x:c r="H865" s="86" t="n">
        <x:v>1</x:v>
      </x:c>
      <x:c r="I865" s="87" t="n">
        <x:v>9</x:v>
      </x:c>
    </x:row>
    <x:row r="866">
      <x:c r="A866" s="85" t="n">
        <x:v>865</x:v>
      </x:c>
      <x:c r="B866" s="86" t="n">
        <x:v>162</x:v>
      </x:c>
      <x:c r="C866" s="95" t="n">
        <x:v>45602</x:v>
      </x:c>
      <x:c r="D866" s="86" t="str">
        <x:v>Dia útil</x:v>
      </x:c>
      <x:c r="E866" s="86" t="n">
        <x:v>1</x:v>
      </x:c>
      <x:c r="F866" s="99" t="n">
        <x:v>0.5</x:v>
      </x:c>
      <x:c r="G866" s="91" t="n">
        <x:v>52.61</x:v>
      </x:c>
      <x:c r="H866" s="86" t="n">
        <x:v>1</x:v>
      </x:c>
      <x:c r="I866" s="87" t="n">
        <x:v>10</x:v>
      </x:c>
    </x:row>
    <x:row r="867">
      <x:c r="A867" s="85" t="n">
        <x:v>866</x:v>
      </x:c>
      <x:c r="B867" s="86" t="n">
        <x:v>116</x:v>
      </x:c>
      <x:c r="C867" s="95" t="n">
        <x:v>45807</x:v>
      </x:c>
      <x:c r="D867" s="86" t="str">
        <x:v>Domingo/Feriado</x:v>
      </x:c>
      <x:c r="E867" s="86" t="n">
        <x:v>1</x:v>
      </x:c>
      <x:c r="F867" s="99" t="n">
        <x:v>1</x:v>
      </x:c>
      <x:c r="G867" s="91" t="n">
        <x:v>136.04</x:v>
      </x:c>
      <x:c r="H867" s="86" t="n">
        <x:v>1</x:v>
      </x:c>
      <x:c r="I867" s="87" t="n">
        <x:v>6</x:v>
      </x:c>
    </x:row>
    <x:row r="868">
      <x:c r="A868" s="85" t="n">
        <x:v>867</x:v>
      </x:c>
      <x:c r="B868" s="86" t="n">
        <x:v>100</x:v>
      </x:c>
      <x:c r="C868" s="95" t="n">
        <x:v>45902</x:v>
      </x:c>
      <x:c r="D868" s="86" t="str">
        <x:v>Dia útil</x:v>
      </x:c>
      <x:c r="E868" s="86" t="n">
        <x:v>6</x:v>
      </x:c>
      <x:c r="F868" s="99" t="n">
        <x:v>0.5</x:v>
      </x:c>
      <x:c r="G868" s="91" t="n">
        <x:v>117.13</x:v>
      </x:c>
      <x:c r="H868" s="86" t="n">
        <x:v>1</x:v>
      </x:c>
      <x:c r="I868" s="87" t="n">
        <x:v>1</x:v>
      </x:c>
    </x:row>
    <x:row r="869">
      <x:c r="A869" s="85" t="n">
        <x:v>868</x:v>
      </x:c>
      <x:c r="B869" s="86" t="n">
        <x:v>369</x:v>
      </x:c>
      <x:c r="C869" s="95" t="n">
        <x:v>45686</x:v>
      </x:c>
      <x:c r="D869" s="86" t="str">
        <x:v>Dia útil</x:v>
      </x:c>
      <x:c r="E869" s="86" t="n">
        <x:v>3</x:v>
      </x:c>
      <x:c r="F869" s="99" t="n">
        <x:v>0.5</x:v>
      </x:c>
      <x:c r="G869" s="91" t="n">
        <x:v>71.81</x:v>
      </x:c>
      <x:c r="H869" s="86" t="n">
        <x:v>1</x:v>
      </x:c>
      <x:c r="I869" s="87" t="n">
        <x:v>1</x:v>
      </x:c>
    </x:row>
    <x:row r="870">
      <x:c r="A870" s="85" t="n">
        <x:v>869</x:v>
      </x:c>
      <x:c r="B870" s="86" t="n">
        <x:v>328</x:v>
      </x:c>
      <x:c r="C870" s="95" t="n">
        <x:v>45585</x:v>
      </x:c>
      <x:c r="D870" s="86" t="str">
        <x:v>Dia útil</x:v>
      </x:c>
      <x:c r="E870" s="86" t="n">
        <x:v>3</x:v>
      </x:c>
      <x:c r="F870" s="99" t="n">
        <x:v>0.5</x:v>
      </x:c>
      <x:c r="G870" s="91" t="n">
        <x:v>127.73</x:v>
      </x:c>
      <x:c r="H870" s="86" t="n">
        <x:v>1</x:v>
      </x:c>
      <x:c r="I870" s="87" t="n">
        <x:v>6</x:v>
      </x:c>
    </x:row>
    <x:row r="871">
      <x:c r="A871" s="85" t="n">
        <x:v>870</x:v>
      </x:c>
      <x:c r="B871" s="86" t="n">
        <x:v>17</x:v>
      </x:c>
      <x:c r="C871" s="95" t="n">
        <x:v>45678</x:v>
      </x:c>
      <x:c r="D871" s="86" t="str">
        <x:v>Dia útil</x:v>
      </x:c>
      <x:c r="E871" s="86" t="n">
        <x:v>8</x:v>
      </x:c>
      <x:c r="F871" s="99" t="n">
        <x:v>0.5</x:v>
      </x:c>
      <x:c r="G871" s="91" t="n">
        <x:v>411.58</x:v>
      </x:c>
      <x:c r="H871" s="86" t="n">
        <x:v>1</x:v>
      </x:c>
      <x:c r="I871" s="87" t="n">
        <x:v>8</x:v>
      </x:c>
    </x:row>
    <x:row r="872">
      <x:c r="A872" s="85" t="n">
        <x:v>871</x:v>
      </x:c>
      <x:c r="B872" s="86" t="n">
        <x:v>357</x:v>
      </x:c>
      <x:c r="C872" s="95" t="n">
        <x:v>46013</x:v>
      </x:c>
      <x:c r="D872" s="86" t="str">
        <x:v>Dia útil</x:v>
      </x:c>
      <x:c r="E872" s="86" t="n">
        <x:v>6</x:v>
      </x:c>
      <x:c r="F872" s="99" t="n">
        <x:v>0.5</x:v>
      </x:c>
      <x:c r="G872" s="91" t="n">
        <x:v>298.15</x:v>
      </x:c>
      <x:c r="H872" s="86" t="n">
        <x:v>1</x:v>
      </x:c>
      <x:c r="I872" s="87" t="n">
        <x:v>10</x:v>
      </x:c>
    </x:row>
    <x:row r="873">
      <x:c r="A873" s="85" t="n">
        <x:v>872</x:v>
      </x:c>
      <x:c r="B873" s="86" t="n">
        <x:v>382</x:v>
      </x:c>
      <x:c r="C873" s="95" t="n">
        <x:v>45862</x:v>
      </x:c>
      <x:c r="D873" s="86" t="str">
        <x:v>Domingo/Feriado</x:v>
      </x:c>
      <x:c r="E873" s="86" t="n">
        <x:v>8</x:v>
      </x:c>
      <x:c r="F873" s="99" t="n">
        <x:v>1</x:v>
      </x:c>
      <x:c r="G873" s="91" t="n">
        <x:v>676.25</x:v>
      </x:c>
      <x:c r="H873" s="86" t="n">
        <x:v>1</x:v>
      </x:c>
      <x:c r="I873" s="87" t="n">
        <x:v>5</x:v>
      </x:c>
    </x:row>
    <x:row r="874">
      <x:c r="A874" s="85" t="n">
        <x:v>873</x:v>
      </x:c>
      <x:c r="B874" s="86" t="n">
        <x:v>50</x:v>
      </x:c>
      <x:c r="C874" s="95" t="n">
        <x:v>45973</x:v>
      </x:c>
      <x:c r="D874" s="86" t="str">
        <x:v>Sábado</x:v>
      </x:c>
      <x:c r="E874" s="86" t="n">
        <x:v>4</x:v>
      </x:c>
      <x:c r="F874" s="99" t="n">
        <x:v>0.75</x:v>
      </x:c>
      <x:c r="G874" s="91" t="n">
        <x:v>154.17</x:v>
      </x:c>
      <x:c r="H874" s="86" t="n">
        <x:v>1</x:v>
      </x:c>
      <x:c r="I874" s="87" t="n">
        <x:v>6</x:v>
      </x:c>
    </x:row>
    <x:row r="875">
      <x:c r="A875" s="85" t="n">
        <x:v>874</x:v>
      </x:c>
      <x:c r="B875" s="86" t="n">
        <x:v>95</x:v>
      </x:c>
      <x:c r="C875" s="95" t="n">
        <x:v>45674</x:v>
      </x:c>
      <x:c r="D875" s="86" t="str">
        <x:v>Dia útil</x:v>
      </x:c>
      <x:c r="E875" s="86" t="n">
        <x:v>8</x:v>
      </x:c>
      <x:c r="F875" s="99" t="n">
        <x:v>0.5</x:v>
      </x:c>
      <x:c r="G875" s="91" t="n">
        <x:v>177.69</x:v>
      </x:c>
      <x:c r="H875" s="86" t="n">
        <x:v>1</x:v>
      </x:c>
      <x:c r="I875" s="87" t="n">
        <x:v>1</x:v>
      </x:c>
    </x:row>
    <x:row r="876">
      <x:c r="A876" s="85" t="n">
        <x:v>875</x:v>
      </x:c>
      <x:c r="B876" s="86" t="n">
        <x:v>247</x:v>
      </x:c>
      <x:c r="C876" s="95" t="n">
        <x:v>45850</x:v>
      </x:c>
      <x:c r="D876" s="86" t="str">
        <x:v>Domingo/Feriado</x:v>
      </x:c>
      <x:c r="E876" s="86" t="n">
        <x:v>3</x:v>
      </x:c>
      <x:c r="F876" s="99" t="n">
        <x:v>1</x:v>
      </x:c>
      <x:c r="G876" s="91" t="n">
        <x:v>91.92</x:v>
      </x:c>
      <x:c r="H876" s="86" t="n">
        <x:v>1</x:v>
      </x:c>
      <x:c r="I876" s="87" t="n">
        <x:v>3</x:v>
      </x:c>
    </x:row>
    <x:row r="877">
      <x:c r="A877" s="85" t="n">
        <x:v>876</x:v>
      </x:c>
      <x:c r="B877" s="86" t="n">
        <x:v>415</x:v>
      </x:c>
      <x:c r="C877" s="95" t="n">
        <x:v>45938</x:v>
      </x:c>
      <x:c r="D877" s="86" t="str">
        <x:v>Dia útil</x:v>
      </x:c>
      <x:c r="E877" s="86" t="n">
        <x:v>4</x:v>
      </x:c>
      <x:c r="F877" s="99" t="n">
        <x:v>0.5</x:v>
      </x:c>
      <x:c r="G877" s="91" t="n">
        <x:v>78.74</x:v>
      </x:c>
      <x:c r="H877" s="86" t="n">
        <x:v>1</x:v>
      </x:c>
      <x:c r="I877" s="87" t="n">
        <x:v>1</x:v>
      </x:c>
    </x:row>
    <x:row r="878">
      <x:c r="A878" s="85" t="n">
        <x:v>877</x:v>
      </x:c>
      <x:c r="B878" s="86" t="n">
        <x:v>267</x:v>
      </x:c>
      <x:c r="C878" s="95" t="n">
        <x:v>46007</x:v>
      </x:c>
      <x:c r="D878" s="86" t="str">
        <x:v>Dia útil</x:v>
      </x:c>
      <x:c r="E878" s="86" t="n">
        <x:v>1</x:v>
      </x:c>
      <x:c r="F878" s="99" t="n">
        <x:v>0.5</x:v>
      </x:c>
      <x:c r="G878" s="91" t="n">
        <x:v>34.51</x:v>
      </x:c>
      <x:c r="H878" s="86" t="n">
        <x:v>1</x:v>
      </x:c>
      <x:c r="I878" s="87" t="n">
        <x:v>4</x:v>
      </x:c>
    </x:row>
    <x:row r="879">
      <x:c r="A879" s="85" t="n">
        <x:v>878</x:v>
      </x:c>
      <x:c r="B879" s="86" t="n">
        <x:v>324</x:v>
      </x:c>
      <x:c r="C879" s="95" t="n">
        <x:v>46022</x:v>
      </x:c>
      <x:c r="D879" s="86" t="str">
        <x:v>Dia útil</x:v>
      </x:c>
      <x:c r="E879" s="86" t="n">
        <x:v>2</x:v>
      </x:c>
      <x:c r="F879" s="99" t="n">
        <x:v>0.5</x:v>
      </x:c>
      <x:c r="G879" s="91" t="n">
        <x:v>64.47</x:v>
      </x:c>
      <x:c r="H879" s="86" t="n">
        <x:v>1</x:v>
      </x:c>
      <x:c r="I879" s="87" t="n">
        <x:v>7</x:v>
      </x:c>
    </x:row>
    <x:row r="880">
      <x:c r="A880" s="85" t="n">
        <x:v>879</x:v>
      </x:c>
      <x:c r="B880" s="86" t="n">
        <x:v>293</x:v>
      </x:c>
      <x:c r="C880" s="95" t="n">
        <x:v>45700</x:v>
      </x:c>
      <x:c r="D880" s="86" t="str">
        <x:v>Dia útil</x:v>
      </x:c>
      <x:c r="E880" s="86" t="n">
        <x:v>8</x:v>
      </x:c>
      <x:c r="F880" s="99" t="n">
        <x:v>0.5</x:v>
      </x:c>
      <x:c r="G880" s="91" t="n">
        <x:v>158.74</x:v>
      </x:c>
      <x:c r="H880" s="86" t="n">
        <x:v>1</x:v>
      </x:c>
      <x:c r="I880" s="87" t="n">
        <x:v>1</x:v>
      </x:c>
    </x:row>
    <x:row r="881">
      <x:c r="A881" s="85" t="n">
        <x:v>880</x:v>
      </x:c>
      <x:c r="B881" s="86" t="n">
        <x:v>111</x:v>
      </x:c>
      <x:c r="C881" s="95" t="n">
        <x:v>45646</x:v>
      </x:c>
      <x:c r="D881" s="86" t="str">
        <x:v>Dia útil</x:v>
      </x:c>
      <x:c r="E881" s="86" t="n">
        <x:v>6</x:v>
      </x:c>
      <x:c r="F881" s="99" t="n">
        <x:v>0.5</x:v>
      </x:c>
      <x:c r="G881" s="91" t="n">
        <x:v>428.06</x:v>
      </x:c>
      <x:c r="H881" s="86" t="n">
        <x:v>1</x:v>
      </x:c>
      <x:c r="I881" s="87" t="n">
        <x:v>2</x:v>
      </x:c>
    </x:row>
    <x:row r="882">
      <x:c r="A882" s="85" t="n">
        <x:v>881</x:v>
      </x:c>
      <x:c r="B882" s="86" t="n">
        <x:v>45</x:v>
      </x:c>
      <x:c r="C882" s="95" t="n">
        <x:v>45596</x:v>
      </x:c>
      <x:c r="D882" s="86" t="str">
        <x:v>Dia útil</x:v>
      </x:c>
      <x:c r="E882" s="86" t="n">
        <x:v>3</x:v>
      </x:c>
      <x:c r="F882" s="99" t="n">
        <x:v>0.5</x:v>
      </x:c>
      <x:c r="G882" s="91" t="n">
        <x:v>46.38</x:v>
      </x:c>
      <x:c r="H882" s="86" t="n">
        <x:v>1</x:v>
      </x:c>
      <x:c r="I882" s="87" t="n">
        <x:v>1</x:v>
      </x:c>
    </x:row>
    <x:row r="883">
      <x:c r="A883" s="85" t="n">
        <x:v>882</x:v>
      </x:c>
      <x:c r="B883" s="86" t="n">
        <x:v>335</x:v>
      </x:c>
      <x:c r="C883" s="95" t="n">
        <x:v>45974</x:v>
      </x:c>
      <x:c r="D883" s="86" t="str">
        <x:v>Sábado</x:v>
      </x:c>
      <x:c r="E883" s="86" t="n">
        <x:v>3</x:v>
      </x:c>
      <x:c r="F883" s="99" t="n">
        <x:v>0.75</x:v>
      </x:c>
      <x:c r="G883" s="91" t="n">
        <x:v>164.38</x:v>
      </x:c>
      <x:c r="H883" s="86" t="n">
        <x:v>1</x:v>
      </x:c>
      <x:c r="I883" s="87" t="n">
        <x:v>7</x:v>
      </x:c>
    </x:row>
    <x:row r="884">
      <x:c r="A884" s="85" t="n">
        <x:v>883</x:v>
      </x:c>
      <x:c r="B884" s="86" t="n">
        <x:v>328</x:v>
      </x:c>
      <x:c r="C884" s="95" t="n">
        <x:v>45707</x:v>
      </x:c>
      <x:c r="D884" s="86" t="str">
        <x:v>Dia útil</x:v>
      </x:c>
      <x:c r="E884" s="86" t="n">
        <x:v>3</x:v>
      </x:c>
      <x:c r="F884" s="99" t="n">
        <x:v>0.5</x:v>
      </x:c>
      <x:c r="G884" s="91" t="n">
        <x:v>127.73</x:v>
      </x:c>
      <x:c r="H884" s="86" t="n">
        <x:v>1</x:v>
      </x:c>
      <x:c r="I884" s="87" t="n">
        <x:v>6</x:v>
      </x:c>
    </x:row>
    <x:row r="885">
      <x:c r="A885" s="85" t="n">
        <x:v>884</x:v>
      </x:c>
      <x:c r="B885" s="86" t="n">
        <x:v>297</x:v>
      </x:c>
      <x:c r="C885" s="95" t="n">
        <x:v>45694</x:v>
      </x:c>
      <x:c r="D885" s="86" t="str">
        <x:v>Domingo/Feriado</x:v>
      </x:c>
      <x:c r="E885" s="86" t="n">
        <x:v>2</x:v>
      </x:c>
      <x:c r="F885" s="99" t="n">
        <x:v>1</x:v>
      </x:c>
      <x:c r="G885" s="91" t="n">
        <x:v>75.84</x:v>
      </x:c>
      <x:c r="H885" s="86" t="n">
        <x:v>1</x:v>
      </x:c>
      <x:c r="I885" s="87" t="n">
        <x:v>3</x:v>
      </x:c>
    </x:row>
    <x:row r="886">
      <x:c r="A886" s="85" t="n">
        <x:v>885</x:v>
      </x:c>
      <x:c r="B886" s="86" t="n">
        <x:v>205</x:v>
      </x:c>
      <x:c r="C886" s="95" t="n">
        <x:v>45961</x:v>
      </x:c>
      <x:c r="D886" s="86" t="str">
        <x:v>Domingo/Feriado</x:v>
      </x:c>
      <x:c r="E886" s="86" t="n">
        <x:v>3</x:v>
      </x:c>
      <x:c r="F886" s="99" t="n">
        <x:v>1</x:v>
      </x:c>
      <x:c r="G886" s="91" t="n">
        <x:v>116.85</x:v>
      </x:c>
      <x:c r="H886" s="86" t="n">
        <x:v>1</x:v>
      </x:c>
      <x:c r="I886" s="87" t="n">
        <x:v>4</x:v>
      </x:c>
    </x:row>
    <x:row r="887">
      <x:c r="A887" s="85" t="n">
        <x:v>886</x:v>
      </x:c>
      <x:c r="B887" s="86" t="n">
        <x:v>369</x:v>
      </x:c>
      <x:c r="C887" s="95" t="n">
        <x:v>45614</x:v>
      </x:c>
      <x:c r="D887" s="86" t="str">
        <x:v>Dia útil</x:v>
      </x:c>
      <x:c r="E887" s="86" t="n">
        <x:v>2</x:v>
      </x:c>
      <x:c r="F887" s="99" t="n">
        <x:v>0.5</x:v>
      </x:c>
      <x:c r="G887" s="91" t="n">
        <x:v>47.87</x:v>
      </x:c>
      <x:c r="H887" s="86" t="n">
        <x:v>1</x:v>
      </x:c>
      <x:c r="I887" s="87" t="n">
        <x:v>1</x:v>
      </x:c>
    </x:row>
    <x:row r="888">
      <x:c r="A888" s="85" t="n">
        <x:v>887</x:v>
      </x:c>
      <x:c r="B888" s="86" t="n">
        <x:v>392</x:v>
      </x:c>
      <x:c r="C888" s="95" t="n">
        <x:v>45481</x:v>
      </x:c>
      <x:c r="D888" s="86" t="str">
        <x:v>Sábado</x:v>
      </x:c>
      <x:c r="E888" s="86" t="n">
        <x:v>8</x:v>
      </x:c>
      <x:c r="F888" s="99" t="n">
        <x:v>0.75</x:v>
      </x:c>
      <x:c r="G888" s="91" t="n">
        <x:v>416.2</x:v>
      </x:c>
      <x:c r="H888" s="86" t="n">
        <x:v>1</x:v>
      </x:c>
      <x:c r="I888" s="87" t="n">
        <x:v>7</x:v>
      </x:c>
    </x:row>
    <x:row r="889">
      <x:c r="A889" s="85" t="n">
        <x:v>888</x:v>
      </x:c>
      <x:c r="B889" s="86" t="n">
        <x:v>93</x:v>
      </x:c>
      <x:c r="C889" s="95" t="n">
        <x:v>45557</x:v>
      </x:c>
      <x:c r="D889" s="86" t="str">
        <x:v>Dia útil</x:v>
      </x:c>
      <x:c r="E889" s="86" t="n">
        <x:v>1</x:v>
      </x:c>
      <x:c r="F889" s="99" t="n">
        <x:v>0.5</x:v>
      </x:c>
      <x:c r="G889" s="91" t="n">
        <x:v>34.76</x:v>
      </x:c>
      <x:c r="H889" s="86" t="n">
        <x:v>1</x:v>
      </x:c>
      <x:c r="I889" s="87" t="n">
        <x:v>8</x:v>
      </x:c>
    </x:row>
    <x:row r="890">
      <x:c r="A890" s="85" t="n">
        <x:v>889</x:v>
      </x:c>
      <x:c r="B890" s="86" t="n">
        <x:v>369</x:v>
      </x:c>
      <x:c r="C890" s="95" t="n">
        <x:v>45490</x:v>
      </x:c>
      <x:c r="D890" s="86" t="str">
        <x:v>Dia útil</x:v>
      </x:c>
      <x:c r="E890" s="86" t="n">
        <x:v>3</x:v>
      </x:c>
      <x:c r="F890" s="99" t="n">
        <x:v>0.5</x:v>
      </x:c>
      <x:c r="G890" s="91" t="n">
        <x:v>71.81</x:v>
      </x:c>
      <x:c r="H890" s="86" t="n">
        <x:v>1</x:v>
      </x:c>
      <x:c r="I890" s="87" t="n">
        <x:v>1</x:v>
      </x:c>
    </x:row>
    <x:row r="891">
      <x:c r="A891" s="85" t="n">
        <x:v>890</x:v>
      </x:c>
      <x:c r="B891" s="86" t="n">
        <x:v>326</x:v>
      </x:c>
      <x:c r="C891" s="95" t="n">
        <x:v>45869</x:v>
      </x:c>
      <x:c r="D891" s="86" t="str">
        <x:v>Dia útil</x:v>
      </x:c>
      <x:c r="E891" s="86" t="n">
        <x:v>6</x:v>
      </x:c>
      <x:c r="F891" s="99" t="n">
        <x:v>0.5</x:v>
      </x:c>
      <x:c r="G891" s="91" t="n">
        <x:v>686.48</x:v>
      </x:c>
      <x:c r="H891" s="86" t="n">
        <x:v>1</x:v>
      </x:c>
      <x:c r="I891" s="87" t="n">
        <x:v>5</x:v>
      </x:c>
    </x:row>
    <x:row r="892">
      <x:c r="A892" s="85" t="n">
        <x:v>891</x:v>
      </x:c>
      <x:c r="B892" s="86" t="n">
        <x:v>255</x:v>
      </x:c>
      <x:c r="C892" s="95" t="n">
        <x:v>45692</x:v>
      </x:c>
      <x:c r="D892" s="86" t="str">
        <x:v>Dia útil</x:v>
      </x:c>
      <x:c r="E892" s="86" t="n">
        <x:v>3</x:v>
      </x:c>
      <x:c r="F892" s="99" t="n">
        <x:v>0.5</x:v>
      </x:c>
      <x:c r="G892" s="91" t="n">
        <x:v>66.68</x:v>
      </x:c>
      <x:c r="H892" s="86" t="n">
        <x:v>1</x:v>
      </x:c>
      <x:c r="I892" s="87" t="n">
        <x:v>1</x:v>
      </x:c>
    </x:row>
    <x:row r="893">
      <x:c r="A893" s="85" t="n">
        <x:v>892</x:v>
      </x:c>
      <x:c r="B893" s="86" t="n">
        <x:v>151</x:v>
      </x:c>
      <x:c r="C893" s="95" t="n">
        <x:v>45706</x:v>
      </x:c>
      <x:c r="D893" s="86" t="str">
        <x:v>Dia útil</x:v>
      </x:c>
      <x:c r="E893" s="86" t="n">
        <x:v>1</x:v>
      </x:c>
      <x:c r="F893" s="99" t="n">
        <x:v>0.5</x:v>
      </x:c>
      <x:c r="G893" s="91" t="n">
        <x:v>32.48</x:v>
      </x:c>
      <x:c r="H893" s="86" t="n">
        <x:v>1</x:v>
      </x:c>
      <x:c r="I893" s="87" t="n">
        <x:v>2</x:v>
      </x:c>
    </x:row>
    <x:row r="894">
      <x:c r="A894" s="85" t="n">
        <x:v>893</x:v>
      </x:c>
      <x:c r="B894" s="86" t="n">
        <x:v>416</x:v>
      </x:c>
      <x:c r="C894" s="95" t="n">
        <x:v>46010</x:v>
      </x:c>
      <x:c r="D894" s="86" t="str">
        <x:v>Dia útil</x:v>
      </x:c>
      <x:c r="E894" s="86" t="n">
        <x:v>2</x:v>
      </x:c>
      <x:c r="F894" s="99" t="n">
        <x:v>0.5</x:v>
      </x:c>
      <x:c r="G894" s="91" t="n">
        <x:v>54.08</x:v>
      </x:c>
      <x:c r="H894" s="86" t="n">
        <x:v>1</x:v>
      </x:c>
      <x:c r="I894" s="87" t="n">
        <x:v>3</x:v>
      </x:c>
    </x:row>
    <x:row r="895">
      <x:c r="A895" s="85" t="n">
        <x:v>894</x:v>
      </x:c>
      <x:c r="B895" s="86" t="n">
        <x:v>346</x:v>
      </x:c>
      <x:c r="C895" s="95" t="n">
        <x:v>45638</x:v>
      </x:c>
      <x:c r="D895" s="86" t="str">
        <x:v>Dia útil</x:v>
      </x:c>
      <x:c r="E895" s="86" t="n">
        <x:v>6</x:v>
      </x:c>
      <x:c r="F895" s="99" t="n">
        <x:v>0.5</x:v>
      </x:c>
      <x:c r="G895" s="91" t="n">
        <x:v>262.24</x:v>
      </x:c>
      <x:c r="H895" s="86" t="n">
        <x:v>1</x:v>
      </x:c>
      <x:c r="I895" s="87" t="n">
        <x:v>9</x:v>
      </x:c>
    </x:row>
    <x:row r="896">
      <x:c r="A896" s="85" t="n">
        <x:v>895</x:v>
      </x:c>
      <x:c r="B896" s="86" t="n">
        <x:v>63</x:v>
      </x:c>
      <x:c r="C896" s="95" t="n">
        <x:v>45704</x:v>
      </x:c>
      <x:c r="D896" s="86" t="str">
        <x:v>Dia útil</x:v>
      </x:c>
      <x:c r="E896" s="86" t="n">
        <x:v>3</x:v>
      </x:c>
      <x:c r="F896" s="99" t="n">
        <x:v>0.5</x:v>
      </x:c>
      <x:c r="G896" s="91" t="n">
        <x:v>100.12</x:v>
      </x:c>
      <x:c r="H896" s="86" t="n">
        <x:v>1</x:v>
      </x:c>
      <x:c r="I896" s="87" t="n">
        <x:v>7</x:v>
      </x:c>
    </x:row>
    <x:row r="897">
      <x:c r="A897" s="85" t="n">
        <x:v>896</x:v>
      </x:c>
      <x:c r="B897" s="86" t="n">
        <x:v>396</x:v>
      </x:c>
      <x:c r="C897" s="95" t="n">
        <x:v>45848</x:v>
      </x:c>
      <x:c r="D897" s="86" t="str">
        <x:v>Dia útil</x:v>
      </x:c>
      <x:c r="E897" s="86" t="n">
        <x:v>6</x:v>
      </x:c>
      <x:c r="F897" s="99" t="n">
        <x:v>0.5</x:v>
      </x:c>
      <x:c r="G897" s="91" t="n">
        <x:v>305.92</x:v>
      </x:c>
      <x:c r="H897" s="86" t="n">
        <x:v>1</x:v>
      </x:c>
      <x:c r="I897" s="87" t="n">
        <x:v>1</x:v>
      </x:c>
    </x:row>
    <x:row r="898">
      <x:c r="A898" s="85" t="n">
        <x:v>897</x:v>
      </x:c>
      <x:c r="B898" s="86" t="n">
        <x:v>106</x:v>
      </x:c>
      <x:c r="C898" s="95" t="n">
        <x:v>45302</x:v>
      </x:c>
      <x:c r="D898" s="86" t="str">
        <x:v>Domingo/Feriado</x:v>
      </x:c>
      <x:c r="E898" s="86" t="n">
        <x:v>1</x:v>
      </x:c>
      <x:c r="F898" s="99" t="n">
        <x:v>1</x:v>
      </x:c>
      <x:c r="G898" s="91" t="n">
        <x:v>49.65</x:v>
      </x:c>
      <x:c r="H898" s="86" t="n">
        <x:v>1</x:v>
      </x:c>
      <x:c r="I898" s="87" t="n">
        <x:v>4</x:v>
      </x:c>
    </x:row>
    <x:row r="899">
      <x:c r="A899" s="85" t="n">
        <x:v>898</x:v>
      </x:c>
      <x:c r="B899" s="86" t="n">
        <x:v>237</x:v>
      </x:c>
      <x:c r="C899" s="95" t="n">
        <x:v>45994</x:v>
      </x:c>
      <x:c r="D899" s="86" t="str">
        <x:v>Dia útil</x:v>
      </x:c>
      <x:c r="E899" s="86" t="n">
        <x:v>1</x:v>
      </x:c>
      <x:c r="F899" s="99" t="n">
        <x:v>0.5</x:v>
      </x:c>
      <x:c r="G899" s="91" t="n">
        <x:v>63.41</x:v>
      </x:c>
      <x:c r="H899" s="86" t="n">
        <x:v>1</x:v>
      </x:c>
      <x:c r="I899" s="87" t="n">
        <x:v>4</x:v>
      </x:c>
    </x:row>
    <x:row r="900">
      <x:c r="A900" s="85" t="n">
        <x:v>899</x:v>
      </x:c>
      <x:c r="B900" s="86" t="n">
        <x:v>312</x:v>
      </x:c>
      <x:c r="C900" s="95" t="n">
        <x:v>45669</x:v>
      </x:c>
      <x:c r="D900" s="86" t="str">
        <x:v>Dia útil</x:v>
      </x:c>
      <x:c r="E900" s="86" t="n">
        <x:v>6</x:v>
      </x:c>
      <x:c r="F900" s="99" t="n">
        <x:v>0.5</x:v>
      </x:c>
      <x:c r="G900" s="91" t="n">
        <x:v>139.14</x:v>
      </x:c>
      <x:c r="H900" s="86" t="n">
        <x:v>1</x:v>
      </x:c>
      <x:c r="I900" s="87" t="n">
        <x:v>10</x:v>
      </x:c>
    </x:row>
    <x:row r="901">
      <x:c r="A901" s="85" t="n">
        <x:v>900</x:v>
      </x:c>
      <x:c r="B901" s="86" t="n">
        <x:v>420</x:v>
      </x:c>
      <x:c r="C901" s="95" t="n">
        <x:v>45852</x:v>
      </x:c>
      <x:c r="D901" s="86" t="str">
        <x:v>Dia útil</x:v>
      </x:c>
      <x:c r="E901" s="86" t="n">
        <x:v>8</x:v>
      </x:c>
      <x:c r="F901" s="99" t="n">
        <x:v>0.5</x:v>
      </x:c>
      <x:c r="G901" s="91" t="n">
        <x:v>177.48</x:v>
      </x:c>
      <x:c r="H901" s="86" t="n">
        <x:v>1</x:v>
      </x:c>
      <x:c r="I901" s="87" t="n">
        <x:v>3</x:v>
      </x:c>
    </x:row>
    <x:row r="902">
      <x:c r="A902" s="85" t="n">
        <x:v>901</x:v>
      </x:c>
      <x:c r="B902" s="86" t="n">
        <x:v>321</x:v>
      </x:c>
      <x:c r="C902" s="95" t="n">
        <x:v>45592</x:v>
      </x:c>
      <x:c r="D902" s="86" t="str">
        <x:v>Dia útil</x:v>
      </x:c>
      <x:c r="E902" s="86" t="n">
        <x:v>3</x:v>
      </x:c>
      <x:c r="F902" s="99" t="n">
        <x:v>0.5</x:v>
      </x:c>
      <x:c r="G902" s="91" t="n">
        <x:v>64.45</x:v>
      </x:c>
      <x:c r="H902" s="86" t="n">
        <x:v>1</x:v>
      </x:c>
      <x:c r="I902" s="87" t="n">
        <x:v>7</x:v>
      </x:c>
    </x:row>
    <x:row r="903">
      <x:c r="A903" s="85" t="n">
        <x:v>902</x:v>
      </x:c>
      <x:c r="B903" s="86" t="n">
        <x:v>49</x:v>
      </x:c>
      <x:c r="C903" s="95" t="n">
        <x:v>45698</x:v>
      </x:c>
      <x:c r="D903" s="86" t="str">
        <x:v>Domingo/Feriado</x:v>
      </x:c>
      <x:c r="E903" s="86" t="n">
        <x:v>6</x:v>
      </x:c>
      <x:c r="F903" s="99" t="n">
        <x:v>1</x:v>
      </x:c>
      <x:c r="G903" s="91" t="n">
        <x:v>356.32</x:v>
      </x:c>
      <x:c r="H903" s="86" t="n">
        <x:v>1</x:v>
      </x:c>
      <x:c r="I903" s="87" t="n">
        <x:v>10</x:v>
      </x:c>
    </x:row>
    <x:row r="904">
      <x:c r="A904" s="85" t="n">
        <x:v>903</x:v>
      </x:c>
      <x:c r="B904" s="86" t="n">
        <x:v>360</x:v>
      </x:c>
      <x:c r="C904" s="95" t="n">
        <x:v>45377</x:v>
      </x:c>
      <x:c r="D904" s="86" t="str">
        <x:v>Dia útil</x:v>
      </x:c>
      <x:c r="E904" s="86" t="n">
        <x:v>3</x:v>
      </x:c>
      <x:c r="F904" s="99" t="n">
        <x:v>0.5</x:v>
      </x:c>
      <x:c r="G904" s="91" t="n">
        <x:v>91.99</x:v>
      </x:c>
      <x:c r="H904" s="86" t="n">
        <x:v>1</x:v>
      </x:c>
      <x:c r="I904" s="87" t="n">
        <x:v>2</x:v>
      </x:c>
    </x:row>
    <x:row r="905">
      <x:c r="A905" s="85" t="n">
        <x:v>904</x:v>
      </x:c>
      <x:c r="B905" s="86" t="n">
        <x:v>145</x:v>
      </x:c>
      <x:c r="C905" s="95" t="n">
        <x:v>46020</x:v>
      </x:c>
      <x:c r="D905" s="86" t="str">
        <x:v>Sábado</x:v>
      </x:c>
      <x:c r="E905" s="86" t="n">
        <x:v>2</x:v>
      </x:c>
      <x:c r="F905" s="99" t="n">
        <x:v>0.75</x:v>
      </x:c>
      <x:c r="G905" s="91" t="n">
        <x:v>67.44</x:v>
      </x:c>
      <x:c r="H905" s="86" t="n">
        <x:v>1</x:v>
      </x:c>
      <x:c r="I905" s="87" t="n">
        <x:v>2</x:v>
      </x:c>
    </x:row>
    <x:row r="906">
      <x:c r="A906" s="85" t="n">
        <x:v>905</x:v>
      </x:c>
      <x:c r="B906" s="86" t="n">
        <x:v>91</x:v>
      </x:c>
      <x:c r="C906" s="95" t="n">
        <x:v>45752</x:v>
      </x:c>
      <x:c r="D906" s="86" t="str">
        <x:v>Dia útil</x:v>
      </x:c>
      <x:c r="E906" s="86" t="n">
        <x:v>2</x:v>
      </x:c>
      <x:c r="F906" s="99" t="n">
        <x:v>0.5</x:v>
      </x:c>
      <x:c r="G906" s="91" t="n">
        <x:v>107.4</x:v>
      </x:c>
      <x:c r="H906" s="86" t="n">
        <x:v>0</x:v>
      </x:c>
      <x:c r="I906" s="87" t="n">
        <x:v>1</x:v>
      </x:c>
    </x:row>
    <x:row r="907">
      <x:c r="A907" s="85" t="n">
        <x:v>906</x:v>
      </x:c>
      <x:c r="B907" s="86" t="n">
        <x:v>291</x:v>
      </x:c>
      <x:c r="C907" s="95" t="n">
        <x:v>45800</x:v>
      </x:c>
      <x:c r="D907" s="86" t="str">
        <x:v>Dia útil</x:v>
      </x:c>
      <x:c r="E907" s="86" t="n">
        <x:v>8</x:v>
      </x:c>
      <x:c r="F907" s="99" t="n">
        <x:v>0.5</x:v>
      </x:c>
      <x:c r="G907" s="91" t="n">
        <x:v>271.59</x:v>
      </x:c>
      <x:c r="H907" s="86" t="n">
        <x:v>1</x:v>
      </x:c>
      <x:c r="I907" s="87" t="n">
        <x:v>8</x:v>
      </x:c>
    </x:row>
    <x:row r="908">
      <x:c r="A908" s="85" t="n">
        <x:v>907</x:v>
      </x:c>
      <x:c r="B908" s="86" t="n">
        <x:v>67</x:v>
      </x:c>
      <x:c r="C908" s="95" t="n">
        <x:v>45635</x:v>
      </x:c>
      <x:c r="D908" s="86" t="str">
        <x:v>Sábado</x:v>
      </x:c>
      <x:c r="E908" s="86" t="n">
        <x:v>4</x:v>
      </x:c>
      <x:c r="F908" s="99" t="n">
        <x:v>0.75</x:v>
      </x:c>
      <x:c r="G908" s="91" t="n">
        <x:v>134.98</x:v>
      </x:c>
      <x:c r="H908" s="86" t="n">
        <x:v>1</x:v>
      </x:c>
      <x:c r="I908" s="87" t="n">
        <x:v>3</x:v>
      </x:c>
    </x:row>
    <x:row r="909">
      <x:c r="A909" s="85" t="n">
        <x:v>908</x:v>
      </x:c>
      <x:c r="B909" s="86" t="n">
        <x:v>125</x:v>
      </x:c>
      <x:c r="C909" s="95" t="n">
        <x:v>45965</x:v>
      </x:c>
      <x:c r="D909" s="86" t="str">
        <x:v>Dia útil</x:v>
      </x:c>
      <x:c r="E909" s="86" t="n">
        <x:v>3</x:v>
      </x:c>
      <x:c r="F909" s="99" t="n">
        <x:v>0.5</x:v>
      </x:c>
      <x:c r="G909" s="91" t="n">
        <x:v>64.44</x:v>
      </x:c>
      <x:c r="H909" s="86" t="n">
        <x:v>1</x:v>
      </x:c>
      <x:c r="I909" s="87" t="n">
        <x:v>1</x:v>
      </x:c>
    </x:row>
    <x:row r="910">
      <x:c r="A910" s="85" t="n">
        <x:v>909</x:v>
      </x:c>
      <x:c r="B910" s="86" t="n">
        <x:v>56</x:v>
      </x:c>
      <x:c r="C910" s="95" t="n">
        <x:v>45951</x:v>
      </x:c>
      <x:c r="D910" s="86" t="str">
        <x:v>Dia útil</x:v>
      </x:c>
      <x:c r="E910" s="86" t="n">
        <x:v>2</x:v>
      </x:c>
      <x:c r="F910" s="99" t="n">
        <x:v>0.5</x:v>
      </x:c>
      <x:c r="G910" s="91" t="n">
        <x:v>47.22</x:v>
      </x:c>
      <x:c r="H910" s="86" t="n">
        <x:v>1</x:v>
      </x:c>
      <x:c r="I910" s="87" t="n">
        <x:v>1</x:v>
      </x:c>
    </x:row>
    <x:row r="911">
      <x:c r="A911" s="85" t="n">
        <x:v>910</x:v>
      </x:c>
      <x:c r="B911" s="86" t="n">
        <x:v>30</x:v>
      </x:c>
      <x:c r="C911" s="95" t="n">
        <x:v>45532</x:v>
      </x:c>
      <x:c r="D911" s="86" t="str">
        <x:v>Dia útil</x:v>
      </x:c>
      <x:c r="E911" s="86" t="n">
        <x:v>6</x:v>
      </x:c>
      <x:c r="F911" s="99" t="n">
        <x:v>0.5</x:v>
      </x:c>
      <x:c r="G911" s="91" t="n">
        <x:v>135.85</x:v>
      </x:c>
      <x:c r="H911" s="86" t="n">
        <x:v>1</x:v>
      </x:c>
      <x:c r="I911" s="87" t="n">
        <x:v>3</x:v>
      </x:c>
    </x:row>
    <x:row r="912">
      <x:c r="A912" s="85" t="n">
        <x:v>911</x:v>
      </x:c>
      <x:c r="B912" s="86" t="n">
        <x:v>169</x:v>
      </x:c>
      <x:c r="C912" s="95" t="n">
        <x:v>45944</x:v>
      </x:c>
      <x:c r="D912" s="86" t="str">
        <x:v>Domingo/Feriado</x:v>
      </x:c>
      <x:c r="E912" s="86" t="n">
        <x:v>4</x:v>
      </x:c>
      <x:c r="F912" s="99" t="n">
        <x:v>1</x:v>
      </x:c>
      <x:c r="G912" s="91" t="n">
        <x:v>262.34</x:v>
      </x:c>
      <x:c r="H912" s="86" t="n">
        <x:v>1</x:v>
      </x:c>
      <x:c r="I912" s="87" t="n">
        <x:v>10</x:v>
      </x:c>
    </x:row>
    <x:row r="913">
      <x:c r="A913" s="85" t="n">
        <x:v>912</x:v>
      </x:c>
      <x:c r="B913" s="86" t="n">
        <x:v>416</x:v>
      </x:c>
      <x:c r="C913" s="95" t="n">
        <x:v>45907</x:v>
      </x:c>
      <x:c r="D913" s="86" t="str">
        <x:v>Dia útil</x:v>
      </x:c>
      <x:c r="E913" s="86" t="n">
        <x:v>4</x:v>
      </x:c>
      <x:c r="F913" s="99" t="n">
        <x:v>0.5</x:v>
      </x:c>
      <x:c r="G913" s="91" t="n">
        <x:v>108.15</x:v>
      </x:c>
      <x:c r="H913" s="86" t="n">
        <x:v>1</x:v>
      </x:c>
      <x:c r="I913" s="87" t="n">
        <x:v>3</x:v>
      </x:c>
    </x:row>
    <x:row r="914">
      <x:c r="A914" s="85" t="n">
        <x:v>913</x:v>
      </x:c>
      <x:c r="B914" s="86" t="n">
        <x:v>259</x:v>
      </x:c>
      <x:c r="C914" s="95" t="n">
        <x:v>45635</x:v>
      </x:c>
      <x:c r="D914" s="86" t="str">
        <x:v>Dia útil</x:v>
      </x:c>
      <x:c r="E914" s="86" t="n">
        <x:v>1</x:v>
      </x:c>
      <x:c r="F914" s="99" t="n">
        <x:v>0.5</x:v>
      </x:c>
      <x:c r="G914" s="91" t="n">
        <x:v>35.22</x:v>
      </x:c>
      <x:c r="H914" s="86" t="n">
        <x:v>1</x:v>
      </x:c>
      <x:c r="I914" s="87" t="n">
        <x:v>4</x:v>
      </x:c>
    </x:row>
    <x:row r="915">
      <x:c r="A915" s="85" t="n">
        <x:v>914</x:v>
      </x:c>
      <x:c r="B915" s="86" t="n">
        <x:v>181</x:v>
      </x:c>
      <x:c r="C915" s="95" t="n">
        <x:v>45809</x:v>
      </x:c>
      <x:c r="D915" s="86" t="str">
        <x:v>Dia útil</x:v>
      </x:c>
      <x:c r="E915" s="86" t="n">
        <x:v>6</x:v>
      </x:c>
      <x:c r="F915" s="99" t="n">
        <x:v>0.5</x:v>
      </x:c>
      <x:c r="G915" s="91" t="n">
        <x:v>346.56</x:v>
      </x:c>
      <x:c r="H915" s="86" t="n">
        <x:v>1</x:v>
      </x:c>
      <x:c r="I915" s="87" t="n">
        <x:v>6</x:v>
      </x:c>
    </x:row>
    <x:row r="916">
      <x:c r="A916" s="85" t="n">
        <x:v>915</x:v>
      </x:c>
      <x:c r="B916" s="86" t="n">
        <x:v>189</x:v>
      </x:c>
      <x:c r="C916" s="95" t="n">
        <x:v>45910</x:v>
      </x:c>
      <x:c r="D916" s="86" t="str">
        <x:v>Sábado</x:v>
      </x:c>
      <x:c r="E916" s="86" t="n">
        <x:v>8</x:v>
      </x:c>
      <x:c r="F916" s="99" t="n">
        <x:v>0.75</x:v>
      </x:c>
      <x:c r="G916" s="91" t="n">
        <x:v>1173.7</x:v>
      </x:c>
      <x:c r="H916" s="86" t="n">
        <x:v>1</x:v>
      </x:c>
      <x:c r="I916" s="87" t="n">
        <x:v>9</x:v>
      </x:c>
    </x:row>
    <x:row r="917">
      <x:c r="A917" s="85" t="n">
        <x:v>916</x:v>
      </x:c>
      <x:c r="B917" s="86" t="n">
        <x:v>346</x:v>
      </x:c>
      <x:c r="C917" s="95" t="n">
        <x:v>45642</x:v>
      </x:c>
      <x:c r="D917" s="86" t="str">
        <x:v>Dia útil</x:v>
      </x:c>
      <x:c r="E917" s="86" t="n">
        <x:v>1</x:v>
      </x:c>
      <x:c r="F917" s="99" t="n">
        <x:v>0.5</x:v>
      </x:c>
      <x:c r="G917" s="91" t="n">
        <x:v>43.71</x:v>
      </x:c>
      <x:c r="H917" s="86" t="n">
        <x:v>0</x:v>
      </x:c>
      <x:c r="I917" s="87" t="n">
        <x:v>9</x:v>
      </x:c>
    </x:row>
    <x:row r="918">
      <x:c r="A918" s="85" t="n">
        <x:v>917</x:v>
      </x:c>
      <x:c r="B918" s="86" t="n">
        <x:v>376</x:v>
      </x:c>
      <x:c r="C918" s="95" t="n">
        <x:v>45904</x:v>
      </x:c>
      <x:c r="D918" s="86" t="str">
        <x:v>Dia útil</x:v>
      </x:c>
      <x:c r="E918" s="86" t="n">
        <x:v>2</x:v>
      </x:c>
      <x:c r="F918" s="99" t="n">
        <x:v>0.5</x:v>
      </x:c>
      <x:c r="G918" s="91" t="n">
        <x:v>127.65</x:v>
      </x:c>
      <x:c r="H918" s="86" t="n">
        <x:v>1</x:v>
      </x:c>
      <x:c r="I918" s="87" t="n">
        <x:v>4</x:v>
      </x:c>
    </x:row>
    <x:row r="919">
      <x:c r="A919" s="85" t="n">
        <x:v>918</x:v>
      </x:c>
      <x:c r="B919" s="86" t="n">
        <x:v>194</x:v>
      </x:c>
      <x:c r="C919" s="95" t="n">
        <x:v>45717</x:v>
      </x:c>
      <x:c r="D919" s="86" t="str">
        <x:v>Dia útil</x:v>
      </x:c>
      <x:c r="E919" s="86" t="n">
        <x:v>8</x:v>
      </x:c>
      <x:c r="F919" s="99" t="n">
        <x:v>0.5</x:v>
      </x:c>
      <x:c r="G919" s="91" t="n">
        <x:v>173.76</x:v>
      </x:c>
      <x:c r="H919" s="86" t="n">
        <x:v>1</x:v>
      </x:c>
      <x:c r="I919" s="87" t="n">
        <x:v>1</x:v>
      </x:c>
    </x:row>
    <x:row r="920">
      <x:c r="A920" s="85" t="n">
        <x:v>919</x:v>
      </x:c>
      <x:c r="B920" s="86" t="n">
        <x:v>20</x:v>
      </x:c>
      <x:c r="C920" s="95" t="n">
        <x:v>45540</x:v>
      </x:c>
      <x:c r="D920" s="86" t="str">
        <x:v>Dia útil</x:v>
      </x:c>
      <x:c r="E920" s="86" t="n">
        <x:v>3</x:v>
      </x:c>
      <x:c r="F920" s="99" t="n">
        <x:v>0.5</x:v>
      </x:c>
      <x:c r="G920" s="91" t="n">
        <x:v>172.29</x:v>
      </x:c>
      <x:c r="H920" s="86" t="n">
        <x:v>0</x:v>
      </x:c>
      <x:c r="I920" s="87" t="n">
        <x:v>4</x:v>
      </x:c>
    </x:row>
    <x:row r="921">
      <x:c r="A921" s="85" t="n">
        <x:v>920</x:v>
      </x:c>
      <x:c r="B921" s="86" t="n">
        <x:v>189</x:v>
      </x:c>
      <x:c r="C921" s="95" t="n">
        <x:v>45883</x:v>
      </x:c>
      <x:c r="D921" s="86" t="str">
        <x:v>Dia útil</x:v>
      </x:c>
      <x:c r="E921" s="86" t="n">
        <x:v>1</x:v>
      </x:c>
      <x:c r="F921" s="99" t="n">
        <x:v>0.5</x:v>
      </x:c>
      <x:c r="G921" s="91" t="n">
        <x:v>125.75</x:v>
      </x:c>
      <x:c r="H921" s="86" t="n">
        <x:v>1</x:v>
      </x:c>
      <x:c r="I921" s="87" t="n">
        <x:v>9</x:v>
      </x:c>
    </x:row>
    <x:row r="922">
      <x:c r="A922" s="85" t="n">
        <x:v>921</x:v>
      </x:c>
      <x:c r="B922" s="86" t="n">
        <x:v>137</x:v>
      </x:c>
      <x:c r="C922" s="95" t="n">
        <x:v>45912</x:v>
      </x:c>
      <x:c r="D922" s="86" t="str">
        <x:v>Dia útil</x:v>
      </x:c>
      <x:c r="E922" s="86" t="n">
        <x:v>6</x:v>
      </x:c>
      <x:c r="F922" s="99" t="n">
        <x:v>0.5</x:v>
      </x:c>
      <x:c r="G922" s="91" t="n">
        <x:v>314.45</x:v>
      </x:c>
      <x:c r="H922" s="86" t="n">
        <x:v>1</x:v>
      </x:c>
      <x:c r="I922" s="87" t="n">
        <x:v>10</x:v>
      </x:c>
    </x:row>
    <x:row r="923">
      <x:c r="A923" s="85" t="n">
        <x:v>922</x:v>
      </x:c>
      <x:c r="B923" s="86" t="n">
        <x:v>1</x:v>
      </x:c>
      <x:c r="C923" s="95" t="n">
        <x:v>45870</x:v>
      </x:c>
      <x:c r="D923" s="86" t="str">
        <x:v>Sábado</x:v>
      </x:c>
      <x:c r="E923" s="86" t="n">
        <x:v>2</x:v>
      </x:c>
      <x:c r="F923" s="99" t="n">
        <x:v>0.75</x:v>
      </x:c>
      <x:c r="G923" s="91" t="n">
        <x:v>76.72</x:v>
      </x:c>
      <x:c r="H923" s="86" t="n">
        <x:v>1</x:v>
      </x:c>
      <x:c r="I923" s="87" t="n">
        <x:v>2</x:v>
      </x:c>
    </x:row>
    <x:row r="924">
      <x:c r="A924" s="85" t="n">
        <x:v>923</x:v>
      </x:c>
      <x:c r="B924" s="86" t="n">
        <x:v>387</x:v>
      </x:c>
      <x:c r="C924" s="95" t="n">
        <x:v>45863</x:v>
      </x:c>
      <x:c r="D924" s="86" t="str">
        <x:v>Dia útil</x:v>
      </x:c>
      <x:c r="E924" s="86" t="n">
        <x:v>2</x:v>
      </x:c>
      <x:c r="F924" s="99" t="n">
        <x:v>0.5</x:v>
      </x:c>
      <x:c r="G924" s="91" t="n">
        <x:v>95</x:v>
      </x:c>
      <x:c r="H924" s="86" t="n">
        <x:v>1</x:v>
      </x:c>
      <x:c r="I924" s="87" t="n">
        <x:v>5</x:v>
      </x:c>
    </x:row>
    <x:row r="925">
      <x:c r="A925" s="85" t="n">
        <x:v>924</x:v>
      </x:c>
      <x:c r="B925" s="86" t="n">
        <x:v>35</x:v>
      </x:c>
      <x:c r="C925" s="95" t="n">
        <x:v>45367</x:v>
      </x:c>
      <x:c r="D925" s="86" t="str">
        <x:v>Dia útil</x:v>
      </x:c>
      <x:c r="E925" s="86" t="n">
        <x:v>4</x:v>
      </x:c>
      <x:c r="F925" s="99" t="n">
        <x:v>0.5</x:v>
      </x:c>
      <x:c r="G925" s="91" t="n">
        <x:v>200.68</x:v>
      </x:c>
      <x:c r="H925" s="86" t="n">
        <x:v>1</x:v>
      </x:c>
      <x:c r="I925" s="87" t="n">
        <x:v>6</x:v>
      </x:c>
    </x:row>
    <x:row r="926">
      <x:c r="A926" s="85" t="n">
        <x:v>925</x:v>
      </x:c>
      <x:c r="B926" s="86" t="n">
        <x:v>374</x:v>
      </x:c>
      <x:c r="C926" s="95" t="n">
        <x:v>45389</x:v>
      </x:c>
      <x:c r="D926" s="86" t="str">
        <x:v>Dia útil</x:v>
      </x:c>
      <x:c r="E926" s="86" t="n">
        <x:v>2</x:v>
      </x:c>
      <x:c r="F926" s="99" t="n">
        <x:v>0.5</x:v>
      </x:c>
      <x:c r="G926" s="91" t="n">
        <x:v>35.29</x:v>
      </x:c>
      <x:c r="H926" s="86" t="n">
        <x:v>1</x:v>
      </x:c>
      <x:c r="I926" s="87" t="n">
        <x:v>1</x:v>
      </x:c>
    </x:row>
    <x:row r="927">
      <x:c r="A927" s="85" t="n">
        <x:v>926</x:v>
      </x:c>
      <x:c r="B927" s="86" t="n">
        <x:v>83</x:v>
      </x:c>
      <x:c r="C927" s="95" t="n">
        <x:v>45883</x:v>
      </x:c>
      <x:c r="D927" s="86" t="str">
        <x:v>Sábado</x:v>
      </x:c>
      <x:c r="E927" s="86" t="n">
        <x:v>8</x:v>
      </x:c>
      <x:c r="F927" s="99" t="n">
        <x:v>0.75</x:v>
      </x:c>
      <x:c r="G927" s="91" t="n">
        <x:v>145.74</x:v>
      </x:c>
      <x:c r="H927" s="86" t="n">
        <x:v>1</x:v>
      </x:c>
      <x:c r="I927" s="87" t="n">
        <x:v>1</x:v>
      </x:c>
    </x:row>
    <x:row r="928">
      <x:c r="A928" s="85" t="n">
        <x:v>927</x:v>
      </x:c>
      <x:c r="B928" s="86" t="n">
        <x:v>103</x:v>
      </x:c>
      <x:c r="C928" s="95" t="n">
        <x:v>45970</x:v>
      </x:c>
      <x:c r="D928" s="86" t="str">
        <x:v>Dia útil</x:v>
      </x:c>
      <x:c r="E928" s="86" t="n">
        <x:v>2</x:v>
      </x:c>
      <x:c r="F928" s="99" t="n">
        <x:v>0.5</x:v>
      </x:c>
      <x:c r="G928" s="91" t="n">
        <x:v>104.01</x:v>
      </x:c>
      <x:c r="H928" s="86" t="n">
        <x:v>1</x:v>
      </x:c>
      <x:c r="I928" s="87" t="n">
        <x:v>5</x:v>
      </x:c>
    </x:row>
    <x:row r="929">
      <x:c r="A929" s="85" t="n">
        <x:v>928</x:v>
      </x:c>
      <x:c r="B929" s="86" t="n">
        <x:v>245</x:v>
      </x:c>
      <x:c r="C929" s="95" t="n">
        <x:v>45725</x:v>
      </x:c>
      <x:c r="D929" s="86" t="str">
        <x:v>Dia útil</x:v>
      </x:c>
      <x:c r="E929" s="86" t="n">
        <x:v>8</x:v>
      </x:c>
      <x:c r="F929" s="99" t="n">
        <x:v>0.5</x:v>
      </x:c>
      <x:c r="G929" s="91" t="n">
        <x:v>219.56</x:v>
      </x:c>
      <x:c r="H929" s="86" t="n">
        <x:v>1</x:v>
      </x:c>
      <x:c r="I929" s="87" t="n">
        <x:v>3</x:v>
      </x:c>
    </x:row>
    <x:row r="930">
      <x:c r="A930" s="85" t="n">
        <x:v>929</x:v>
      </x:c>
      <x:c r="B930" s="86" t="n">
        <x:v>123</x:v>
      </x:c>
      <x:c r="C930" s="95" t="n">
        <x:v>45465</x:v>
      </x:c>
      <x:c r="D930" s="86" t="str">
        <x:v>Domingo/Feriado</x:v>
      </x:c>
      <x:c r="E930" s="86" t="n">
        <x:v>2</x:v>
      </x:c>
      <x:c r="F930" s="99" t="n">
        <x:v>1</x:v>
      </x:c>
      <x:c r="G930" s="91" t="n">
        <x:v>53.87</x:v>
      </x:c>
      <x:c r="H930" s="86" t="n">
        <x:v>1</x:v>
      </x:c>
      <x:c r="I930" s="87" t="n">
        <x:v>1</x:v>
      </x:c>
    </x:row>
    <x:row r="931">
      <x:c r="A931" s="85" t="n">
        <x:v>930</x:v>
      </x:c>
      <x:c r="B931" s="86" t="n">
        <x:v>249</x:v>
      </x:c>
      <x:c r="C931" s="95" t="n">
        <x:v>45631</x:v>
      </x:c>
      <x:c r="D931" s="86" t="str">
        <x:v>Sábado</x:v>
      </x:c>
      <x:c r="E931" s="86" t="n">
        <x:v>1</x:v>
      </x:c>
      <x:c r="F931" s="99" t="n">
        <x:v>0.75</x:v>
      </x:c>
      <x:c r="G931" s="91" t="n">
        <x:v>59.13</x:v>
      </x:c>
      <x:c r="H931" s="86" t="n">
        <x:v>1</x:v>
      </x:c>
      <x:c r="I931" s="87" t="n">
        <x:v>5</x:v>
      </x:c>
    </x:row>
    <x:row r="932">
      <x:c r="A932" s="85" t="n">
        <x:v>931</x:v>
      </x:c>
      <x:c r="B932" s="86" t="n">
        <x:v>76</x:v>
      </x:c>
      <x:c r="C932" s="95" t="n">
        <x:v>45341</x:v>
      </x:c>
      <x:c r="D932" s="86" t="str">
        <x:v>Dia útil</x:v>
      </x:c>
      <x:c r="E932" s="86" t="n">
        <x:v>1</x:v>
      </x:c>
      <x:c r="F932" s="99" t="n">
        <x:v>0.5</x:v>
      </x:c>
      <x:c r="G932" s="91" t="n">
        <x:v>44.32</x:v>
      </x:c>
      <x:c r="H932" s="86" t="n">
        <x:v>1</x:v>
      </x:c>
      <x:c r="I932" s="87" t="n">
        <x:v>7</x:v>
      </x:c>
    </x:row>
    <x:row r="933">
      <x:c r="A933" s="85" t="n">
        <x:v>932</x:v>
      </x:c>
      <x:c r="B933" s="86" t="n">
        <x:v>277</x:v>
      </x:c>
      <x:c r="C933" s="95" t="n">
        <x:v>45486</x:v>
      </x:c>
      <x:c r="D933" s="86" t="str">
        <x:v>Sábado</x:v>
      </x:c>
      <x:c r="E933" s="86" t="n">
        <x:v>6</x:v>
      </x:c>
      <x:c r="F933" s="99" t="n">
        <x:v>0.75</x:v>
      </x:c>
      <x:c r="G933" s="91" t="n">
        <x:v>257.47</x:v>
      </x:c>
      <x:c r="H933" s="86" t="n">
        <x:v>1</x:v>
      </x:c>
      <x:c r="I933" s="87" t="n">
        <x:v>8</x:v>
      </x:c>
    </x:row>
    <x:row r="934">
      <x:c r="A934" s="85" t="n">
        <x:v>933</x:v>
      </x:c>
      <x:c r="B934" s="86" t="n">
        <x:v>335</x:v>
      </x:c>
      <x:c r="C934" s="95" t="n">
        <x:v>45890</x:v>
      </x:c>
      <x:c r="D934" s="86" t="str">
        <x:v>Dia útil</x:v>
      </x:c>
      <x:c r="E934" s="86" t="n">
        <x:v>4</x:v>
      </x:c>
      <x:c r="F934" s="99" t="n">
        <x:v>0.5</x:v>
      </x:c>
      <x:c r="G934" s="91" t="n">
        <x:v>187.86</x:v>
      </x:c>
      <x:c r="H934" s="86" t="n">
        <x:v>1</x:v>
      </x:c>
      <x:c r="I934" s="87" t="n">
        <x:v>7</x:v>
      </x:c>
    </x:row>
    <x:row r="935">
      <x:c r="A935" s="85" t="n">
        <x:v>934</x:v>
      </x:c>
      <x:c r="B935" s="86" t="n">
        <x:v>100</x:v>
      </x:c>
      <x:c r="C935" s="95" t="n">
        <x:v>45746</x:v>
      </x:c>
      <x:c r="D935" s="86" t="str">
        <x:v>Dia útil</x:v>
      </x:c>
      <x:c r="E935" s="86" t="n">
        <x:v>8</x:v>
      </x:c>
      <x:c r="F935" s="99" t="n">
        <x:v>0.5</x:v>
      </x:c>
      <x:c r="G935" s="91" t="n">
        <x:v>156.17</x:v>
      </x:c>
      <x:c r="H935" s="86" t="n">
        <x:v>1</x:v>
      </x:c>
      <x:c r="I935" s="87" t="n">
        <x:v>1</x:v>
      </x:c>
    </x:row>
    <x:row r="936">
      <x:c r="A936" s="85" t="n">
        <x:v>935</x:v>
      </x:c>
      <x:c r="B936" s="86" t="n">
        <x:v>241</x:v>
      </x:c>
      <x:c r="C936" s="95" t="n">
        <x:v>45995</x:v>
      </x:c>
      <x:c r="D936" s="86" t="str">
        <x:v>Domingo/Feriado</x:v>
      </x:c>
      <x:c r="E936" s="86" t="n">
        <x:v>2</x:v>
      </x:c>
      <x:c r="F936" s="99" t="n">
        <x:v>1</x:v>
      </x:c>
      <x:c r="G936" s="91" t="n">
        <x:v>44.81</x:v>
      </x:c>
      <x:c r="H936" s="86" t="n">
        <x:v>1</x:v>
      </x:c>
      <x:c r="I936" s="87" t="n">
        <x:v>1</x:v>
      </x:c>
    </x:row>
    <x:row r="937">
      <x:c r="A937" s="85" t="n">
        <x:v>936</x:v>
      </x:c>
      <x:c r="B937" s="86" t="n">
        <x:v>169</x:v>
      </x:c>
      <x:c r="C937" s="95" t="n">
        <x:v>45910</x:v>
      </x:c>
      <x:c r="D937" s="86" t="str">
        <x:v>Dia útil</x:v>
      </x:c>
      <x:c r="E937" s="86" t="n">
        <x:v>3</x:v>
      </x:c>
      <x:c r="F937" s="99" t="n">
        <x:v>0.5</x:v>
      </x:c>
      <x:c r="G937" s="91" t="n">
        <x:v>147.56</x:v>
      </x:c>
      <x:c r="H937" s="86" t="n">
        <x:v>1</x:v>
      </x:c>
      <x:c r="I937" s="87" t="n">
        <x:v>10</x:v>
      </x:c>
    </x:row>
    <x:row r="938">
      <x:c r="A938" s="85" t="n">
        <x:v>937</x:v>
      </x:c>
      <x:c r="B938" s="86" t="n">
        <x:v>344</x:v>
      </x:c>
      <x:c r="C938" s="95" t="n">
        <x:v>45711</x:v>
      </x:c>
      <x:c r="D938" s="86" t="str">
        <x:v>Domingo/Feriado</x:v>
      </x:c>
      <x:c r="E938" s="86" t="n">
        <x:v>4</x:v>
      </x:c>
      <x:c r="F938" s="99" t="n">
        <x:v>1</x:v>
      </x:c>
      <x:c r="G938" s="91" t="n">
        <x:v>92.78</x:v>
      </x:c>
      <x:c r="H938" s="86" t="n">
        <x:v>1</x:v>
      </x:c>
      <x:c r="I938" s="87" t="n">
        <x:v>1</x:v>
      </x:c>
    </x:row>
    <x:row r="939">
      <x:c r="A939" s="85" t="n">
        <x:v>938</x:v>
      </x:c>
      <x:c r="B939" s="86" t="n">
        <x:v>43</x:v>
      </x:c>
      <x:c r="C939" s="95" t="n">
        <x:v>45640</x:v>
      </x:c>
      <x:c r="D939" s="86" t="str">
        <x:v>Dia útil</x:v>
      </x:c>
      <x:c r="E939" s="86" t="n">
        <x:v>6</x:v>
      </x:c>
      <x:c r="F939" s="99" t="n">
        <x:v>0.5</x:v>
      </x:c>
      <x:c r="G939" s="91" t="n">
        <x:v>188.74</x:v>
      </x:c>
      <x:c r="H939" s="86" t="n">
        <x:v>1</x:v>
      </x:c>
      <x:c r="I939" s="87" t="n">
        <x:v>2</x:v>
      </x:c>
    </x:row>
    <x:row r="940">
      <x:c r="A940" s="85" t="n">
        <x:v>939</x:v>
      </x:c>
      <x:c r="B940" s="86" t="n">
        <x:v>354</x:v>
      </x:c>
      <x:c r="C940" s="95" t="n">
        <x:v>45640</x:v>
      </x:c>
      <x:c r="D940" s="86" t="str">
        <x:v>Dia útil</x:v>
      </x:c>
      <x:c r="E940" s="86" t="n">
        <x:v>2</x:v>
      </x:c>
      <x:c r="F940" s="99" t="n">
        <x:v>0.5</x:v>
      </x:c>
      <x:c r="G940" s="91" t="n">
        <x:v>204.68</x:v>
      </x:c>
      <x:c r="H940" s="86" t="n">
        <x:v>1</x:v>
      </x:c>
      <x:c r="I940" s="87" t="n">
        <x:v>9</x:v>
      </x:c>
    </x:row>
    <x:row r="941">
      <x:c r="A941" s="85" t="n">
        <x:v>940</x:v>
      </x:c>
      <x:c r="B941" s="86" t="n">
        <x:v>273</x:v>
      </x:c>
      <x:c r="C941" s="95" t="n">
        <x:v>45720</x:v>
      </x:c>
      <x:c r="D941" s="86" t="str">
        <x:v>Dia útil</x:v>
      </x:c>
      <x:c r="E941" s="86" t="n">
        <x:v>8</x:v>
      </x:c>
      <x:c r="F941" s="99" t="n">
        <x:v>0.5</x:v>
      </x:c>
      <x:c r="G941" s="91" t="n">
        <x:v>354.28</x:v>
      </x:c>
      <x:c r="H941" s="86" t="n">
        <x:v>1</x:v>
      </x:c>
      <x:c r="I941" s="87" t="n">
        <x:v>4</x:v>
      </x:c>
    </x:row>
    <x:row r="942">
      <x:c r="A942" s="85" t="n">
        <x:v>941</x:v>
      </x:c>
      <x:c r="B942" s="86" t="n">
        <x:v>133</x:v>
      </x:c>
      <x:c r="C942" s="95" t="n">
        <x:v>45827</x:v>
      </x:c>
      <x:c r="D942" s="86" t="str">
        <x:v>Dia útil</x:v>
      </x:c>
      <x:c r="E942" s="86" t="n">
        <x:v>4</x:v>
      </x:c>
      <x:c r="F942" s="99" t="n">
        <x:v>0.5</x:v>
      </x:c>
      <x:c r="G942" s="91" t="n">
        <x:v>224.97</x:v>
      </x:c>
      <x:c r="H942" s="86" t="n">
        <x:v>1</x:v>
      </x:c>
      <x:c r="I942" s="87" t="n">
        <x:v>6</x:v>
      </x:c>
    </x:row>
    <x:row r="943">
      <x:c r="A943" s="85" t="n">
        <x:v>942</x:v>
      </x:c>
      <x:c r="B943" s="86" t="n">
        <x:v>312</x:v>
      </x:c>
      <x:c r="C943" s="95" t="n">
        <x:v>45842</x:v>
      </x:c>
      <x:c r="D943" s="86" t="str">
        <x:v>Dia útil</x:v>
      </x:c>
      <x:c r="E943" s="86" t="n">
        <x:v>1</x:v>
      </x:c>
      <x:c r="F943" s="99" t="n">
        <x:v>0.5</x:v>
      </x:c>
      <x:c r="G943" s="91" t="n">
        <x:v>23.19</x:v>
      </x:c>
      <x:c r="H943" s="86" t="n">
        <x:v>1</x:v>
      </x:c>
      <x:c r="I943" s="87" t="n">
        <x:v>10</x:v>
      </x:c>
    </x:row>
    <x:row r="944">
      <x:c r="A944" s="85" t="n">
        <x:v>943</x:v>
      </x:c>
      <x:c r="B944" s="86" t="n">
        <x:v>59</x:v>
      </x:c>
      <x:c r="C944" s="95" t="n">
        <x:v>45750</x:v>
      </x:c>
      <x:c r="D944" s="86" t="str">
        <x:v>Sábado</x:v>
      </x:c>
      <x:c r="E944" s="86" t="n">
        <x:v>6</x:v>
      </x:c>
      <x:c r="F944" s="99" t="n">
        <x:v>0.75</x:v>
      </x:c>
      <x:c r="G944" s="91" t="n">
        <x:v>279.47</x:v>
      </x:c>
      <x:c r="H944" s="86" t="n">
        <x:v>1</x:v>
      </x:c>
      <x:c r="I944" s="87" t="n">
        <x:v>9</x:v>
      </x:c>
    </x:row>
    <x:row r="945">
      <x:c r="A945" s="85" t="n">
        <x:v>944</x:v>
      </x:c>
      <x:c r="B945" s="86" t="n">
        <x:v>395</x:v>
      </x:c>
      <x:c r="C945" s="95" t="n">
        <x:v>45988</x:v>
      </x:c>
      <x:c r="D945" s="86" t="str">
        <x:v>Dia útil</x:v>
      </x:c>
      <x:c r="E945" s="86" t="n">
        <x:v>1</x:v>
      </x:c>
      <x:c r="F945" s="99" t="n">
        <x:v>0.5</x:v>
      </x:c>
      <x:c r="G945" s="91" t="n">
        <x:v>40.54</x:v>
      </x:c>
      <x:c r="H945" s="86" t="n">
        <x:v>1</x:v>
      </x:c>
      <x:c r="I945" s="87" t="n">
        <x:v>4</x:v>
      </x:c>
    </x:row>
    <x:row r="946">
      <x:c r="A946" s="85" t="n">
        <x:v>945</x:v>
      </x:c>
      <x:c r="B946" s="86" t="n">
        <x:v>416</x:v>
      </x:c>
      <x:c r="C946" s="95" t="n">
        <x:v>45946</x:v>
      </x:c>
      <x:c r="D946" s="86" t="str">
        <x:v>Dia útil</x:v>
      </x:c>
      <x:c r="E946" s="86" t="n">
        <x:v>6</x:v>
      </x:c>
      <x:c r="F946" s="99" t="n">
        <x:v>0.5</x:v>
      </x:c>
      <x:c r="G946" s="91" t="n">
        <x:v>162.23</x:v>
      </x:c>
      <x:c r="H946" s="86" t="n">
        <x:v>1</x:v>
      </x:c>
      <x:c r="I946" s="87" t="n">
        <x:v>3</x:v>
      </x:c>
    </x:row>
    <x:row r="947">
      <x:c r="A947" s="85" t="n">
        <x:v>946</x:v>
      </x:c>
      <x:c r="B947" s="86" t="n">
        <x:v>384</x:v>
      </x:c>
      <x:c r="C947" s="95" t="n">
        <x:v>45869</x:v>
      </x:c>
      <x:c r="D947" s="86" t="str">
        <x:v>Sábado</x:v>
      </x:c>
      <x:c r="E947" s="86" t="n">
        <x:v>1</x:v>
      </x:c>
      <x:c r="F947" s="99" t="n">
        <x:v>0.75</x:v>
      </x:c>
      <x:c r="G947" s="91" t="n">
        <x:v>70.91</x:v>
      </x:c>
      <x:c r="H947" s="86" t="n">
        <x:v>1</x:v>
      </x:c>
      <x:c r="I947" s="87" t="n">
        <x:v>5</x:v>
      </x:c>
    </x:row>
    <x:row r="948">
      <x:c r="A948" s="85" t="n">
        <x:v>947</x:v>
      </x:c>
      <x:c r="B948" s="86" t="n">
        <x:v>334</x:v>
      </x:c>
      <x:c r="C948" s="95" t="n">
        <x:v>45503</x:v>
      </x:c>
      <x:c r="D948" s="86" t="str">
        <x:v>Dia útil</x:v>
      </x:c>
      <x:c r="E948" s="86" t="n">
        <x:v>4</x:v>
      </x:c>
      <x:c r="F948" s="99" t="n">
        <x:v>0.5</x:v>
      </x:c>
      <x:c r="G948" s="91" t="n">
        <x:v>200.42</x:v>
      </x:c>
      <x:c r="H948" s="86" t="n">
        <x:v>1</x:v>
      </x:c>
      <x:c r="I948" s="87" t="n">
        <x:v>5</x:v>
      </x:c>
    </x:row>
    <x:row r="949">
      <x:c r="A949" s="85" t="n">
        <x:v>948</x:v>
      </x:c>
      <x:c r="B949" s="86" t="n">
        <x:v>183</x:v>
      </x:c>
      <x:c r="C949" s="95" t="n">
        <x:v>45627</x:v>
      </x:c>
      <x:c r="D949" s="86" t="str">
        <x:v>Dia útil</x:v>
      </x:c>
      <x:c r="E949" s="86" t="n">
        <x:v>8</x:v>
      </x:c>
      <x:c r="F949" s="99" t="n">
        <x:v>0.5</x:v>
      </x:c>
      <x:c r="G949" s="91" t="n">
        <x:v>152.05</x:v>
      </x:c>
      <x:c r="H949" s="86" t="n">
        <x:v>1</x:v>
      </x:c>
      <x:c r="I949" s="87" t="n">
        <x:v>1</x:v>
      </x:c>
    </x:row>
    <x:row r="950">
      <x:c r="A950" s="85" t="n">
        <x:v>949</x:v>
      </x:c>
      <x:c r="B950" s="86" t="n">
        <x:v>295</x:v>
      </x:c>
      <x:c r="C950" s="95" t="n">
        <x:v>45319</x:v>
      </x:c>
      <x:c r="D950" s="86" t="str">
        <x:v>Dia útil</x:v>
      </x:c>
      <x:c r="E950" s="86" t="n">
        <x:v>6</x:v>
      </x:c>
      <x:c r="F950" s="99" t="n">
        <x:v>0.5</x:v>
      </x:c>
      <x:c r="G950" s="91" t="n">
        <x:v>300.15</x:v>
      </x:c>
      <x:c r="H950" s="86" t="n">
        <x:v>1</x:v>
      </x:c>
      <x:c r="I950" s="87" t="n">
        <x:v>9</x:v>
      </x:c>
    </x:row>
    <x:row r="951">
      <x:c r="A951" s="85" t="n">
        <x:v>950</x:v>
      </x:c>
      <x:c r="B951" s="86" t="n">
        <x:v>177</x:v>
      </x:c>
      <x:c r="C951" s="95" t="n">
        <x:v>45665</x:v>
      </x:c>
      <x:c r="D951" s="86" t="str">
        <x:v>Dia útil</x:v>
      </x:c>
      <x:c r="E951" s="86" t="n">
        <x:v>3</x:v>
      </x:c>
      <x:c r="F951" s="99" t="n">
        <x:v>0.5</x:v>
      </x:c>
      <x:c r="G951" s="91" t="n">
        <x:v>181.77</x:v>
      </x:c>
      <x:c r="H951" s="86" t="n">
        <x:v>1</x:v>
      </x:c>
      <x:c r="I951" s="87" t="n">
        <x:v>3</x:v>
      </x:c>
    </x:row>
    <x:row r="952">
      <x:c r="A952" s="85" t="n">
        <x:v>951</x:v>
      </x:c>
      <x:c r="B952" s="86" t="n">
        <x:v>386</x:v>
      </x:c>
      <x:c r="C952" s="95" t="n">
        <x:v>45776</x:v>
      </x:c>
      <x:c r="D952" s="86" t="str">
        <x:v>Domingo/Feriado</x:v>
      </x:c>
      <x:c r="E952" s="86" t="n">
        <x:v>1</x:v>
      </x:c>
      <x:c r="F952" s="99" t="n">
        <x:v>1</x:v>
      </x:c>
      <x:c r="G952" s="91" t="n">
        <x:v>21.69</x:v>
      </x:c>
      <x:c r="H952" s="86" t="n">
        <x:v>1</x:v>
      </x:c>
      <x:c r="I952" s="87" t="n">
        <x:v>1</x:v>
      </x:c>
    </x:row>
    <x:row r="953">
      <x:c r="A953" s="85" t="n">
        <x:v>952</x:v>
      </x:c>
      <x:c r="B953" s="86" t="n">
        <x:v>308</x:v>
      </x:c>
      <x:c r="C953" s="95" t="n">
        <x:v>45866</x:v>
      </x:c>
      <x:c r="D953" s="86" t="str">
        <x:v>Dia útil</x:v>
      </x:c>
      <x:c r="E953" s="86" t="n">
        <x:v>4</x:v>
      </x:c>
      <x:c r="F953" s="99" t="n">
        <x:v>0.5</x:v>
      </x:c>
      <x:c r="G953" s="91" t="n">
        <x:v>83.02</x:v>
      </x:c>
      <x:c r="H953" s="86" t="n">
        <x:v>1</x:v>
      </x:c>
      <x:c r="I953" s="87" t="n">
        <x:v>3</x:v>
      </x:c>
    </x:row>
    <x:row r="954">
      <x:c r="A954" s="85" t="n">
        <x:v>953</x:v>
      </x:c>
      <x:c r="B954" s="86" t="n">
        <x:v>32</x:v>
      </x:c>
      <x:c r="C954" s="95" t="n">
        <x:v>46017</x:v>
      </x:c>
      <x:c r="D954" s="86" t="str">
        <x:v>Dia útil</x:v>
      </x:c>
      <x:c r="E954" s="86" t="n">
        <x:v>8</x:v>
      </x:c>
      <x:c r="F954" s="99" t="n">
        <x:v>0.5</x:v>
      </x:c>
      <x:c r="G954" s="91" t="n">
        <x:v>360.68</x:v>
      </x:c>
      <x:c r="H954" s="86" t="n">
        <x:v>1</x:v>
      </x:c>
      <x:c r="I954" s="87" t="n">
        <x:v>6</x:v>
      </x:c>
    </x:row>
    <x:row r="955">
      <x:c r="A955" s="85" t="n">
        <x:v>954</x:v>
      </x:c>
      <x:c r="B955" s="86" t="n">
        <x:v>254</x:v>
      </x:c>
      <x:c r="C955" s="95" t="n">
        <x:v>45714</x:v>
      </x:c>
      <x:c r="D955" s="86" t="str">
        <x:v>Dia útil</x:v>
      </x:c>
      <x:c r="E955" s="86" t="n">
        <x:v>2</x:v>
      </x:c>
      <x:c r="F955" s="99" t="n">
        <x:v>0.5</x:v>
      </x:c>
      <x:c r="G955" s="91" t="n">
        <x:v>38.21</x:v>
      </x:c>
      <x:c r="H955" s="86" t="n">
        <x:v>1</x:v>
      </x:c>
      <x:c r="I955" s="87" t="n">
        <x:v>1</x:v>
      </x:c>
    </x:row>
    <x:row r="956">
      <x:c r="A956" s="85" t="n">
        <x:v>955</x:v>
      </x:c>
      <x:c r="B956" s="86" t="n">
        <x:v>98</x:v>
      </x:c>
      <x:c r="C956" s="95" t="n">
        <x:v>45664</x:v>
      </x:c>
      <x:c r="D956" s="86" t="str">
        <x:v>Sábado</x:v>
      </x:c>
      <x:c r="E956" s="86" t="n">
        <x:v>4</x:v>
      </x:c>
      <x:c r="F956" s="99" t="n">
        <x:v>0.75</x:v>
      </x:c>
      <x:c r="G956" s="91" t="n">
        <x:v>269.46</x:v>
      </x:c>
      <x:c r="H956" s="86" t="n">
        <x:v>1</x:v>
      </x:c>
      <x:c r="I956" s="87" t="n">
        <x:v>1</x:v>
      </x:c>
    </x:row>
    <x:row r="957">
      <x:c r="A957" s="85" t="n">
        <x:v>956</x:v>
      </x:c>
      <x:c r="B957" s="86" t="n">
        <x:v>26</x:v>
      </x:c>
      <x:c r="C957" s="95" t="n">
        <x:v>45452</x:v>
      </x:c>
      <x:c r="D957" s="86" t="str">
        <x:v>Dia útil</x:v>
      </x:c>
      <x:c r="E957" s="86" t="n">
        <x:v>6</x:v>
      </x:c>
      <x:c r="F957" s="99" t="n">
        <x:v>0.5</x:v>
      </x:c>
      <x:c r="G957" s="91" t="n">
        <x:v>347.25</x:v>
      </x:c>
      <x:c r="H957" s="86" t="n">
        <x:v>1</x:v>
      </x:c>
      <x:c r="I957" s="87" t="n">
        <x:v>3</x:v>
      </x:c>
    </x:row>
    <x:row r="958">
      <x:c r="A958" s="85" t="n">
        <x:v>957</x:v>
      </x:c>
      <x:c r="B958" s="86" t="n">
        <x:v>312</x:v>
      </x:c>
      <x:c r="C958" s="95" t="n">
        <x:v>45860</x:v>
      </x:c>
      <x:c r="D958" s="86" t="str">
        <x:v>Dia útil</x:v>
      </x:c>
      <x:c r="E958" s="86" t="n">
        <x:v>3</x:v>
      </x:c>
      <x:c r="F958" s="99" t="n">
        <x:v>0.5</x:v>
      </x:c>
      <x:c r="G958" s="91" t="n">
        <x:v>69.57</x:v>
      </x:c>
      <x:c r="H958" s="86" t="n">
        <x:v>1</x:v>
      </x:c>
      <x:c r="I958" s="87" t="n">
        <x:v>10</x:v>
      </x:c>
    </x:row>
    <x:row r="959">
      <x:c r="A959" s="85" t="n">
        <x:v>958</x:v>
      </x:c>
      <x:c r="B959" s="86" t="n">
        <x:v>329</x:v>
      </x:c>
      <x:c r="C959" s="95" t="n">
        <x:v>45651</x:v>
      </x:c>
      <x:c r="D959" s="86" t="str">
        <x:v>Dia útil</x:v>
      </x:c>
      <x:c r="E959" s="86" t="n">
        <x:v>3</x:v>
      </x:c>
      <x:c r="F959" s="99" t="n">
        <x:v>0.5</x:v>
      </x:c>
      <x:c r="G959" s="91" t="n">
        <x:v>146.9</x:v>
      </x:c>
      <x:c r="H959" s="86" t="n">
        <x:v>1</x:v>
      </x:c>
      <x:c r="I959" s="87" t="n">
        <x:v>7</x:v>
      </x:c>
    </x:row>
    <x:row r="960">
      <x:c r="A960" s="85" t="n">
        <x:v>959</x:v>
      </x:c>
      <x:c r="B960" s="86" t="n">
        <x:v>320</x:v>
      </x:c>
      <x:c r="C960" s="95" t="n">
        <x:v>45416</x:v>
      </x:c>
      <x:c r="D960" s="86" t="str">
        <x:v>Sábado</x:v>
      </x:c>
      <x:c r="E960" s="86" t="n">
        <x:v>6</x:v>
      </x:c>
      <x:c r="F960" s="99" t="n">
        <x:v>0.75</x:v>
      </x:c>
      <x:c r="G960" s="91" t="n">
        <x:v>154.79</x:v>
      </x:c>
      <x:c r="H960" s="86" t="n">
        <x:v>1</x:v>
      </x:c>
      <x:c r="I960" s="87" t="n">
        <x:v>1</x:v>
      </x:c>
    </x:row>
    <x:row r="961">
      <x:c r="A961" s="85" t="n">
        <x:v>960</x:v>
      </x:c>
      <x:c r="B961" s="86" t="n">
        <x:v>286</x:v>
      </x:c>
      <x:c r="C961" s="95" t="n">
        <x:v>45635</x:v>
      </x:c>
      <x:c r="D961" s="86" t="str">
        <x:v>Dia útil</x:v>
      </x:c>
      <x:c r="E961" s="86" t="n">
        <x:v>1</x:v>
      </x:c>
      <x:c r="F961" s="99" t="n">
        <x:v>0.5</x:v>
      </x:c>
      <x:c r="G961" s="91" t="n">
        <x:v>20.06</x:v>
      </x:c>
      <x:c r="H961" s="86" t="n">
        <x:v>1</x:v>
      </x:c>
      <x:c r="I961" s="87" t="n">
        <x:v>1</x:v>
      </x:c>
    </x:row>
    <x:row r="962">
      <x:c r="A962" s="85" t="n">
        <x:v>961</x:v>
      </x:c>
      <x:c r="B962" s="86" t="n">
        <x:v>23</x:v>
      </x:c>
      <x:c r="C962" s="95" t="n">
        <x:v>45561</x:v>
      </x:c>
      <x:c r="D962" s="86" t="str">
        <x:v>Dia útil</x:v>
      </x:c>
      <x:c r="E962" s="86" t="n">
        <x:v>3</x:v>
      </x:c>
      <x:c r="F962" s="99" t="n">
        <x:v>0.5</x:v>
      </x:c>
      <x:c r="G962" s="91" t="n">
        <x:v>199.87</x:v>
      </x:c>
      <x:c r="H962" s="86" t="n">
        <x:v>1</x:v>
      </x:c>
      <x:c r="I962" s="87" t="n">
        <x:v>5</x:v>
      </x:c>
    </x:row>
    <x:row r="963">
      <x:c r="A963" s="85" t="n">
        <x:v>962</x:v>
      </x:c>
      <x:c r="B963" s="86" t="n">
        <x:v>399</x:v>
      </x:c>
      <x:c r="C963" s="95" t="n">
        <x:v>45988</x:v>
      </x:c>
      <x:c r="D963" s="86" t="str">
        <x:v>Dia útil</x:v>
      </x:c>
      <x:c r="E963" s="86" t="n">
        <x:v>3</x:v>
      </x:c>
      <x:c r="F963" s="99" t="n">
        <x:v>0.5</x:v>
      </x:c>
      <x:c r="G963" s="91" t="n">
        <x:v>69.41</x:v>
      </x:c>
      <x:c r="H963" s="86" t="n">
        <x:v>1</x:v>
      </x:c>
      <x:c r="I963" s="87" t="n">
        <x:v>1</x:v>
      </x:c>
    </x:row>
    <x:row r="964">
      <x:c r="A964" s="85" t="n">
        <x:v>963</x:v>
      </x:c>
      <x:c r="B964" s="86" t="n">
        <x:v>50</x:v>
      </x:c>
      <x:c r="C964" s="95" t="n">
        <x:v>45855</x:v>
      </x:c>
      <x:c r="D964" s="86" t="str">
        <x:v>Dia útil</x:v>
      </x:c>
      <x:c r="E964" s="86" t="n">
        <x:v>2</x:v>
      </x:c>
      <x:c r="F964" s="99" t="n">
        <x:v>0.5</x:v>
      </x:c>
      <x:c r="G964" s="91" t="n">
        <x:v>66.07</x:v>
      </x:c>
      <x:c r="H964" s="86" t="n">
        <x:v>1</x:v>
      </x:c>
      <x:c r="I964" s="87" t="n">
        <x:v>6</x:v>
      </x:c>
    </x:row>
    <x:row r="965">
      <x:c r="A965" s="85" t="n">
        <x:v>964</x:v>
      </x:c>
      <x:c r="B965" s="86" t="n">
        <x:v>43</x:v>
      </x:c>
      <x:c r="C965" s="95" t="n">
        <x:v>45797</x:v>
      </x:c>
      <x:c r="D965" s="86" t="str">
        <x:v>Dia útil</x:v>
      </x:c>
      <x:c r="E965" s="86" t="n">
        <x:v>3</x:v>
      </x:c>
      <x:c r="F965" s="99" t="n">
        <x:v>0.5</x:v>
      </x:c>
      <x:c r="G965" s="91" t="n">
        <x:v>94.37</x:v>
      </x:c>
      <x:c r="H965" s="86" t="n">
        <x:v>1</x:v>
      </x:c>
      <x:c r="I965" s="87" t="n">
        <x:v>2</x:v>
      </x:c>
    </x:row>
    <x:row r="966">
      <x:c r="A966" s="85" t="n">
        <x:v>965</x:v>
      </x:c>
      <x:c r="B966" s="86" t="n">
        <x:v>252</x:v>
      </x:c>
      <x:c r="C966" s="95" t="n">
        <x:v>45985</x:v>
      </x:c>
      <x:c r="D966" s="86" t="str">
        <x:v>Dia útil</x:v>
      </x:c>
      <x:c r="E966" s="86" t="n">
        <x:v>6</x:v>
      </x:c>
      <x:c r="F966" s="99" t="n">
        <x:v>0.5</x:v>
      </x:c>
      <x:c r="G966" s="91" t="n">
        <x:v>422.85</x:v>
      </x:c>
      <x:c r="H966" s="86" t="n">
        <x:v>1</x:v>
      </x:c>
      <x:c r="I966" s="87" t="n">
        <x:v>5</x:v>
      </x:c>
    </x:row>
    <x:row r="967">
      <x:c r="A967" s="85" t="n">
        <x:v>966</x:v>
      </x:c>
      <x:c r="B967" s="86" t="n">
        <x:v>347</x:v>
      </x:c>
      <x:c r="C967" s="95" t="n">
        <x:v>45994</x:v>
      </x:c>
      <x:c r="D967" s="86" t="str">
        <x:v>Domingo/Feriado</x:v>
      </x:c>
      <x:c r="E967" s="86" t="n">
        <x:v>8</x:v>
      </x:c>
      <x:c r="F967" s="99" t="n">
        <x:v>1</x:v>
      </x:c>
      <x:c r="G967" s="91" t="n">
        <x:v>335.73</x:v>
      </x:c>
      <x:c r="H967" s="86" t="n">
        <x:v>1</x:v>
      </x:c>
      <x:c r="I967" s="87" t="n">
        <x:v>7</x:v>
      </x:c>
    </x:row>
    <x:row r="968">
      <x:c r="A968" s="85" t="n">
        <x:v>967</x:v>
      </x:c>
      <x:c r="B968" s="86" t="n">
        <x:v>381</x:v>
      </x:c>
      <x:c r="C968" s="95" t="n">
        <x:v>45730</x:v>
      </x:c>
      <x:c r="D968" s="86" t="str">
        <x:v>Dia útil</x:v>
      </x:c>
      <x:c r="E968" s="86" t="n">
        <x:v>1</x:v>
      </x:c>
      <x:c r="F968" s="99" t="n">
        <x:v>0.5</x:v>
      </x:c>
      <x:c r="G968" s="91" t="n">
        <x:v>64.17</x:v>
      </x:c>
      <x:c r="H968" s="86" t="n">
        <x:v>1</x:v>
      </x:c>
      <x:c r="I968" s="87" t="n">
        <x:v>5</x:v>
      </x:c>
    </x:row>
    <x:row r="969">
      <x:c r="A969" s="85" t="n">
        <x:v>968</x:v>
      </x:c>
      <x:c r="B969" s="86" t="n">
        <x:v>34</x:v>
      </x:c>
      <x:c r="C969" s="95" t="n">
        <x:v>45836</x:v>
      </x:c>
      <x:c r="D969" s="86" t="str">
        <x:v>Dia útil</x:v>
      </x:c>
      <x:c r="E969" s="86" t="n">
        <x:v>2</x:v>
      </x:c>
      <x:c r="F969" s="99" t="n">
        <x:v>0.5</x:v>
      </x:c>
      <x:c r="G969" s="91" t="n">
        <x:v>37.17</x:v>
      </x:c>
      <x:c r="H969" s="86" t="n">
        <x:v>1</x:v>
      </x:c>
      <x:c r="I969" s="87" t="n">
        <x:v>1</x:v>
      </x:c>
    </x:row>
    <x:row r="970">
      <x:c r="A970" s="85" t="n">
        <x:v>969</x:v>
      </x:c>
      <x:c r="B970" s="86" t="n">
        <x:v>339</x:v>
      </x:c>
      <x:c r="C970" s="95" t="n">
        <x:v>45724</x:v>
      </x:c>
      <x:c r="D970" s="86" t="str">
        <x:v>Dia útil</x:v>
      </x:c>
      <x:c r="E970" s="86" t="n">
        <x:v>4</x:v>
      </x:c>
      <x:c r="F970" s="99" t="n">
        <x:v>0.5</x:v>
      </x:c>
      <x:c r="G970" s="91" t="n">
        <x:v>173.16</x:v>
      </x:c>
      <x:c r="H970" s="86" t="n">
        <x:v>1</x:v>
      </x:c>
      <x:c r="I970" s="87" t="n">
        <x:v>7</x:v>
      </x:c>
    </x:row>
    <x:row r="971">
      <x:c r="A971" s="85" t="n">
        <x:v>970</x:v>
      </x:c>
      <x:c r="B971" s="86" t="n">
        <x:v>74</x:v>
      </x:c>
      <x:c r="C971" s="95" t="n">
        <x:v>45902</x:v>
      </x:c>
      <x:c r="D971" s="86" t="str">
        <x:v>Dia útil</x:v>
      </x:c>
      <x:c r="E971" s="86" t="n">
        <x:v>6</x:v>
      </x:c>
      <x:c r="F971" s="99" t="n">
        <x:v>0.5</x:v>
      </x:c>
      <x:c r="G971" s="91" t="n">
        <x:v>97.76</x:v>
      </x:c>
      <x:c r="H971" s="86" t="n">
        <x:v>0</x:v>
      </x:c>
      <x:c r="I971" s="87" t="n">
        <x:v>1</x:v>
      </x:c>
    </x:row>
    <x:row r="972">
      <x:c r="A972" s="85" t="n">
        <x:v>971</x:v>
      </x:c>
      <x:c r="B972" s="86" t="n">
        <x:v>261</x:v>
      </x:c>
      <x:c r="C972" s="95" t="n">
        <x:v>45375</x:v>
      </x:c>
      <x:c r="D972" s="86" t="str">
        <x:v>Sábado</x:v>
      </x:c>
      <x:c r="E972" s="86" t="n">
        <x:v>8</x:v>
      </x:c>
      <x:c r="F972" s="99" t="n">
        <x:v>0.75</x:v>
      </x:c>
      <x:c r="G972" s="91" t="n">
        <x:v>223.49</x:v>
      </x:c>
      <x:c r="H972" s="86" t="n">
        <x:v>1</x:v>
      </x:c>
      <x:c r="I972" s="87" t="n">
        <x:v>3</x:v>
      </x:c>
    </x:row>
    <x:row r="973">
      <x:c r="A973" s="85" t="n">
        <x:v>972</x:v>
      </x:c>
      <x:c r="B973" s="86" t="n">
        <x:v>346</x:v>
      </x:c>
      <x:c r="C973" s="95" t="n">
        <x:v>45552</x:v>
      </x:c>
      <x:c r="D973" s="86" t="str">
        <x:v>Dia útil</x:v>
      </x:c>
      <x:c r="E973" s="86" t="n">
        <x:v>6</x:v>
      </x:c>
      <x:c r="F973" s="99" t="n">
        <x:v>0.5</x:v>
      </x:c>
      <x:c r="G973" s="91" t="n">
        <x:v>262.24</x:v>
      </x:c>
      <x:c r="H973" s="86" t="n">
        <x:v>1</x:v>
      </x:c>
      <x:c r="I973" s="87" t="n">
        <x:v>9</x:v>
      </x:c>
    </x:row>
    <x:row r="974">
      <x:c r="A974" s="85" t="n">
        <x:v>973</x:v>
      </x:c>
      <x:c r="B974" s="86" t="n">
        <x:v>204</x:v>
      </x:c>
      <x:c r="C974" s="95" t="n">
        <x:v>45723</x:v>
      </x:c>
      <x:c r="D974" s="86" t="str">
        <x:v>Sábado</x:v>
      </x:c>
      <x:c r="E974" s="86" t="n">
        <x:v>1</x:v>
      </x:c>
      <x:c r="F974" s="99" t="n">
        <x:v>0.75</x:v>
      </x:c>
      <x:c r="G974" s="91" t="n">
        <x:v>40.27</x:v>
      </x:c>
      <x:c r="H974" s="86" t="n">
        <x:v>1</x:v>
      </x:c>
      <x:c r="I974" s="87" t="n">
        <x:v>6</x:v>
      </x:c>
    </x:row>
    <x:row r="975">
      <x:c r="A975" s="85" t="n">
        <x:v>974</x:v>
      </x:c>
      <x:c r="B975" s="86" t="n">
        <x:v>268</x:v>
      </x:c>
      <x:c r="C975" s="95" t="n">
        <x:v>45940</x:v>
      </x:c>
      <x:c r="D975" s="86" t="str">
        <x:v>Dia útil</x:v>
      </x:c>
      <x:c r="E975" s="86" t="n">
        <x:v>8</x:v>
      </x:c>
      <x:c r="F975" s="99" t="n">
        <x:v>0.5</x:v>
      </x:c>
      <x:c r="G975" s="91" t="n">
        <x:v>233.81</x:v>
      </x:c>
      <x:c r="H975" s="86" t="n">
        <x:v>1</x:v>
      </x:c>
      <x:c r="I975" s="87" t="n">
        <x:v>4</x:v>
      </x:c>
    </x:row>
    <x:row r="976">
      <x:c r="A976" s="85" t="n">
        <x:v>975</x:v>
      </x:c>
      <x:c r="B976" s="86" t="n">
        <x:v>69</x:v>
      </x:c>
      <x:c r="C976" s="95" t="n">
        <x:v>45737</x:v>
      </x:c>
      <x:c r="D976" s="86" t="str">
        <x:v>Domingo/Feriado</x:v>
      </x:c>
      <x:c r="E976" s="86" t="n">
        <x:v>2</x:v>
      </x:c>
      <x:c r="F976" s="99" t="n">
        <x:v>1</x:v>
      </x:c>
      <x:c r="G976" s="91" t="n">
        <x:v>129.21</x:v>
      </x:c>
      <x:c r="H976" s="86" t="n">
        <x:v>1</x:v>
      </x:c>
      <x:c r="I976" s="87" t="n">
        <x:v>10</x:v>
      </x:c>
    </x:row>
    <x:row r="977">
      <x:c r="A977" s="85" t="n">
        <x:v>976</x:v>
      </x:c>
      <x:c r="B977" s="86" t="n">
        <x:v>108</x:v>
      </x:c>
      <x:c r="C977" s="95" t="n">
        <x:v>45543</x:v>
      </x:c>
      <x:c r="D977" s="86" t="str">
        <x:v>Dia útil</x:v>
      </x:c>
      <x:c r="E977" s="86" t="n">
        <x:v>1</x:v>
      </x:c>
      <x:c r="F977" s="99" t="n">
        <x:v>0.5</x:v>
      </x:c>
      <x:c r="G977" s="91" t="n">
        <x:v>17.81</x:v>
      </x:c>
      <x:c r="H977" s="86" t="n">
        <x:v>1</x:v>
      </x:c>
      <x:c r="I977" s="87" t="n">
        <x:v>1</x:v>
      </x:c>
    </x:row>
    <x:row r="978">
      <x:c r="A978" s="85" t="n">
        <x:v>977</x:v>
      </x:c>
      <x:c r="B978" s="86" t="n">
        <x:v>167</x:v>
      </x:c>
      <x:c r="C978" s="95" t="n">
        <x:v>45959</x:v>
      </x:c>
      <x:c r="D978" s="86" t="str">
        <x:v>Domingo/Feriado</x:v>
      </x:c>
      <x:c r="E978" s="86" t="n">
        <x:v>8</x:v>
      </x:c>
      <x:c r="F978" s="99" t="n">
        <x:v>1</x:v>
      </x:c>
      <x:c r="G978" s="91" t="n">
        <x:v>273.9</x:v>
      </x:c>
      <x:c r="H978" s="86" t="n">
        <x:v>1</x:v>
      </x:c>
      <x:c r="I978" s="87" t="n">
        <x:v>10</x:v>
      </x:c>
    </x:row>
    <x:row r="979">
      <x:c r="A979" s="85" t="n">
        <x:v>978</x:v>
      </x:c>
      <x:c r="B979" s="86" t="n">
        <x:v>356</x:v>
      </x:c>
      <x:c r="C979" s="95" t="n">
        <x:v>45575</x:v>
      </x:c>
      <x:c r="D979" s="86" t="str">
        <x:v>Dia útil</x:v>
      </x:c>
      <x:c r="E979" s="86" t="n">
        <x:v>8</x:v>
      </x:c>
      <x:c r="F979" s="99" t="n">
        <x:v>0.5</x:v>
      </x:c>
      <x:c r="G979" s="91" t="n">
        <x:v>366.67</x:v>
      </x:c>
      <x:c r="H979" s="86" t="n">
        <x:v>1</x:v>
      </x:c>
      <x:c r="I979" s="87" t="n">
        <x:v>8</x:v>
      </x:c>
    </x:row>
    <x:row r="980">
      <x:c r="A980" s="85" t="n">
        <x:v>979</x:v>
      </x:c>
      <x:c r="B980" s="86" t="n">
        <x:v>205</x:v>
      </x:c>
      <x:c r="C980" s="95" t="n">
        <x:v>46021</x:v>
      </x:c>
      <x:c r="D980" s="86" t="str">
        <x:v>Sábado</x:v>
      </x:c>
      <x:c r="E980" s="86" t="n">
        <x:v>6</x:v>
      </x:c>
      <x:c r="F980" s="99" t="n">
        <x:v>0.75</x:v>
      </x:c>
      <x:c r="G980" s="91" t="n">
        <x:v>204.49</x:v>
      </x:c>
      <x:c r="H980" s="86" t="n">
        <x:v>1</x:v>
      </x:c>
      <x:c r="I980" s="87" t="n">
        <x:v>4</x:v>
      </x:c>
    </x:row>
    <x:row r="981">
      <x:c r="A981" s="85" t="n">
        <x:v>980</x:v>
      </x:c>
      <x:c r="B981" s="86" t="n">
        <x:v>302</x:v>
      </x:c>
      <x:c r="C981" s="95" t="n">
        <x:v>45928</x:v>
      </x:c>
      <x:c r="D981" s="86" t="str">
        <x:v>Dia útil</x:v>
      </x:c>
      <x:c r="E981" s="86" t="n">
        <x:v>8</x:v>
      </x:c>
      <x:c r="F981" s="99" t="n">
        <x:v>0.5</x:v>
      </x:c>
      <x:c r="G981" s="91" t="n">
        <x:v>219.24</x:v>
      </x:c>
      <x:c r="H981" s="86" t="n">
        <x:v>1</x:v>
      </x:c>
      <x:c r="I981" s="87" t="n">
        <x:v>3</x:v>
      </x:c>
    </x:row>
    <x:row r="982">
      <x:c r="A982" s="85" t="n">
        <x:v>981</x:v>
      </x:c>
      <x:c r="B982" s="86" t="n">
        <x:v>26</x:v>
      </x:c>
      <x:c r="C982" s="95" t="n">
        <x:v>45693</x:v>
      </x:c>
      <x:c r="D982" s="86" t="str">
        <x:v>Dia útil</x:v>
      </x:c>
      <x:c r="E982" s="86" t="n">
        <x:v>6</x:v>
      </x:c>
      <x:c r="F982" s="99" t="n">
        <x:v>0.5</x:v>
      </x:c>
      <x:c r="G982" s="91" t="n">
        <x:v>347.25</x:v>
      </x:c>
      <x:c r="H982" s="86" t="n">
        <x:v>1</x:v>
      </x:c>
      <x:c r="I982" s="87" t="n">
        <x:v>3</x:v>
      </x:c>
    </x:row>
    <x:row r="983">
      <x:c r="A983" s="85" t="n">
        <x:v>982</x:v>
      </x:c>
      <x:c r="B983" s="86" t="n">
        <x:v>14</x:v>
      </x:c>
      <x:c r="C983" s="95" t="n">
        <x:v>45767</x:v>
      </x:c>
      <x:c r="D983" s="86" t="str">
        <x:v>Dia útil</x:v>
      </x:c>
      <x:c r="E983" s="86" t="n">
        <x:v>3</x:v>
      </x:c>
      <x:c r="F983" s="99" t="n">
        <x:v>0.5</x:v>
      </x:c>
      <x:c r="G983" s="91" t="n">
        <x:v>68.45</x:v>
      </x:c>
      <x:c r="H983" s="86" t="n">
        <x:v>1</x:v>
      </x:c>
      <x:c r="I983" s="87" t="n">
        <x:v>3</x:v>
      </x:c>
    </x:row>
    <x:row r="984">
      <x:c r="A984" s="85" t="n">
        <x:v>983</x:v>
      </x:c>
      <x:c r="B984" s="86" t="n">
        <x:v>81</x:v>
      </x:c>
      <x:c r="C984" s="95" t="n">
        <x:v>45719</x:v>
      </x:c>
      <x:c r="D984" s="86" t="str">
        <x:v>Dia útil</x:v>
      </x:c>
      <x:c r="E984" s="86" t="n">
        <x:v>8</x:v>
      </x:c>
      <x:c r="F984" s="99" t="n">
        <x:v>0.5</x:v>
      </x:c>
      <x:c r="G984" s="91" t="n">
        <x:v>199.74</x:v>
      </x:c>
      <x:c r="H984" s="86" t="n">
        <x:v>1</x:v>
      </x:c>
      <x:c r="I984" s="87" t="n">
        <x:v>3</x:v>
      </x:c>
    </x:row>
    <x:row r="985">
      <x:c r="A985" s="85" t="n">
        <x:v>984</x:v>
      </x:c>
      <x:c r="B985" s="86" t="n">
        <x:v>295</x:v>
      </x:c>
      <x:c r="C985" s="95" t="n">
        <x:v>45557</x:v>
      </x:c>
      <x:c r="D985" s="86" t="str">
        <x:v>Dia útil</x:v>
      </x:c>
      <x:c r="E985" s="86" t="n">
        <x:v>3</x:v>
      </x:c>
      <x:c r="F985" s="99" t="n">
        <x:v>0.5</x:v>
      </x:c>
      <x:c r="G985" s="91" t="n">
        <x:v>150.07</x:v>
      </x:c>
      <x:c r="H985" s="86" t="n">
        <x:v>1</x:v>
      </x:c>
      <x:c r="I985" s="87" t="n">
        <x:v>9</x:v>
      </x:c>
    </x:row>
    <x:row r="986">
      <x:c r="A986" s="85" t="n">
        <x:v>985</x:v>
      </x:c>
      <x:c r="B986" s="86" t="n">
        <x:v>264</x:v>
      </x:c>
      <x:c r="C986" s="95" t="n">
        <x:v>45687</x:v>
      </x:c>
      <x:c r="D986" s="86" t="str">
        <x:v>Dia útil</x:v>
      </x:c>
      <x:c r="E986" s="86" t="n">
        <x:v>1</x:v>
      </x:c>
      <x:c r="F986" s="99" t="n">
        <x:v>0.5</x:v>
      </x:c>
      <x:c r="G986" s="91" t="n">
        <x:v>33.64</x:v>
      </x:c>
      <x:c r="H986" s="86" t="n">
        <x:v>1</x:v>
      </x:c>
      <x:c r="I986" s="87" t="n">
        <x:v>4</x:v>
      </x:c>
    </x:row>
    <x:row r="987">
      <x:c r="A987" s="85" t="n">
        <x:v>986</x:v>
      </x:c>
      <x:c r="B987" s="86" t="n">
        <x:v>223</x:v>
      </x:c>
      <x:c r="C987" s="95" t="n">
        <x:v>46011</x:v>
      </x:c>
      <x:c r="D987" s="86" t="str">
        <x:v>Dia útil</x:v>
      </x:c>
      <x:c r="E987" s="86" t="n">
        <x:v>1</x:v>
      </x:c>
      <x:c r="F987" s="99" t="n">
        <x:v>0.5</x:v>
      </x:c>
      <x:c r="G987" s="91" t="n">
        <x:v>22.68</x:v>
      </x:c>
      <x:c r="H987" s="86" t="n">
        <x:v>1</x:v>
      </x:c>
      <x:c r="I987" s="87" t="n">
        <x:v>2</x:v>
      </x:c>
    </x:row>
    <x:row r="988">
      <x:c r="A988" s="85" t="n">
        <x:v>987</x:v>
      </x:c>
      <x:c r="B988" s="86" t="n">
        <x:v>106</x:v>
      </x:c>
      <x:c r="C988" s="95" t="n">
        <x:v>45338</x:v>
      </x:c>
      <x:c r="D988" s="86" t="str">
        <x:v>Domingo/Feriado</x:v>
      </x:c>
      <x:c r="E988" s="86" t="n">
        <x:v>6</x:v>
      </x:c>
      <x:c r="F988" s="99" t="n">
        <x:v>1</x:v>
      </x:c>
      <x:c r="G988" s="91" t="n">
        <x:v>297.88</x:v>
      </x:c>
      <x:c r="H988" s="86" t="n">
        <x:v>1</x:v>
      </x:c>
      <x:c r="I988" s="87" t="n">
        <x:v>4</x:v>
      </x:c>
    </x:row>
    <x:row r="989">
      <x:c r="A989" s="85" t="n">
        <x:v>988</x:v>
      </x:c>
      <x:c r="B989" s="86" t="n">
        <x:v>67</x:v>
      </x:c>
      <x:c r="C989" s="95" t="n">
        <x:v>45612</x:v>
      </x:c>
      <x:c r="D989" s="86" t="str">
        <x:v>Dia útil</x:v>
      </x:c>
      <x:c r="E989" s="86" t="n">
        <x:v>1</x:v>
      </x:c>
      <x:c r="F989" s="99" t="n">
        <x:v>0.5</x:v>
      </x:c>
      <x:c r="G989" s="91" t="n">
        <x:v>28.92</x:v>
      </x:c>
      <x:c r="H989" s="86" t="n">
        <x:v>1</x:v>
      </x:c>
      <x:c r="I989" s="87" t="n">
        <x:v>3</x:v>
      </x:c>
    </x:row>
    <x:row r="990">
      <x:c r="A990" s="85" t="n">
        <x:v>989</x:v>
      </x:c>
      <x:c r="B990" s="86" t="n">
        <x:v>278</x:v>
      </x:c>
      <x:c r="C990" s="95" t="n">
        <x:v>45732</x:v>
      </x:c>
      <x:c r="D990" s="86" t="str">
        <x:v>Sábado</x:v>
      </x:c>
      <x:c r="E990" s="86" t="n">
        <x:v>3</x:v>
      </x:c>
      <x:c r="F990" s="99" t="n">
        <x:v>0.75</x:v>
      </x:c>
      <x:c r="G990" s="91" t="n">
        <x:v>154.09</x:v>
      </x:c>
      <x:c r="H990" s="86" t="n">
        <x:v>0</x:v>
      </x:c>
      <x:c r="I990" s="87" t="n">
        <x:v>4</x:v>
      </x:c>
    </x:row>
    <x:row r="991">
      <x:c r="A991" s="85" t="n">
        <x:v>990</x:v>
      </x:c>
      <x:c r="B991" s="86" t="n">
        <x:v>342</x:v>
      </x:c>
      <x:c r="C991" s="95" t="n">
        <x:v>45864</x:v>
      </x:c>
      <x:c r="D991" s="86" t="str">
        <x:v>Domingo/Feriado</x:v>
      </x:c>
      <x:c r="E991" s="86" t="n">
        <x:v>3</x:v>
      </x:c>
      <x:c r="F991" s="99" t="n">
        <x:v>1</x:v>
      </x:c>
      <x:c r="G991" s="91" t="n">
        <x:v>455.79</x:v>
      </x:c>
      <x:c r="H991" s="86" t="n">
        <x:v>1</x:v>
      </x:c>
      <x:c r="I991" s="87" t="n">
        <x:v>9</x:v>
      </x:c>
    </x:row>
    <x:row r="992">
      <x:c r="A992" s="85" t="n">
        <x:v>991</x:v>
      </x:c>
      <x:c r="B992" s="86" t="n">
        <x:v>414</x:v>
      </x:c>
      <x:c r="C992" s="95" t="n">
        <x:v>45817</x:v>
      </x:c>
      <x:c r="D992" s="86" t="str">
        <x:v>Sábado</x:v>
      </x:c>
      <x:c r="E992" s="86" t="n">
        <x:v>4</x:v>
      </x:c>
      <x:c r="F992" s="99" t="n">
        <x:v>0.75</x:v>
      </x:c>
      <x:c r="G992" s="91" t="n">
        <x:v>166.42</x:v>
      </x:c>
      <x:c r="H992" s="86" t="n">
        <x:v>1</x:v>
      </x:c>
      <x:c r="I992" s="87" t="n">
        <x:v>10</x:v>
      </x:c>
    </x:row>
    <x:row r="993">
      <x:c r="A993" s="85" t="n">
        <x:v>992</x:v>
      </x:c>
      <x:c r="B993" s="86" t="n">
        <x:v>217</x:v>
      </x:c>
      <x:c r="C993" s="95" t="n">
        <x:v>45632</x:v>
      </x:c>
      <x:c r="D993" s="86" t="str">
        <x:v>Sábado</x:v>
      </x:c>
      <x:c r="E993" s="86" t="n">
        <x:v>3</x:v>
      </x:c>
      <x:c r="F993" s="99" t="n">
        <x:v>0.75</x:v>
      </x:c>
      <x:c r="G993" s="91" t="n">
        <x:v>150.07</x:v>
      </x:c>
      <x:c r="H993" s="86" t="n">
        <x:v>1</x:v>
      </x:c>
      <x:c r="I993" s="87" t="n">
        <x:v>9</x:v>
      </x:c>
    </x:row>
    <x:row r="994">
      <x:c r="A994" s="85" t="n">
        <x:v>993</x:v>
      </x:c>
      <x:c r="B994" s="86" t="n">
        <x:v>381</x:v>
      </x:c>
      <x:c r="C994" s="95" t="n">
        <x:v>45633</x:v>
      </x:c>
      <x:c r="D994" s="86" t="str">
        <x:v>Dia útil</x:v>
      </x:c>
      <x:c r="E994" s="86" t="n">
        <x:v>8</x:v>
      </x:c>
      <x:c r="F994" s="99" t="n">
        <x:v>0.5</x:v>
      </x:c>
      <x:c r="G994" s="91" t="n">
        <x:v>513.37</x:v>
      </x:c>
      <x:c r="H994" s="86" t="n">
        <x:v>1</x:v>
      </x:c>
      <x:c r="I994" s="87" t="n">
        <x:v>5</x:v>
      </x:c>
    </x:row>
    <x:row r="995">
      <x:c r="A995" s="85" t="n">
        <x:v>994</x:v>
      </x:c>
      <x:c r="B995" s="86" t="n">
        <x:v>120</x:v>
      </x:c>
      <x:c r="C995" s="95" t="n">
        <x:v>45805</x:v>
      </x:c>
      <x:c r="D995" s="86" t="str">
        <x:v>Domingo/Feriado</x:v>
      </x:c>
      <x:c r="E995" s="86" t="n">
        <x:v>3</x:v>
      </x:c>
      <x:c r="F995" s="99" t="n">
        <x:v>1</x:v>
      </x:c>
      <x:c r="G995" s="91" t="n">
        <x:v>262.65</x:v>
      </x:c>
      <x:c r="H995" s="86" t="n">
        <x:v>1</x:v>
      </x:c>
      <x:c r="I995" s="87" t="n">
        <x:v>5</x:v>
      </x:c>
    </x:row>
    <x:row r="996">
      <x:c r="A996" s="85" t="n">
        <x:v>995</x:v>
      </x:c>
      <x:c r="B996" s="86" t="n">
        <x:v>104</x:v>
      </x:c>
      <x:c r="C996" s="95" t="n">
        <x:v>45924</x:v>
      </x:c>
      <x:c r="D996" s="86" t="str">
        <x:v>Dia útil</x:v>
      </x:c>
      <x:c r="E996" s="86" t="n">
        <x:v>2</x:v>
      </x:c>
      <x:c r="F996" s="99" t="n">
        <x:v>0.5</x:v>
      </x:c>
      <x:c r="G996" s="91" t="n">
        <x:v>143.9</x:v>
      </x:c>
      <x:c r="H996" s="86" t="n">
        <x:v>1</x:v>
      </x:c>
      <x:c r="I996" s="87" t="n">
        <x:v>2</x:v>
      </x:c>
    </x:row>
    <x:row r="997">
      <x:c r="A997" s="85" t="n">
        <x:v>996</x:v>
      </x:c>
      <x:c r="B997" s="86" t="n">
        <x:v>9</x:v>
      </x:c>
      <x:c r="C997" s="95" t="n">
        <x:v>45581</x:v>
      </x:c>
      <x:c r="D997" s="86" t="str">
        <x:v>Dia útil</x:v>
      </x:c>
      <x:c r="E997" s="86" t="n">
        <x:v>2</x:v>
      </x:c>
      <x:c r="F997" s="99" t="n">
        <x:v>0.5</x:v>
      </x:c>
      <x:c r="G997" s="91" t="n">
        <x:v>88.84</x:v>
      </x:c>
      <x:c r="H997" s="86" t="n">
        <x:v>1</x:v>
      </x:c>
      <x:c r="I997" s="87" t="n">
        <x:v>5</x:v>
      </x:c>
    </x:row>
    <x:row r="998">
      <x:c r="A998" s="85" t="n">
        <x:v>997</x:v>
      </x:c>
      <x:c r="B998" s="86" t="n">
        <x:v>89</x:v>
      </x:c>
      <x:c r="C998" s="95" t="n">
        <x:v>46018</x:v>
      </x:c>
      <x:c r="D998" s="86" t="str">
        <x:v>Dia útil</x:v>
      </x:c>
      <x:c r="E998" s="86" t="n">
        <x:v>6</x:v>
      </x:c>
      <x:c r="F998" s="99" t="n">
        <x:v>0.5</x:v>
      </x:c>
      <x:c r="G998" s="91" t="n">
        <x:v>128.83</x:v>
      </x:c>
      <x:c r="H998" s="86" t="n">
        <x:v>1</x:v>
      </x:c>
      <x:c r="I998" s="87" t="n">
        <x:v>3</x:v>
      </x:c>
    </x:row>
    <x:row r="999">
      <x:c r="A999" s="85" t="n">
        <x:v>998</x:v>
      </x:c>
      <x:c r="B999" s="86" t="n">
        <x:v>387</x:v>
      </x:c>
      <x:c r="C999" s="95" t="n">
        <x:v>45757</x:v>
      </x:c>
      <x:c r="D999" s="86" t="str">
        <x:v>Dia útil</x:v>
      </x:c>
      <x:c r="E999" s="86" t="n">
        <x:v>3</x:v>
      </x:c>
      <x:c r="F999" s="99" t="n">
        <x:v>0.5</x:v>
      </x:c>
      <x:c r="G999" s="91" t="n">
        <x:v>142.5</x:v>
      </x:c>
      <x:c r="H999" s="86" t="n">
        <x:v>1</x:v>
      </x:c>
      <x:c r="I999" s="87" t="n">
        <x:v>5</x:v>
      </x:c>
    </x:row>
    <x:row r="1000">
      <x:c r="A1000" s="85" t="n">
        <x:v>999</x:v>
      </x:c>
      <x:c r="B1000" s="86" t="n">
        <x:v>295</x:v>
      </x:c>
      <x:c r="C1000" s="95" t="n">
        <x:v>45941</x:v>
      </x:c>
      <x:c r="D1000" s="86" t="str">
        <x:v>Domingo/Feriado</x:v>
      </x:c>
      <x:c r="E1000" s="86" t="n">
        <x:v>8</x:v>
      </x:c>
      <x:c r="F1000" s="99" t="n">
        <x:v>1</x:v>
      </x:c>
      <x:c r="G1000" s="91" t="n">
        <x:v>533.6</x:v>
      </x:c>
      <x:c r="H1000" s="86" t="n">
        <x:v>1</x:v>
      </x:c>
      <x:c r="I1000" s="87" t="n">
        <x:v>9</x:v>
      </x:c>
    </x:row>
    <x:row r="1001">
      <x:c r="A1001" s="85" t="n">
        <x:v>1000</x:v>
      </x:c>
      <x:c r="B1001" s="86" t="n">
        <x:v>327</x:v>
      </x:c>
      <x:c r="C1001" s="95" t="n">
        <x:v>45649</x:v>
      </x:c>
      <x:c r="D1001" s="86" t="str">
        <x:v>Dia útil</x:v>
      </x:c>
      <x:c r="E1001" s="86" t="n">
        <x:v>8</x:v>
      </x:c>
      <x:c r="F1001" s="99" t="n">
        <x:v>0.5</x:v>
      </x:c>
      <x:c r="G1001" s="91" t="n">
        <x:v>300.68</x:v>
      </x:c>
      <x:c r="H1001" s="86" t="n">
        <x:v>1</x:v>
      </x:c>
      <x:c r="I1001" s="87" t="n">
        <x:v>7</x:v>
      </x:c>
    </x:row>
    <x:row r="1002">
      <x:c r="A1002" s="85" t="n">
        <x:v>1001</x:v>
      </x:c>
      <x:c r="B1002" s="86" t="n">
        <x:v>135</x:v>
      </x:c>
      <x:c r="C1002" s="95" t="n">
        <x:v>45790</x:v>
      </x:c>
      <x:c r="D1002" s="86" t="str">
        <x:v>Dia útil</x:v>
      </x:c>
      <x:c r="E1002" s="86" t="n">
        <x:v>4</x:v>
      </x:c>
      <x:c r="F1002" s="99" t="n">
        <x:v>0.5</x:v>
      </x:c>
      <x:c r="G1002" s="91" t="n">
        <x:v>89.22</x:v>
      </x:c>
      <x:c r="H1002" s="86" t="n">
        <x:v>1</x:v>
      </x:c>
      <x:c r="I1002" s="87" t="n">
        <x:v>10</x:v>
      </x:c>
    </x:row>
    <x:row r="1003">
      <x:c r="A1003" s="85" t="n">
        <x:v>1002</x:v>
      </x:c>
      <x:c r="B1003" s="86" t="n">
        <x:v>292</x:v>
      </x:c>
      <x:c r="C1003" s="95" t="n">
        <x:v>45498</x:v>
      </x:c>
      <x:c r="D1003" s="86" t="str">
        <x:v>Dia útil</x:v>
      </x:c>
      <x:c r="E1003" s="86" t="n">
        <x:v>8</x:v>
      </x:c>
      <x:c r="F1003" s="99" t="n">
        <x:v>0.5</x:v>
      </x:c>
      <x:c r="G1003" s="91" t="n">
        <x:v>357.93</x:v>
      </x:c>
      <x:c r="H1003" s="86" t="n">
        <x:v>1</x:v>
      </x:c>
      <x:c r="I1003" s="87" t="n">
        <x:v>7</x:v>
      </x:c>
    </x:row>
    <x:row r="1004">
      <x:c r="A1004" s="85" t="n">
        <x:v>1003</x:v>
      </x:c>
      <x:c r="B1004" s="86" t="n">
        <x:v>211</x:v>
      </x:c>
      <x:c r="C1004" s="95" t="n">
        <x:v>45881</x:v>
      </x:c>
      <x:c r="D1004" s="86" t="str">
        <x:v>Dia útil</x:v>
      </x:c>
      <x:c r="E1004" s="86" t="n">
        <x:v>2</x:v>
      </x:c>
      <x:c r="F1004" s="99" t="n">
        <x:v>0.5</x:v>
      </x:c>
      <x:c r="G1004" s="91" t="n">
        <x:v>30.98</x:v>
      </x:c>
      <x:c r="H1004" s="86" t="n">
        <x:v>1</x:v>
      </x:c>
      <x:c r="I1004" s="87" t="n">
        <x:v>1</x:v>
      </x:c>
    </x:row>
    <x:row r="1005">
      <x:c r="A1005" s="85" t="n">
        <x:v>1004</x:v>
      </x:c>
      <x:c r="B1005" s="86" t="n">
        <x:v>355</x:v>
      </x:c>
      <x:c r="C1005" s="95" t="n">
        <x:v>45745</x:v>
      </x:c>
      <x:c r="D1005" s="86" t="str">
        <x:v>Dia útil</x:v>
      </x:c>
      <x:c r="E1005" s="86" t="n">
        <x:v>8</x:v>
      </x:c>
      <x:c r="F1005" s="99" t="n">
        <x:v>0.5</x:v>
      </x:c>
      <x:c r="G1005" s="91" t="n">
        <x:v>144.24</x:v>
      </x:c>
      <x:c r="H1005" s="86" t="n">
        <x:v>0</x:v>
      </x:c>
      <x:c r="I1005" s="87" t="n">
        <x:v>1</x:v>
      </x:c>
    </x:row>
    <x:row r="1006">
      <x:c r="A1006" s="85" t="n">
        <x:v>1005</x:v>
      </x:c>
      <x:c r="B1006" s="86" t="n">
        <x:v>334</x:v>
      </x:c>
      <x:c r="C1006" s="95" t="n">
        <x:v>45828</x:v>
      </x:c>
      <x:c r="D1006" s="86" t="str">
        <x:v>Dia útil</x:v>
      </x:c>
      <x:c r="E1006" s="86" t="n">
        <x:v>1</x:v>
      </x:c>
      <x:c r="F1006" s="99" t="n">
        <x:v>0.5</x:v>
      </x:c>
      <x:c r="G1006" s="91" t="n">
        <x:v>50.11</x:v>
      </x:c>
      <x:c r="H1006" s="86" t="n">
        <x:v>1</x:v>
      </x:c>
      <x:c r="I1006" s="87" t="n">
        <x:v>5</x:v>
      </x:c>
    </x:row>
    <x:row r="1007">
      <x:c r="A1007" s="85" t="n">
        <x:v>1006</x:v>
      </x:c>
      <x:c r="B1007" s="86" t="n">
        <x:v>238</x:v>
      </x:c>
      <x:c r="C1007" s="95" t="n">
        <x:v>45885</x:v>
      </x:c>
      <x:c r="D1007" s="86" t="str">
        <x:v>Dia útil</x:v>
      </x:c>
      <x:c r="E1007" s="86" t="n">
        <x:v>2</x:v>
      </x:c>
      <x:c r="F1007" s="99" t="n">
        <x:v>0.5</x:v>
      </x:c>
      <x:c r="G1007" s="91" t="n">
        <x:v>43.18</x:v>
      </x:c>
      <x:c r="H1007" s="86" t="n">
        <x:v>1</x:v>
      </x:c>
      <x:c r="I1007" s="87" t="n">
        <x:v>1</x:v>
      </x:c>
    </x:row>
    <x:row r="1008">
      <x:c r="A1008" s="85" t="n">
        <x:v>1007</x:v>
      </x:c>
      <x:c r="B1008" s="86" t="n">
        <x:v>299</x:v>
      </x:c>
      <x:c r="C1008" s="95" t="n">
        <x:v>45699</x:v>
      </x:c>
      <x:c r="D1008" s="86" t="str">
        <x:v>Domingo/Feriado</x:v>
      </x:c>
      <x:c r="E1008" s="86" t="n">
        <x:v>2</x:v>
      </x:c>
      <x:c r="F1008" s="99" t="n">
        <x:v>1</x:v>
      </x:c>
      <x:c r="G1008" s="91" t="n">
        <x:v>51.6</x:v>
      </x:c>
      <x:c r="H1008" s="86" t="n">
        <x:v>1</x:v>
      </x:c>
      <x:c r="I1008" s="87" t="n">
        <x:v>1</x:v>
      </x:c>
    </x:row>
    <x:row r="1009">
      <x:c r="A1009" s="85" t="n">
        <x:v>1008</x:v>
      </x:c>
      <x:c r="B1009" s="86" t="n">
        <x:v>354</x:v>
      </x:c>
      <x:c r="C1009" s="95" t="n">
        <x:v>45824</x:v>
      </x:c>
      <x:c r="D1009" s="86" t="str">
        <x:v>Dia útil</x:v>
      </x:c>
      <x:c r="E1009" s="86" t="n">
        <x:v>6</x:v>
      </x:c>
      <x:c r="F1009" s="99" t="n">
        <x:v>0.5</x:v>
      </x:c>
      <x:c r="G1009" s="91" t="n">
        <x:v>614.04</x:v>
      </x:c>
      <x:c r="H1009" s="86" t="n">
        <x:v>1</x:v>
      </x:c>
      <x:c r="I1009" s="87" t="n">
        <x:v>9</x:v>
      </x:c>
    </x:row>
    <x:row r="1010">
      <x:c r="A1010" s="85" t="n">
        <x:v>1009</x:v>
      </x:c>
      <x:c r="B1010" s="86" t="n">
        <x:v>105</x:v>
      </x:c>
      <x:c r="C1010" s="95" t="n">
        <x:v>45706</x:v>
      </x:c>
      <x:c r="D1010" s="86" t="str">
        <x:v>Sábado</x:v>
      </x:c>
      <x:c r="E1010" s="86" t="n">
        <x:v>1</x:v>
      </x:c>
      <x:c r="F1010" s="99" t="n">
        <x:v>0.75</x:v>
      </x:c>
      <x:c r="G1010" s="91" t="n">
        <x:v>32.4</x:v>
      </x:c>
      <x:c r="H1010" s="86" t="n">
        <x:v>1</x:v>
      </x:c>
      <x:c r="I1010" s="87" t="n">
        <x:v>2</x:v>
      </x:c>
    </x:row>
    <x:row r="1011">
      <x:c r="A1011" s="85" t="n">
        <x:v>1010</x:v>
      </x:c>
      <x:c r="B1011" s="86" t="n">
        <x:v>249</x:v>
      </x:c>
      <x:c r="C1011" s="95" t="n">
        <x:v>45565</x:v>
      </x:c>
      <x:c r="D1011" s="86" t="str">
        <x:v>Dia útil</x:v>
      </x:c>
      <x:c r="E1011" s="86" t="n">
        <x:v>4</x:v>
      </x:c>
      <x:c r="F1011" s="99" t="n">
        <x:v>0.5</x:v>
      </x:c>
      <x:c r="G1011" s="91" t="n">
        <x:v>202.72</x:v>
      </x:c>
      <x:c r="H1011" s="86" t="n">
        <x:v>1</x:v>
      </x:c>
      <x:c r="I1011" s="87" t="n">
        <x:v>5</x:v>
      </x:c>
    </x:row>
    <x:row r="1012">
      <x:c r="A1012" s="85" t="n">
        <x:v>1011</x:v>
      </x:c>
      <x:c r="B1012" s="86" t="n">
        <x:v>183</x:v>
      </x:c>
      <x:c r="C1012" s="95" t="n">
        <x:v>45954</x:v>
      </x:c>
      <x:c r="D1012" s="86" t="str">
        <x:v>Dia útil</x:v>
      </x:c>
      <x:c r="E1012" s="86" t="n">
        <x:v>4</x:v>
      </x:c>
      <x:c r="F1012" s="99" t="n">
        <x:v>0.5</x:v>
      </x:c>
      <x:c r="G1012" s="91" t="n">
        <x:v>76.03</x:v>
      </x:c>
      <x:c r="H1012" s="86" t="n">
        <x:v>1</x:v>
      </x:c>
      <x:c r="I1012" s="87" t="n">
        <x:v>1</x:v>
      </x:c>
    </x:row>
    <x:row r="1013">
      <x:c r="A1013" s="85" t="n">
        <x:v>1012</x:v>
      </x:c>
      <x:c r="B1013" s="86" t="n">
        <x:v>146</x:v>
      </x:c>
      <x:c r="C1013" s="95" t="n">
        <x:v>45967</x:v>
      </x:c>
      <x:c r="D1013" s="86" t="str">
        <x:v>Dia útil</x:v>
      </x:c>
      <x:c r="E1013" s="86" t="n">
        <x:v>1</x:v>
      </x:c>
      <x:c r="F1013" s="99" t="n">
        <x:v>0.5</x:v>
      </x:c>
      <x:c r="G1013" s="91" t="n">
        <x:v>63.51</x:v>
      </x:c>
      <x:c r="H1013" s="86" t="n">
        <x:v>1</x:v>
      </x:c>
      <x:c r="I1013" s="87" t="n">
        <x:v>9</x:v>
      </x:c>
    </x:row>
    <x:row r="1014">
      <x:c r="A1014" s="85" t="n">
        <x:v>1013</x:v>
      </x:c>
      <x:c r="B1014" s="86" t="n">
        <x:v>79</x:v>
      </x:c>
      <x:c r="C1014" s="95" t="n">
        <x:v>45886</x:v>
      </x:c>
      <x:c r="D1014" s="86" t="str">
        <x:v>Sábado</x:v>
      </x:c>
      <x:c r="E1014" s="86" t="n">
        <x:v>1</x:v>
      </x:c>
      <x:c r="F1014" s="99" t="n">
        <x:v>0.75</x:v>
      </x:c>
      <x:c r="G1014" s="91" t="n">
        <x:v>45.04</x:v>
      </x:c>
      <x:c r="H1014" s="86" t="n">
        <x:v>1</x:v>
      </x:c>
      <x:c r="I1014" s="87" t="n">
        <x:v>4</x:v>
      </x:c>
    </x:row>
    <x:row r="1015">
      <x:c r="A1015" s="85" t="n">
        <x:v>1014</x:v>
      </x:c>
      <x:c r="B1015" s="86" t="n">
        <x:v>323</x:v>
      </x:c>
      <x:c r="C1015" s="95" t="n">
        <x:v>45955</x:v>
      </x:c>
      <x:c r="D1015" s="86" t="str">
        <x:v>Sábado</x:v>
      </x:c>
      <x:c r="E1015" s="86" t="n">
        <x:v>1</x:v>
      </x:c>
      <x:c r="F1015" s="99" t="n">
        <x:v>0.75</x:v>
      </x:c>
      <x:c r="G1015" s="91" t="n">
        <x:v>59.67</x:v>
      </x:c>
      <x:c r="H1015" s="86" t="n">
        <x:v>1</x:v>
      </x:c>
      <x:c r="I1015" s="87" t="n">
        <x:v>5</x:v>
      </x:c>
    </x:row>
    <x:row r="1016">
      <x:c r="A1016" s="85" t="n">
        <x:v>1015</x:v>
      </x:c>
      <x:c r="B1016" s="86" t="n">
        <x:v>75</x:v>
      </x:c>
      <x:c r="C1016" s="95" t="n">
        <x:v>45921</x:v>
      </x:c>
      <x:c r="D1016" s="86" t="str">
        <x:v>Dia útil</x:v>
      </x:c>
      <x:c r="E1016" s="86" t="n">
        <x:v>8</x:v>
      </x:c>
      <x:c r="F1016" s="99" t="n">
        <x:v>0.5</x:v>
      </x:c>
      <x:c r="G1016" s="91" t="n">
        <x:v>423.45</x:v>
      </x:c>
      <x:c r="H1016" s="86" t="n">
        <x:v>1</x:v>
      </x:c>
      <x:c r="I1016" s="87" t="n">
        <x:v>10</x:v>
      </x:c>
    </x:row>
    <x:row r="1017">
      <x:c r="A1017" s="85" t="n">
        <x:v>1016</x:v>
      </x:c>
      <x:c r="B1017" s="86" t="n">
        <x:v>79</x:v>
      </x:c>
      <x:c r="C1017" s="95" t="n">
        <x:v>45806</x:v>
      </x:c>
      <x:c r="D1017" s="86" t="str">
        <x:v>Dia útil</x:v>
      </x:c>
      <x:c r="E1017" s="86" t="n">
        <x:v>4</x:v>
      </x:c>
      <x:c r="F1017" s="99" t="n">
        <x:v>0.5</x:v>
      </x:c>
      <x:c r="G1017" s="91" t="n">
        <x:v>154.43</x:v>
      </x:c>
      <x:c r="H1017" s="86" t="n">
        <x:v>1</x:v>
      </x:c>
      <x:c r="I1017" s="87" t="n">
        <x:v>4</x:v>
      </x:c>
    </x:row>
    <x:row r="1018">
      <x:c r="A1018" s="85" t="n">
        <x:v>1017</x:v>
      </x:c>
      <x:c r="B1018" s="86" t="n">
        <x:v>144</x:v>
      </x:c>
      <x:c r="C1018" s="95" t="n">
        <x:v>45958</x:v>
      </x:c>
      <x:c r="D1018" s="86" t="str">
        <x:v>Dia útil</x:v>
      </x:c>
      <x:c r="E1018" s="86" t="n">
        <x:v>6</x:v>
      </x:c>
      <x:c r="F1018" s="99" t="n">
        <x:v>0.5</x:v>
      </x:c>
      <x:c r="G1018" s="91" t="n">
        <x:v>250.96</x:v>
      </x:c>
      <x:c r="H1018" s="86" t="n">
        <x:v>1</x:v>
      </x:c>
      <x:c r="I1018" s="87" t="n">
        <x:v>4</x:v>
      </x:c>
    </x:row>
    <x:row r="1019">
      <x:c r="A1019" s="85" t="n">
        <x:v>1018</x:v>
      </x:c>
      <x:c r="B1019" s="86" t="n">
        <x:v>154</x:v>
      </x:c>
      <x:c r="C1019" s="95" t="n">
        <x:v>45641</x:v>
      </x:c>
      <x:c r="D1019" s="86" t="str">
        <x:v>Dia útil</x:v>
      </x:c>
      <x:c r="E1019" s="86" t="n">
        <x:v>8</x:v>
      </x:c>
      <x:c r="F1019" s="99" t="n">
        <x:v>0.5</x:v>
      </x:c>
      <x:c r="G1019" s="91" t="n">
        <x:v>297.5</x:v>
      </x:c>
      <x:c r="H1019" s="86" t="n">
        <x:v>1</x:v>
      </x:c>
      <x:c r="I1019" s="87" t="n">
        <x:v>7</x:v>
      </x:c>
    </x:row>
    <x:row r="1020">
      <x:c r="A1020" s="85" t="n">
        <x:v>1019</x:v>
      </x:c>
      <x:c r="B1020" s="86" t="n">
        <x:v>38</x:v>
      </x:c>
      <x:c r="C1020" s="95" t="n">
        <x:v>45561</x:v>
      </x:c>
      <x:c r="D1020" s="86" t="str">
        <x:v>Sábado</x:v>
      </x:c>
      <x:c r="E1020" s="86" t="n">
        <x:v>6</x:v>
      </x:c>
      <x:c r="F1020" s="99" t="n">
        <x:v>0.75</x:v>
      </x:c>
      <x:c r="G1020" s="91" t="n">
        <x:v>777.01</x:v>
      </x:c>
      <x:c r="H1020" s="86" t="n">
        <x:v>1</x:v>
      </x:c>
      <x:c r="I1020" s="87" t="n">
        <x:v>5</x:v>
      </x:c>
    </x:row>
    <x:row r="1021">
      <x:c r="A1021" s="85" t="n">
        <x:v>1020</x:v>
      </x:c>
      <x:c r="B1021" s="86" t="n">
        <x:v>145</x:v>
      </x:c>
      <x:c r="C1021" s="95" t="n">
        <x:v>45956</x:v>
      </x:c>
      <x:c r="D1021" s="86" t="str">
        <x:v>Dia útil</x:v>
      </x:c>
      <x:c r="E1021" s="86" t="n">
        <x:v>2</x:v>
      </x:c>
      <x:c r="F1021" s="99" t="n">
        <x:v>0.5</x:v>
      </x:c>
      <x:c r="G1021" s="91" t="n">
        <x:v>57.8</x:v>
      </x:c>
      <x:c r="H1021" s="86" t="n">
        <x:v>1</x:v>
      </x:c>
      <x:c r="I1021" s="87" t="n">
        <x:v>2</x:v>
      </x:c>
    </x:row>
    <x:row r="1022">
      <x:c r="A1022" s="85" t="n">
        <x:v>1021</x:v>
      </x:c>
      <x:c r="B1022" s="86" t="n">
        <x:v>114</x:v>
      </x:c>
      <x:c r="C1022" s="95" t="n">
        <x:v>45730</x:v>
      </x:c>
      <x:c r="D1022" s="86" t="str">
        <x:v>Dia útil</x:v>
      </x:c>
      <x:c r="E1022" s="86" t="n">
        <x:v>3</x:v>
      </x:c>
      <x:c r="F1022" s="99" t="n">
        <x:v>0.5</x:v>
      </x:c>
      <x:c r="G1022" s="91" t="n">
        <x:v>100.22</x:v>
      </x:c>
      <x:c r="H1022" s="86" t="n">
        <x:v>1</x:v>
      </x:c>
      <x:c r="I1022" s="87" t="n">
        <x:v>7</x:v>
      </x:c>
    </x:row>
    <x:row r="1023">
      <x:c r="A1023" s="85" t="n">
        <x:v>1022</x:v>
      </x:c>
      <x:c r="B1023" s="86" t="n">
        <x:v>269</x:v>
      </x:c>
      <x:c r="C1023" s="95" t="n">
        <x:v>45823</x:v>
      </x:c>
      <x:c r="D1023" s="86" t="str">
        <x:v>Dia útil</x:v>
      </x:c>
      <x:c r="E1023" s="86" t="n">
        <x:v>3</x:v>
      </x:c>
      <x:c r="F1023" s="99" t="n">
        <x:v>0.5</x:v>
      </x:c>
      <x:c r="G1023" s="91" t="n">
        <x:v>129.78</x:v>
      </x:c>
      <x:c r="H1023" s="86" t="n">
        <x:v>1</x:v>
      </x:c>
      <x:c r="I1023" s="87" t="n">
        <x:v>4</x:v>
      </x:c>
    </x:row>
    <x:row r="1024">
      <x:c r="A1024" s="85" t="n">
        <x:v>1023</x:v>
      </x:c>
      <x:c r="B1024" s="86" t="n">
        <x:v>346</x:v>
      </x:c>
      <x:c r="C1024" s="95" t="n">
        <x:v>45653</x:v>
      </x:c>
      <x:c r="D1024" s="86" t="str">
        <x:v>Sábado</x:v>
      </x:c>
      <x:c r="E1024" s="86" t="n">
        <x:v>1</x:v>
      </x:c>
      <x:c r="F1024" s="99" t="n">
        <x:v>0.75</x:v>
      </x:c>
      <x:c r="G1024" s="91" t="n">
        <x:v>50.99</x:v>
      </x:c>
      <x:c r="H1024" s="86" t="n">
        <x:v>1</x:v>
      </x:c>
      <x:c r="I1024" s="87" t="n">
        <x:v>9</x:v>
      </x:c>
    </x:row>
    <x:row r="1025">
      <x:c r="A1025" s="85" t="n">
        <x:v>1024</x:v>
      </x:c>
      <x:c r="B1025" s="86" t="n">
        <x:v>53</x:v>
      </x:c>
      <x:c r="C1025" s="95" t="n">
        <x:v>45997</x:v>
      </x:c>
      <x:c r="D1025" s="86" t="str">
        <x:v>Sábado</x:v>
      </x:c>
      <x:c r="E1025" s="86" t="n">
        <x:v>1</x:v>
      </x:c>
      <x:c r="F1025" s="99" t="n">
        <x:v>0.75</x:v>
      </x:c>
      <x:c r="G1025" s="91" t="n">
        <x:v>36.82</x:v>
      </x:c>
      <x:c r="H1025" s="86" t="n">
        <x:v>1</x:v>
      </x:c>
      <x:c r="I1025" s="87" t="n">
        <x:v>7</x:v>
      </x:c>
    </x:row>
    <x:row r="1026">
      <x:c r="A1026" s="85" t="n">
        <x:v>1025</x:v>
      </x:c>
      <x:c r="B1026" s="86" t="n">
        <x:v>285</x:v>
      </x:c>
      <x:c r="C1026" s="95" t="n">
        <x:v>45786</x:v>
      </x:c>
      <x:c r="D1026" s="86" t="str">
        <x:v>Dia útil</x:v>
      </x:c>
      <x:c r="E1026" s="86" t="n">
        <x:v>8</x:v>
      </x:c>
      <x:c r="F1026" s="99" t="n">
        <x:v>0.5</x:v>
      </x:c>
      <x:c r="G1026" s="91" t="n">
        <x:v>170.5</x:v>
      </x:c>
      <x:c r="H1026" s="86" t="n">
        <x:v>1</x:v>
      </x:c>
      <x:c r="I1026" s="87" t="n">
        <x:v>1</x:v>
      </x:c>
    </x:row>
    <x:row r="1027">
      <x:c r="A1027" s="85" t="n">
        <x:v>1026</x:v>
      </x:c>
      <x:c r="B1027" s="86" t="n">
        <x:v>391</x:v>
      </x:c>
      <x:c r="C1027" s="95" t="n">
        <x:v>45880</x:v>
      </x:c>
      <x:c r="D1027" s="86" t="str">
        <x:v>Dia útil</x:v>
      </x:c>
      <x:c r="E1027" s="86" t="n">
        <x:v>4</x:v>
      </x:c>
      <x:c r="F1027" s="99" t="n">
        <x:v>0.5</x:v>
      </x:c>
      <x:c r="G1027" s="91" t="n">
        <x:v>125.43</x:v>
      </x:c>
      <x:c r="H1027" s="86" t="n">
        <x:v>1</x:v>
      </x:c>
      <x:c r="I1027" s="87" t="n">
        <x:v>2</x:v>
      </x:c>
    </x:row>
    <x:row r="1028">
      <x:c r="A1028" s="85" t="n">
        <x:v>1027</x:v>
      </x:c>
      <x:c r="B1028" s="86" t="n">
        <x:v>332</x:v>
      </x:c>
      <x:c r="C1028" s="95" t="n">
        <x:v>45891</x:v>
      </x:c>
      <x:c r="D1028" s="86" t="str">
        <x:v>Dia útil</x:v>
      </x:c>
      <x:c r="E1028" s="86" t="n">
        <x:v>1</x:v>
      </x:c>
      <x:c r="F1028" s="99" t="n">
        <x:v>0.5</x:v>
      </x:c>
      <x:c r="G1028" s="91" t="n">
        <x:v>55.96</x:v>
      </x:c>
      <x:c r="H1028" s="86" t="n">
        <x:v>1</x:v>
      </x:c>
      <x:c r="I1028" s="87" t="n">
        <x:v>5</x:v>
      </x:c>
    </x:row>
    <x:row r="1029">
      <x:c r="A1029" s="85" t="n">
        <x:v>1028</x:v>
      </x:c>
      <x:c r="B1029" s="86" t="n">
        <x:v>231</x:v>
      </x:c>
      <x:c r="C1029" s="95" t="n">
        <x:v>45928</x:v>
      </x:c>
      <x:c r="D1029" s="86" t="str">
        <x:v>Dia útil</x:v>
      </x:c>
      <x:c r="E1029" s="86" t="n">
        <x:v>1</x:v>
      </x:c>
      <x:c r="F1029" s="99" t="n">
        <x:v>0.5</x:v>
      </x:c>
      <x:c r="G1029" s="91" t="n">
        <x:v>40.75</x:v>
      </x:c>
      <x:c r="H1029" s="86" t="n">
        <x:v>1</x:v>
      </x:c>
      <x:c r="I1029" s="87" t="n">
        <x:v>7</x:v>
      </x:c>
    </x:row>
    <x:row r="1030">
      <x:c r="A1030" s="85" t="n">
        <x:v>1029</x:v>
      </x:c>
      <x:c r="B1030" s="86" t="n">
        <x:v>153</x:v>
      </x:c>
      <x:c r="C1030" s="95" t="n">
        <x:v>45300</x:v>
      </x:c>
      <x:c r="D1030" s="86" t="str">
        <x:v>Dia útil</x:v>
      </x:c>
      <x:c r="E1030" s="86" t="n">
        <x:v>3</x:v>
      </x:c>
      <x:c r="F1030" s="99" t="n">
        <x:v>0.5</x:v>
      </x:c>
      <x:c r="G1030" s="91" t="n">
        <x:v>111.29</x:v>
      </x:c>
      <x:c r="H1030" s="86" t="n">
        <x:v>1</x:v>
      </x:c>
      <x:c r="I1030" s="87" t="n">
        <x:v>4</x:v>
      </x:c>
    </x:row>
    <x:row r="1031">
      <x:c r="A1031" s="85" t="n">
        <x:v>1030</x:v>
      </x:c>
      <x:c r="B1031" s="86" t="n">
        <x:v>408</x:v>
      </x:c>
      <x:c r="C1031" s="95" t="n">
        <x:v>45511</x:v>
      </x:c>
      <x:c r="D1031" s="86" t="str">
        <x:v>Sábado</x:v>
      </x:c>
      <x:c r="E1031" s="86" t="n">
        <x:v>4</x:v>
      </x:c>
      <x:c r="F1031" s="99" t="n">
        <x:v>0.75</x:v>
      </x:c>
      <x:c r="G1031" s="91" t="n">
        <x:v>172.91</x:v>
      </x:c>
      <x:c r="H1031" s="86" t="n">
        <x:v>1</x:v>
      </x:c>
      <x:c r="I1031" s="87" t="n">
        <x:v>4</x:v>
      </x:c>
    </x:row>
    <x:row r="1032">
      <x:c r="A1032" s="85" t="n">
        <x:v>1031</x:v>
      </x:c>
      <x:c r="B1032" s="86" t="n">
        <x:v>351</x:v>
      </x:c>
      <x:c r="C1032" s="95" t="n">
        <x:v>45900</x:v>
      </x:c>
      <x:c r="D1032" s="86" t="str">
        <x:v>Sábado</x:v>
      </x:c>
      <x:c r="E1032" s="86" t="n">
        <x:v>1</x:v>
      </x:c>
      <x:c r="F1032" s="99" t="n">
        <x:v>0.75</x:v>
      </x:c>
      <x:c r="G1032" s="91" t="n">
        <x:v>28.6</x:v>
      </x:c>
      <x:c r="H1032" s="86" t="n">
        <x:v>1</x:v>
      </x:c>
      <x:c r="I1032" s="87" t="n">
        <x:v>10</x:v>
      </x:c>
    </x:row>
    <x:row r="1033">
      <x:c r="A1033" s="85" t="n">
        <x:v>1032</x:v>
      </x:c>
      <x:c r="B1033" s="86" t="n">
        <x:v>345</x:v>
      </x:c>
      <x:c r="C1033" s="95" t="n">
        <x:v>45619</x:v>
      </x:c>
      <x:c r="D1033" s="86" t="str">
        <x:v>Dia útil</x:v>
      </x:c>
      <x:c r="E1033" s="86" t="n">
        <x:v>4</x:v>
      </x:c>
      <x:c r="F1033" s="99" t="n">
        <x:v>0.5</x:v>
      </x:c>
      <x:c r="G1033" s="91" t="n">
        <x:v>102.93</x:v>
      </x:c>
      <x:c r="H1033" s="86" t="n">
        <x:v>1</x:v>
      </x:c>
      <x:c r="I1033" s="87" t="n">
        <x:v>3</x:v>
      </x:c>
    </x:row>
    <x:row r="1034">
      <x:c r="A1034" s="85" t="n">
        <x:v>1033</x:v>
      </x:c>
      <x:c r="B1034" s="86" t="n">
        <x:v>267</x:v>
      </x:c>
      <x:c r="C1034" s="95" t="n">
        <x:v>46019</x:v>
      </x:c>
      <x:c r="D1034" s="86" t="str">
        <x:v>Dia útil</x:v>
      </x:c>
      <x:c r="E1034" s="86" t="n">
        <x:v>4</x:v>
      </x:c>
      <x:c r="F1034" s="99" t="n">
        <x:v>0.5</x:v>
      </x:c>
      <x:c r="G1034" s="91" t="n">
        <x:v>138.06</x:v>
      </x:c>
      <x:c r="H1034" s="86" t="n">
        <x:v>1</x:v>
      </x:c>
      <x:c r="I1034" s="87" t="n">
        <x:v>4</x:v>
      </x:c>
    </x:row>
    <x:row r="1035">
      <x:c r="A1035" s="85" t="n">
        <x:v>1034</x:v>
      </x:c>
      <x:c r="B1035" s="86" t="n">
        <x:v>188</x:v>
      </x:c>
      <x:c r="C1035" s="95" t="n">
        <x:v>45534</x:v>
      </x:c>
      <x:c r="D1035" s="86" t="str">
        <x:v>Domingo/Feriado</x:v>
      </x:c>
      <x:c r="E1035" s="86" t="n">
        <x:v>6</x:v>
      </x:c>
      <x:c r="F1035" s="99" t="n">
        <x:v>1</x:v>
      </x:c>
      <x:c r="G1035" s="91" t="n">
        <x:v>168.02</x:v>
      </x:c>
      <x:c r="H1035" s="86" t="n">
        <x:v>1</x:v>
      </x:c>
      <x:c r="I1035" s="87" t="n">
        <x:v>1</x:v>
      </x:c>
    </x:row>
    <x:row r="1036">
      <x:c r="A1036" s="85" t="n">
        <x:v>1035</x:v>
      </x:c>
      <x:c r="B1036" s="86" t="n">
        <x:v>171</x:v>
      </x:c>
      <x:c r="C1036" s="95" t="n">
        <x:v>45624</x:v>
      </x:c>
      <x:c r="D1036" s="86" t="str">
        <x:v>Dia útil</x:v>
      </x:c>
      <x:c r="E1036" s="86" t="n">
        <x:v>3</x:v>
      </x:c>
      <x:c r="F1036" s="99" t="n">
        <x:v>0.5</x:v>
      </x:c>
      <x:c r="G1036" s="91" t="n">
        <x:v>139.04</x:v>
      </x:c>
      <x:c r="H1036" s="86" t="n">
        <x:v>1</x:v>
      </x:c>
      <x:c r="I1036" s="87" t="n">
        <x:v>10</x:v>
      </x:c>
    </x:row>
    <x:row r="1037">
      <x:c r="A1037" s="85" t="n">
        <x:v>1036</x:v>
      </x:c>
      <x:c r="B1037" s="86" t="n">
        <x:v>283</x:v>
      </x:c>
      <x:c r="C1037" s="95" t="n">
        <x:v>45897</x:v>
      </x:c>
      <x:c r="D1037" s="86" t="str">
        <x:v>Dia útil</x:v>
      </x:c>
      <x:c r="E1037" s="86" t="n">
        <x:v>8</x:v>
      </x:c>
      <x:c r="F1037" s="99" t="n">
        <x:v>0.5</x:v>
      </x:c>
      <x:c r="G1037" s="91" t="n">
        <x:v>183.87</x:v>
      </x:c>
      <x:c r="H1037" s="86" t="n">
        <x:v>1</x:v>
      </x:c>
      <x:c r="I1037" s="87" t="n">
        <x:v>1</x:v>
      </x:c>
    </x:row>
    <x:row r="1038">
      <x:c r="A1038" s="85" t="n">
        <x:v>1037</x:v>
      </x:c>
      <x:c r="B1038" s="86" t="n">
        <x:v>58</x:v>
      </x:c>
      <x:c r="C1038" s="95" t="n">
        <x:v>45950</x:v>
      </x:c>
      <x:c r="D1038" s="86" t="str">
        <x:v>Domingo/Feriado</x:v>
      </x:c>
      <x:c r="E1038" s="86" t="n">
        <x:v>8</x:v>
      </x:c>
      <x:c r="F1038" s="99" t="n">
        <x:v>1</x:v>
      </x:c>
      <x:c r="G1038" s="91" t="n">
        <x:v>352.12</x:v>
      </x:c>
      <x:c r="H1038" s="86" t="n">
        <x:v>1</x:v>
      </x:c>
      <x:c r="I1038" s="87" t="n">
        <x:v>6</x:v>
      </x:c>
    </x:row>
    <x:row r="1039">
      <x:c r="A1039" s="85" t="n">
        <x:v>1038</x:v>
      </x:c>
      <x:c r="B1039" s="86" t="n">
        <x:v>194</x:v>
      </x:c>
      <x:c r="C1039" s="95" t="n">
        <x:v>45737</x:v>
      </x:c>
      <x:c r="D1039" s="86" t="str">
        <x:v>Dia útil</x:v>
      </x:c>
      <x:c r="E1039" s="86" t="n">
        <x:v>1</x:v>
      </x:c>
      <x:c r="F1039" s="99" t="n">
        <x:v>0.5</x:v>
      </x:c>
      <x:c r="G1039" s="91" t="n">
        <x:v>21.72</x:v>
      </x:c>
      <x:c r="H1039" s="86" t="n">
        <x:v>1</x:v>
      </x:c>
      <x:c r="I1039" s="87" t="n">
        <x:v>1</x:v>
      </x:c>
    </x:row>
    <x:row r="1040">
      <x:c r="A1040" s="85" t="n">
        <x:v>1039</x:v>
      </x:c>
      <x:c r="B1040" s="86" t="n">
        <x:v>330</x:v>
      </x:c>
      <x:c r="C1040" s="95" t="n">
        <x:v>45303</x:v>
      </x:c>
      <x:c r="D1040" s="86" t="str">
        <x:v>Dia útil</x:v>
      </x:c>
      <x:c r="E1040" s="86" t="n">
        <x:v>3</x:v>
      </x:c>
      <x:c r="F1040" s="99" t="n">
        <x:v>0.5</x:v>
      </x:c>
      <x:c r="G1040" s="91" t="n">
        <x:v>62.09</x:v>
      </x:c>
      <x:c r="H1040" s="86" t="n">
        <x:v>1</x:v>
      </x:c>
      <x:c r="I1040" s="87" t="n">
        <x:v>1</x:v>
      </x:c>
    </x:row>
    <x:row r="1041">
      <x:c r="A1041" s="85" t="n">
        <x:v>1040</x:v>
      </x:c>
      <x:c r="B1041" s="86" t="n">
        <x:v>242</x:v>
      </x:c>
      <x:c r="C1041" s="95" t="n">
        <x:v>46022</x:v>
      </x:c>
      <x:c r="D1041" s="86" t="str">
        <x:v>Domingo/Feriado</x:v>
      </x:c>
      <x:c r="E1041" s="86" t="n">
        <x:v>1</x:v>
      </x:c>
      <x:c r="F1041" s="99" t="n">
        <x:v>1</x:v>
      </x:c>
      <x:c r="G1041" s="91" t="n">
        <x:v>39.75</x:v>
      </x:c>
      <x:c r="H1041" s="86" t="n">
        <x:v>1</x:v>
      </x:c>
      <x:c r="I1041" s="87" t="n">
        <x:v>3</x:v>
      </x:c>
    </x:row>
    <x:row r="1042">
      <x:c r="A1042" s="85" t="n">
        <x:v>1041</x:v>
      </x:c>
      <x:c r="B1042" s="86" t="n">
        <x:v>228</x:v>
      </x:c>
      <x:c r="C1042" s="95" t="n">
        <x:v>45420</x:v>
      </x:c>
      <x:c r="D1042" s="86" t="str">
        <x:v>Dia útil</x:v>
      </x:c>
      <x:c r="E1042" s="86" t="n">
        <x:v>8</x:v>
      </x:c>
      <x:c r="F1042" s="99" t="n">
        <x:v>0.5</x:v>
      </x:c>
      <x:c r="G1042" s="91" t="n">
        <x:v>237.03</x:v>
      </x:c>
      <x:c r="H1042" s="86" t="n">
        <x:v>0</x:v>
      </x:c>
      <x:c r="I1042" s="87" t="n">
        <x:v>3</x:v>
      </x:c>
    </x:row>
    <x:row r="1043">
      <x:c r="A1043" s="85" t="n">
        <x:v>1042</x:v>
      </x:c>
      <x:c r="B1043" s="86" t="n">
        <x:v>317</x:v>
      </x:c>
      <x:c r="C1043" s="95" t="n">
        <x:v>45652</x:v>
      </x:c>
      <x:c r="D1043" s="86" t="str">
        <x:v>Dia útil</x:v>
      </x:c>
      <x:c r="E1043" s="86" t="n">
        <x:v>2</x:v>
      </x:c>
      <x:c r="F1043" s="99" t="n">
        <x:v>0.5</x:v>
      </x:c>
      <x:c r="G1043" s="91" t="n">
        <x:v>100.08</x:v>
      </x:c>
      <x:c r="H1043" s="86" t="n">
        <x:v>1</x:v>
      </x:c>
      <x:c r="I1043" s="87" t="n">
        <x:v>5</x:v>
      </x:c>
    </x:row>
    <x:row r="1044">
      <x:c r="A1044" s="85" t="n">
        <x:v>1043</x:v>
      </x:c>
      <x:c r="B1044" s="86" t="n">
        <x:v>194</x:v>
      </x:c>
      <x:c r="C1044" s="95" t="n">
        <x:v>45730</x:v>
      </x:c>
      <x:c r="D1044" s="86" t="str">
        <x:v>Sábado</x:v>
      </x:c>
      <x:c r="E1044" s="86" t="n">
        <x:v>1</x:v>
      </x:c>
      <x:c r="F1044" s="99" t="n">
        <x:v>0.75</x:v>
      </x:c>
      <x:c r="G1044" s="91" t="n">
        <x:v>25.34</x:v>
      </x:c>
      <x:c r="H1044" s="86" t="n">
        <x:v>0</x:v>
      </x:c>
      <x:c r="I1044" s="87" t="n">
        <x:v>1</x:v>
      </x:c>
    </x:row>
    <x:row r="1045">
      <x:c r="A1045" s="85" t="n">
        <x:v>1044</x:v>
      </x:c>
      <x:c r="B1045" s="86" t="n">
        <x:v>223</x:v>
      </x:c>
      <x:c r="C1045" s="95" t="n">
        <x:v>46021</x:v>
      </x:c>
      <x:c r="D1045" s="86" t="str">
        <x:v>Sábado</x:v>
      </x:c>
      <x:c r="E1045" s="86" t="n">
        <x:v>2</x:v>
      </x:c>
      <x:c r="F1045" s="99" t="n">
        <x:v>0.75</x:v>
      </x:c>
      <x:c r="G1045" s="91" t="n">
        <x:v>52.91</x:v>
      </x:c>
      <x:c r="H1045" s="86" t="n">
        <x:v>1</x:v>
      </x:c>
      <x:c r="I1045" s="87" t="n">
        <x:v>2</x:v>
      </x:c>
    </x:row>
    <x:row r="1046">
      <x:c r="A1046" s="85" t="n">
        <x:v>1045</x:v>
      </x:c>
      <x:c r="B1046" s="86" t="n">
        <x:v>304</x:v>
      </x:c>
      <x:c r="C1046" s="95" t="n">
        <x:v>45481</x:v>
      </x:c>
      <x:c r="D1046" s="86" t="str">
        <x:v>Domingo/Feriado</x:v>
      </x:c>
      <x:c r="E1046" s="86" t="n">
        <x:v>1</x:v>
      </x:c>
      <x:c r="F1046" s="99" t="n">
        <x:v>1</x:v>
      </x:c>
      <x:c r="G1046" s="91" t="n">
        <x:v>21.22</x:v>
      </x:c>
      <x:c r="H1046" s="86" t="n">
        <x:v>1</x:v>
      </x:c>
      <x:c r="I1046" s="87" t="n">
        <x:v>1</x:v>
      </x:c>
    </x:row>
    <x:row r="1047">
      <x:c r="A1047" s="85" t="n">
        <x:v>1046</x:v>
      </x:c>
      <x:c r="B1047" s="86" t="n">
        <x:v>112</x:v>
      </x:c>
      <x:c r="C1047" s="95" t="n">
        <x:v>46022</x:v>
      </x:c>
      <x:c r="D1047" s="86" t="str">
        <x:v>Dia útil</x:v>
      </x:c>
      <x:c r="E1047" s="86" t="n">
        <x:v>2</x:v>
      </x:c>
      <x:c r="F1047" s="99" t="n">
        <x:v>0.5</x:v>
      </x:c>
      <x:c r="G1047" s="91" t="n">
        <x:v>61.94</x:v>
      </x:c>
      <x:c r="H1047" s="86" t="n">
        <x:v>1</x:v>
      </x:c>
      <x:c r="I1047" s="87" t="n">
        <x:v>2</x:v>
      </x:c>
    </x:row>
    <x:row r="1048">
      <x:c r="A1048" s="85" t="n">
        <x:v>1047</x:v>
      </x:c>
      <x:c r="B1048" s="86" t="n">
        <x:v>182</x:v>
      </x:c>
      <x:c r="C1048" s="95" t="n">
        <x:v>45448</x:v>
      </x:c>
      <x:c r="D1048" s="86" t="str">
        <x:v>Dia útil</x:v>
      </x:c>
      <x:c r="E1048" s="86" t="n">
        <x:v>3</x:v>
      </x:c>
      <x:c r="F1048" s="99" t="n">
        <x:v>0.5</x:v>
      </x:c>
      <x:c r="G1048" s="91" t="n">
        <x:v>62.79</x:v>
      </x:c>
      <x:c r="H1048" s="86" t="n">
        <x:v>1</x:v>
      </x:c>
      <x:c r="I1048" s="87" t="n">
        <x:v>1</x:v>
      </x:c>
    </x:row>
    <x:row r="1049">
      <x:c r="A1049" s="85" t="n">
        <x:v>1048</x:v>
      </x:c>
      <x:c r="B1049" s="86" t="n">
        <x:v>269</x:v>
      </x:c>
      <x:c r="C1049" s="95" t="n">
        <x:v>45991</x:v>
      </x:c>
      <x:c r="D1049" s="86" t="str">
        <x:v>Dia útil</x:v>
      </x:c>
      <x:c r="E1049" s="86" t="n">
        <x:v>2</x:v>
      </x:c>
      <x:c r="F1049" s="99" t="n">
        <x:v>0.5</x:v>
      </x:c>
      <x:c r="G1049" s="91" t="n">
        <x:v>86.52</x:v>
      </x:c>
      <x:c r="H1049" s="86" t="n">
        <x:v>1</x:v>
      </x:c>
      <x:c r="I1049" s="87" t="n">
        <x:v>4</x:v>
      </x:c>
    </x:row>
    <x:row r="1050">
      <x:c r="A1050" s="85" t="n">
        <x:v>1049</x:v>
      </x:c>
      <x:c r="B1050" s="86" t="n">
        <x:v>227</x:v>
      </x:c>
      <x:c r="C1050" s="95" t="n">
        <x:v>45815</x:v>
      </x:c>
      <x:c r="D1050" s="86" t="str">
        <x:v>Sábado</x:v>
      </x:c>
      <x:c r="E1050" s="86" t="n">
        <x:v>1</x:v>
      </x:c>
      <x:c r="F1050" s="99" t="n">
        <x:v>0.75</x:v>
      </x:c>
      <x:c r="G1050" s="91" t="n">
        <x:v>49.76</x:v>
      </x:c>
      <x:c r="H1050" s="86" t="n">
        <x:v>1</x:v>
      </x:c>
      <x:c r="I1050" s="87" t="n">
        <x:v>10</x:v>
      </x:c>
    </x:row>
    <x:row r="1051">
      <x:c r="A1051" s="85" t="n">
        <x:v>1050</x:v>
      </x:c>
      <x:c r="B1051" s="86" t="n">
        <x:v>194</x:v>
      </x:c>
      <x:c r="C1051" s="95" t="n">
        <x:v>45520</x:v>
      </x:c>
      <x:c r="D1051" s="86" t="str">
        <x:v>Sábado</x:v>
      </x:c>
      <x:c r="E1051" s="86" t="n">
        <x:v>6</x:v>
      </x:c>
      <x:c r="F1051" s="99" t="n">
        <x:v>0.75</x:v>
      </x:c>
      <x:c r="G1051" s="91" t="n">
        <x:v>152.04</x:v>
      </x:c>
      <x:c r="H1051" s="86" t="n">
        <x:v>1</x:v>
      </x:c>
      <x:c r="I1051" s="87" t="n">
        <x:v>1</x:v>
      </x:c>
    </x:row>
    <x:row r="1052">
      <x:c r="A1052" s="85" t="n">
        <x:v>1051</x:v>
      </x:c>
      <x:c r="B1052" s="86" t="n">
        <x:v>335</x:v>
      </x:c>
      <x:c r="C1052" s="95" t="n">
        <x:v>45914</x:v>
      </x:c>
      <x:c r="D1052" s="86" t="str">
        <x:v>Sábado</x:v>
      </x:c>
      <x:c r="E1052" s="86" t="n">
        <x:v>3</x:v>
      </x:c>
      <x:c r="F1052" s="99" t="n">
        <x:v>0.75</x:v>
      </x:c>
      <x:c r="G1052" s="91" t="n">
        <x:v>164.38</x:v>
      </x:c>
      <x:c r="H1052" s="86" t="n">
        <x:v>1</x:v>
      </x:c>
      <x:c r="I1052" s="87" t="n">
        <x:v>7</x:v>
      </x:c>
    </x:row>
    <x:row r="1053">
      <x:c r="A1053" s="85" t="n">
        <x:v>1052</x:v>
      </x:c>
      <x:c r="B1053" s="86" t="n">
        <x:v>344</x:v>
      </x:c>
      <x:c r="C1053" s="95" t="n">
        <x:v>45949</x:v>
      </x:c>
      <x:c r="D1053" s="86" t="str">
        <x:v>Sábado</x:v>
      </x:c>
      <x:c r="E1053" s="86" t="n">
        <x:v>3</x:v>
      </x:c>
      <x:c r="F1053" s="99" t="n">
        <x:v>0.75</x:v>
      </x:c>
      <x:c r="G1053" s="91" t="n">
        <x:v>60.89</x:v>
      </x:c>
      <x:c r="H1053" s="86" t="n">
        <x:v>1</x:v>
      </x:c>
      <x:c r="I1053" s="87" t="n">
        <x:v>1</x:v>
      </x:c>
    </x:row>
    <x:row r="1054">
      <x:c r="A1054" s="85" t="n">
        <x:v>1053</x:v>
      </x:c>
      <x:c r="B1054" s="86" t="n">
        <x:v>356</x:v>
      </x:c>
      <x:c r="C1054" s="95" t="n">
        <x:v>45302</x:v>
      </x:c>
      <x:c r="D1054" s="86" t="str">
        <x:v>Dia útil</x:v>
      </x:c>
      <x:c r="E1054" s="86" t="n">
        <x:v>1</x:v>
      </x:c>
      <x:c r="F1054" s="99" t="n">
        <x:v>0.5</x:v>
      </x:c>
      <x:c r="G1054" s="91" t="n">
        <x:v>45.83</x:v>
      </x:c>
      <x:c r="H1054" s="86" t="n">
        <x:v>1</x:v>
      </x:c>
      <x:c r="I1054" s="87" t="n">
        <x:v>8</x:v>
      </x:c>
    </x:row>
    <x:row r="1055">
      <x:c r="A1055" s="85" t="n">
        <x:v>1054</x:v>
      </x:c>
      <x:c r="B1055" s="86" t="n">
        <x:v>374</x:v>
      </x:c>
      <x:c r="C1055" s="95" t="n">
        <x:v>45355</x:v>
      </x:c>
      <x:c r="D1055" s="86" t="str">
        <x:v>Dia útil</x:v>
      </x:c>
      <x:c r="E1055" s="86" t="n">
        <x:v>6</x:v>
      </x:c>
      <x:c r="F1055" s="99" t="n">
        <x:v>0.5</x:v>
      </x:c>
      <x:c r="G1055" s="91" t="n">
        <x:v>105.87</x:v>
      </x:c>
      <x:c r="H1055" s="86" t="n">
        <x:v>1</x:v>
      </x:c>
      <x:c r="I1055" s="87" t="n">
        <x:v>1</x:v>
      </x:c>
    </x:row>
    <x:row r="1056">
      <x:c r="A1056" s="85" t="n">
        <x:v>1055</x:v>
      </x:c>
      <x:c r="B1056" s="86" t="n">
        <x:v>201</x:v>
      </x:c>
      <x:c r="C1056" s="95" t="n">
        <x:v>45897</x:v>
      </x:c>
      <x:c r="D1056" s="86" t="str">
        <x:v>Sábado</x:v>
      </x:c>
      <x:c r="E1056" s="86" t="n">
        <x:v>4</x:v>
      </x:c>
      <x:c r="F1056" s="99" t="n">
        <x:v>0.75</x:v>
      </x:c>
      <x:c r="G1056" s="91" t="n">
        <x:v>72.22</x:v>
      </x:c>
      <x:c r="H1056" s="86" t="n">
        <x:v>1</x:v>
      </x:c>
      <x:c r="I1056" s="87" t="n">
        <x:v>1</x:v>
      </x:c>
    </x:row>
    <x:row r="1057">
      <x:c r="A1057" s="85" t="n">
        <x:v>1056</x:v>
      </x:c>
      <x:c r="B1057" s="86" t="n">
        <x:v>182</x:v>
      </x:c>
      <x:c r="C1057" s="95" t="n">
        <x:v>45967</x:v>
      </x:c>
      <x:c r="D1057" s="86" t="str">
        <x:v>Dia útil</x:v>
      </x:c>
      <x:c r="E1057" s="86" t="n">
        <x:v>1</x:v>
      </x:c>
      <x:c r="F1057" s="99" t="n">
        <x:v>0.5</x:v>
      </x:c>
      <x:c r="G1057" s="91" t="n">
        <x:v>20.93</x:v>
      </x:c>
      <x:c r="H1057" s="86" t="n">
        <x:v>1</x:v>
      </x:c>
      <x:c r="I1057" s="87" t="n">
        <x:v>1</x:v>
      </x:c>
    </x:row>
    <x:row r="1058">
      <x:c r="A1058" s="85" t="n">
        <x:v>1057</x:v>
      </x:c>
      <x:c r="B1058" s="86" t="n">
        <x:v>179</x:v>
      </x:c>
      <x:c r="C1058" s="95" t="n">
        <x:v>45852</x:v>
      </x:c>
      <x:c r="D1058" s="86" t="str">
        <x:v>Dia útil</x:v>
      </x:c>
      <x:c r="E1058" s="86" t="n">
        <x:v>8</x:v>
      </x:c>
      <x:c r="F1058" s="99" t="n">
        <x:v>0.5</x:v>
      </x:c>
      <x:c r="G1058" s="91" t="n">
        <x:v>395.56</x:v>
      </x:c>
      <x:c r="H1058" s="86" t="n">
        <x:v>1</x:v>
      </x:c>
      <x:c r="I1058" s="87" t="n">
        <x:v>8</x:v>
      </x:c>
    </x:row>
    <x:row r="1059">
      <x:c r="A1059" s="85" t="n">
        <x:v>1058</x:v>
      </x:c>
      <x:c r="B1059" s="86" t="n">
        <x:v>8</x:v>
      </x:c>
      <x:c r="C1059" s="95" t="n">
        <x:v>45927</x:v>
      </x:c>
      <x:c r="D1059" s="86" t="str">
        <x:v>Dia útil</x:v>
      </x:c>
      <x:c r="E1059" s="86" t="n">
        <x:v>8</x:v>
      </x:c>
      <x:c r="F1059" s="99" t="n">
        <x:v>0.5</x:v>
      </x:c>
      <x:c r="G1059" s="91" t="n">
        <x:v>617.15</x:v>
      </x:c>
      <x:c r="H1059" s="86" t="n">
        <x:v>1</x:v>
      </x:c>
      <x:c r="I1059" s="87" t="n">
        <x:v>2</x:v>
      </x:c>
    </x:row>
    <x:row r="1060">
      <x:c r="A1060" s="85" t="n">
        <x:v>1059</x:v>
      </x:c>
      <x:c r="B1060" s="86" t="n">
        <x:v>308</x:v>
      </x:c>
      <x:c r="C1060" s="95" t="n">
        <x:v>45790</x:v>
      </x:c>
      <x:c r="D1060" s="86" t="str">
        <x:v>Dia útil</x:v>
      </x:c>
      <x:c r="E1060" s="86" t="n">
        <x:v>8</x:v>
      </x:c>
      <x:c r="F1060" s="99" t="n">
        <x:v>0.5</x:v>
      </x:c>
      <x:c r="G1060" s="91" t="n">
        <x:v>166.05</x:v>
      </x:c>
      <x:c r="H1060" s="86" t="n">
        <x:v>1</x:v>
      </x:c>
      <x:c r="I1060" s="87" t="n">
        <x:v>3</x:v>
      </x:c>
    </x:row>
    <x:row r="1061">
      <x:c r="A1061" s="85" t="n">
        <x:v>1060</x:v>
      </x:c>
      <x:c r="B1061" s="86" t="n">
        <x:v>298</x:v>
      </x:c>
      <x:c r="C1061" s="95" t="n">
        <x:v>45453</x:v>
      </x:c>
      <x:c r="D1061" s="86" t="str">
        <x:v>Dia útil</x:v>
      </x:c>
      <x:c r="E1061" s="86" t="n">
        <x:v>8</x:v>
      </x:c>
      <x:c r="F1061" s="99" t="n">
        <x:v>0.5</x:v>
      </x:c>
      <x:c r="G1061" s="91" t="n">
        <x:v>162.31</x:v>
      </x:c>
      <x:c r="H1061" s="86" t="n">
        <x:v>1</x:v>
      </x:c>
      <x:c r="I1061" s="87" t="n">
        <x:v>8</x:v>
      </x:c>
    </x:row>
    <x:row r="1062">
      <x:c r="A1062" s="85" t="n">
        <x:v>1061</x:v>
      </x:c>
      <x:c r="B1062" s="86" t="n">
        <x:v>30</x:v>
      </x:c>
      <x:c r="C1062" s="95" t="n">
        <x:v>45390</x:v>
      </x:c>
      <x:c r="D1062" s="86" t="str">
        <x:v>Dia útil</x:v>
      </x:c>
      <x:c r="E1062" s="86" t="n">
        <x:v>1</x:v>
      </x:c>
      <x:c r="F1062" s="99" t="n">
        <x:v>0.5</x:v>
      </x:c>
      <x:c r="G1062" s="91" t="n">
        <x:v>22.64</x:v>
      </x:c>
      <x:c r="H1062" s="86" t="n">
        <x:v>1</x:v>
      </x:c>
      <x:c r="I1062" s="87" t="n">
        <x:v>3</x:v>
      </x:c>
    </x:row>
    <x:row r="1063">
      <x:c r="A1063" s="85" t="n">
        <x:v>1062</x:v>
      </x:c>
      <x:c r="B1063" s="86" t="n">
        <x:v>177</x:v>
      </x:c>
      <x:c r="C1063" s="95" t="n">
        <x:v>45884</x:v>
      </x:c>
      <x:c r="D1063" s="86" t="str">
        <x:v>Dia útil</x:v>
      </x:c>
      <x:c r="E1063" s="86" t="n">
        <x:v>8</x:v>
      </x:c>
      <x:c r="F1063" s="99" t="n">
        <x:v>0.5</x:v>
      </x:c>
      <x:c r="G1063" s="91" t="n">
        <x:v>484.73</x:v>
      </x:c>
      <x:c r="H1063" s="86" t="n">
        <x:v>1</x:v>
      </x:c>
      <x:c r="I1063" s="87" t="n">
        <x:v>3</x:v>
      </x:c>
    </x:row>
    <x:row r="1064">
      <x:c r="A1064" s="85" t="n">
        <x:v>1063</x:v>
      </x:c>
      <x:c r="B1064" s="86" t="n">
        <x:v>158</x:v>
      </x:c>
      <x:c r="C1064" s="95" t="n">
        <x:v>45611</x:v>
      </x:c>
      <x:c r="D1064" s="86" t="str">
        <x:v>Dia útil</x:v>
      </x:c>
      <x:c r="E1064" s="86" t="n">
        <x:v>6</x:v>
      </x:c>
      <x:c r="F1064" s="99" t="n">
        <x:v>0.5</x:v>
      </x:c>
      <x:c r="G1064" s="91" t="n">
        <x:v>259.88</x:v>
      </x:c>
      <x:c r="H1064" s="86" t="n">
        <x:v>1</x:v>
      </x:c>
      <x:c r="I1064" s="87" t="n">
        <x:v>10</x:v>
      </x:c>
    </x:row>
    <x:row r="1065">
      <x:c r="A1065" s="85" t="n">
        <x:v>1064</x:v>
      </x:c>
      <x:c r="B1065" s="86" t="n">
        <x:v>374</x:v>
      </x:c>
      <x:c r="C1065" s="95" t="n">
        <x:v>45405</x:v>
      </x:c>
      <x:c r="D1065" s="86" t="str">
        <x:v>Dia útil</x:v>
      </x:c>
      <x:c r="E1065" s="86" t="n">
        <x:v>8</x:v>
      </x:c>
      <x:c r="F1065" s="99" t="n">
        <x:v>0.5</x:v>
      </x:c>
      <x:c r="G1065" s="91" t="n">
        <x:v>141.16</x:v>
      </x:c>
      <x:c r="H1065" s="86" t="n">
        <x:v>1</x:v>
      </x:c>
      <x:c r="I1065" s="87" t="n">
        <x:v>1</x:v>
      </x:c>
    </x:row>
    <x:row r="1066">
      <x:c r="A1066" s="85" t="n">
        <x:v>1065</x:v>
      </x:c>
      <x:c r="B1066" s="86" t="n">
        <x:v>418</x:v>
      </x:c>
      <x:c r="C1066" s="95" t="n">
        <x:v>45773</x:v>
      </x:c>
      <x:c r="D1066" s="86" t="str">
        <x:v>Dia útil</x:v>
      </x:c>
      <x:c r="E1066" s="86" t="n">
        <x:v>4</x:v>
      </x:c>
      <x:c r="F1066" s="99" t="n">
        <x:v>0.5</x:v>
      </x:c>
      <x:c r="G1066" s="91" t="n">
        <x:v>169.13</x:v>
      </x:c>
      <x:c r="H1066" s="86" t="n">
        <x:v>1</x:v>
      </x:c>
      <x:c r="I1066" s="87" t="n">
        <x:v>10</x:v>
      </x:c>
    </x:row>
    <x:row r="1067">
      <x:c r="A1067" s="85" t="n">
        <x:v>1066</x:v>
      </x:c>
      <x:c r="B1067" s="86" t="n">
        <x:v>148</x:v>
      </x:c>
      <x:c r="C1067" s="95" t="n">
        <x:v>45496</x:v>
      </x:c>
      <x:c r="D1067" s="86" t="str">
        <x:v>Dia útil</x:v>
      </x:c>
      <x:c r="E1067" s="86" t="n">
        <x:v>8</x:v>
      </x:c>
      <x:c r="F1067" s="99" t="n">
        <x:v>0.5</x:v>
      </x:c>
      <x:c r="G1067" s="91" t="n">
        <x:v>473.5</x:v>
      </x:c>
      <x:c r="H1067" s="86" t="n">
        <x:v>1</x:v>
      </x:c>
      <x:c r="I1067" s="87" t="n">
        <x:v>2</x:v>
      </x:c>
    </x:row>
    <x:row r="1068">
      <x:c r="A1068" s="85" t="n">
        <x:v>1067</x:v>
      </x:c>
      <x:c r="B1068" s="86" t="n">
        <x:v>405</x:v>
      </x:c>
      <x:c r="C1068" s="95" t="n">
        <x:v>45640</x:v>
      </x:c>
      <x:c r="D1068" s="86" t="str">
        <x:v>Dia útil</x:v>
      </x:c>
      <x:c r="E1068" s="86" t="n">
        <x:v>8</x:v>
      </x:c>
      <x:c r="F1068" s="99" t="n">
        <x:v>0.5</x:v>
      </x:c>
      <x:c r="G1068" s="91" t="n">
        <x:v>417.31</x:v>
      </x:c>
      <x:c r="H1068" s="86" t="n">
        <x:v>1</x:v>
      </x:c>
      <x:c r="I1068" s="87" t="n">
        <x:v>10</x:v>
      </x:c>
    </x:row>
    <x:row r="1069">
      <x:c r="A1069" s="85" t="n">
        <x:v>1068</x:v>
      </x:c>
      <x:c r="B1069" s="86" t="n">
        <x:v>353</x:v>
      </x:c>
      <x:c r="C1069" s="95" t="n">
        <x:v>45609</x:v>
      </x:c>
      <x:c r="D1069" s="86" t="str">
        <x:v>Dia útil</x:v>
      </x:c>
      <x:c r="E1069" s="86" t="n">
        <x:v>3</x:v>
      </x:c>
      <x:c r="F1069" s="99" t="n">
        <x:v>0.5</x:v>
      </x:c>
      <x:c r="G1069" s="91" t="n">
        <x:v>49</x:v>
      </x:c>
      <x:c r="H1069" s="86" t="n">
        <x:v>1</x:v>
      </x:c>
      <x:c r="I1069" s="87" t="n">
        <x:v>1</x:v>
      </x:c>
    </x:row>
    <x:row r="1070">
      <x:c r="A1070" s="85" t="n">
        <x:v>1069</x:v>
      </x:c>
      <x:c r="B1070" s="86" t="n">
        <x:v>235</x:v>
      </x:c>
      <x:c r="C1070" s="95" t="n">
        <x:v>45779</x:v>
      </x:c>
      <x:c r="D1070" s="86" t="str">
        <x:v>Sábado</x:v>
      </x:c>
      <x:c r="E1070" s="86" t="n">
        <x:v>1</x:v>
      </x:c>
      <x:c r="F1070" s="99" t="n">
        <x:v>0.75</x:v>
      </x:c>
      <x:c r="G1070" s="91" t="n">
        <x:v>24.33</x:v>
      </x:c>
      <x:c r="H1070" s="86" t="n">
        <x:v>1</x:v>
      </x:c>
      <x:c r="I1070" s="87" t="n">
        <x:v>1</x:v>
      </x:c>
    </x:row>
    <x:row r="1071">
      <x:c r="A1071" s="85" t="n">
        <x:v>1070</x:v>
      </x:c>
      <x:c r="B1071" s="86" t="n">
        <x:v>165</x:v>
      </x:c>
      <x:c r="C1071" s="95" t="n">
        <x:v>45977</x:v>
      </x:c>
      <x:c r="D1071" s="86" t="str">
        <x:v>Dia útil</x:v>
      </x:c>
      <x:c r="E1071" s="86" t="n">
        <x:v>1</x:v>
      </x:c>
      <x:c r="F1071" s="99" t="n">
        <x:v>0.5</x:v>
      </x:c>
      <x:c r="G1071" s="91" t="n">
        <x:v>32.84</x:v>
      </x:c>
      <x:c r="H1071" s="86" t="n">
        <x:v>1</x:v>
      </x:c>
      <x:c r="I1071" s="87" t="n">
        <x:v>4</x:v>
      </x:c>
    </x:row>
    <x:row r="1072">
      <x:c r="A1072" s="85" t="n">
        <x:v>1071</x:v>
      </x:c>
      <x:c r="B1072" s="86" t="n">
        <x:v>238</x:v>
      </x:c>
      <x:c r="C1072" s="95" t="n">
        <x:v>45834</x:v>
      </x:c>
      <x:c r="D1072" s="86" t="str">
        <x:v>Dia útil</x:v>
      </x:c>
      <x:c r="E1072" s="86" t="n">
        <x:v>6</x:v>
      </x:c>
      <x:c r="F1072" s="99" t="n">
        <x:v>0.5</x:v>
      </x:c>
      <x:c r="G1072" s="91" t="n">
        <x:v>129.55</x:v>
      </x:c>
      <x:c r="H1072" s="86" t="n">
        <x:v>1</x:v>
      </x:c>
      <x:c r="I1072" s="87" t="n">
        <x:v>1</x:v>
      </x:c>
    </x:row>
    <x:row r="1073">
      <x:c r="A1073" s="85" t="n">
        <x:v>1072</x:v>
      </x:c>
      <x:c r="B1073" s="86" t="n">
        <x:v>311</x:v>
      </x:c>
      <x:c r="C1073" s="95" t="n">
        <x:v>45616</x:v>
      </x:c>
      <x:c r="D1073" s="86" t="str">
        <x:v>Sábado</x:v>
      </x:c>
      <x:c r="E1073" s="86" t="n">
        <x:v>3</x:v>
      </x:c>
      <x:c r="F1073" s="99" t="n">
        <x:v>0.75</x:v>
      </x:c>
      <x:c r="G1073" s="91" t="n">
        <x:v>388.11</x:v>
      </x:c>
      <x:c r="H1073" s="86" t="n">
        <x:v>0</x:v>
      </x:c>
      <x:c r="I1073" s="87" t="n">
        <x:v>5</x:v>
      </x:c>
    </x:row>
    <x:row r="1074">
      <x:c r="A1074" s="85" t="n">
        <x:v>1073</x:v>
      </x:c>
      <x:c r="B1074" s="86" t="n">
        <x:v>120</x:v>
      </x:c>
      <x:c r="C1074" s="95" t="n">
        <x:v>45752</x:v>
      </x:c>
      <x:c r="D1074" s="86" t="str">
        <x:v>Domingo/Feriado</x:v>
      </x:c>
      <x:c r="E1074" s="86" t="n">
        <x:v>1</x:v>
      </x:c>
      <x:c r="F1074" s="99" t="n">
        <x:v>1</x:v>
      </x:c>
      <x:c r="G1074" s="91" t="n">
        <x:v>87.55</x:v>
      </x:c>
      <x:c r="H1074" s="86" t="n">
        <x:v>1</x:v>
      </x:c>
      <x:c r="I1074" s="87" t="n">
        <x:v>5</x:v>
      </x:c>
    </x:row>
    <x:row r="1075">
      <x:c r="A1075" s="85" t="n">
        <x:v>1074</x:v>
      </x:c>
      <x:c r="B1075" s="86" t="n">
        <x:v>286</x:v>
      </x:c>
      <x:c r="C1075" s="95" t="n">
        <x:v>45602</x:v>
      </x:c>
      <x:c r="D1075" s="86" t="str">
        <x:v>Dia útil</x:v>
      </x:c>
      <x:c r="E1075" s="86" t="n">
        <x:v>8</x:v>
      </x:c>
      <x:c r="F1075" s="99" t="n">
        <x:v>0.5</x:v>
      </x:c>
      <x:c r="G1075" s="91" t="n">
        <x:v>160.48</x:v>
      </x:c>
      <x:c r="H1075" s="86" t="n">
        <x:v>1</x:v>
      </x:c>
      <x:c r="I1075" s="87" t="n">
        <x:v>1</x:v>
      </x:c>
    </x:row>
    <x:row r="1076">
      <x:c r="A1076" s="85" t="n">
        <x:v>1075</x:v>
      </x:c>
      <x:c r="B1076" s="86" t="n">
        <x:v>51</x:v>
      </x:c>
      <x:c r="C1076" s="95" t="n">
        <x:v>45638</x:v>
      </x:c>
      <x:c r="D1076" s="86" t="str">
        <x:v>Domingo/Feriado</x:v>
      </x:c>
      <x:c r="E1076" s="86" t="n">
        <x:v>4</x:v>
      </x:c>
      <x:c r="F1076" s="99" t="n">
        <x:v>1</x:v>
      </x:c>
      <x:c r="G1076" s="91" t="n">
        <x:v>106.76</x:v>
      </x:c>
      <x:c r="H1076" s="86" t="n">
        <x:v>1</x:v>
      </x:c>
      <x:c r="I1076" s="87" t="n">
        <x:v>1</x:v>
      </x:c>
    </x:row>
    <x:row r="1077">
      <x:c r="A1077" s="85" t="n">
        <x:v>1076</x:v>
      </x:c>
      <x:c r="B1077" s="86" t="n">
        <x:v>125</x:v>
      </x:c>
      <x:c r="C1077" s="95" t="n">
        <x:v>46005</x:v>
      </x:c>
      <x:c r="D1077" s="86" t="str">
        <x:v>Dia útil</x:v>
      </x:c>
      <x:c r="E1077" s="86" t="n">
        <x:v>8</x:v>
      </x:c>
      <x:c r="F1077" s="99" t="n">
        <x:v>0.5</x:v>
      </x:c>
      <x:c r="G1077" s="91" t="n">
        <x:v>171.84</x:v>
      </x:c>
      <x:c r="H1077" s="86" t="n">
        <x:v>1</x:v>
      </x:c>
      <x:c r="I1077" s="87" t="n">
        <x:v>1</x:v>
      </x:c>
    </x:row>
    <x:row r="1078">
      <x:c r="A1078" s="85" t="n">
        <x:v>1077</x:v>
      </x:c>
      <x:c r="B1078" s="86" t="n">
        <x:v>143</x:v>
      </x:c>
      <x:c r="C1078" s="95" t="n">
        <x:v>45963</x:v>
      </x:c>
      <x:c r="D1078" s="86" t="str">
        <x:v>Sábado</x:v>
      </x:c>
      <x:c r="E1078" s="86" t="n">
        <x:v>3</x:v>
      </x:c>
      <x:c r="F1078" s="99" t="n">
        <x:v>0.75</x:v>
      </x:c>
      <x:c r="G1078" s="91" t="n">
        <x:v>159.95</x:v>
      </x:c>
      <x:c r="H1078" s="86" t="n">
        <x:v>1</x:v>
      </x:c>
      <x:c r="I1078" s="87" t="n">
        <x:v>4</x:v>
      </x:c>
    </x:row>
    <x:row r="1079">
      <x:c r="A1079" s="85" t="n">
        <x:v>1078</x:v>
      </x:c>
      <x:c r="B1079" s="86" t="n">
        <x:v>160</x:v>
      </x:c>
      <x:c r="C1079" s="95" t="n">
        <x:v>45442</x:v>
      </x:c>
      <x:c r="D1079" s="86" t="str">
        <x:v>Dia útil</x:v>
      </x:c>
      <x:c r="E1079" s="86" t="n">
        <x:v>2</x:v>
      </x:c>
      <x:c r="F1079" s="99" t="n">
        <x:v>0.5</x:v>
      </x:c>
      <x:c r="G1079" s="91" t="n">
        <x:v>38.71</x:v>
      </x:c>
      <x:c r="H1079" s="86" t="n">
        <x:v>1</x:v>
      </x:c>
      <x:c r="I1079" s="87" t="n">
        <x:v>8</x:v>
      </x:c>
    </x:row>
    <x:row r="1080">
      <x:c r="A1080" s="85" t="n">
        <x:v>1079</x:v>
      </x:c>
      <x:c r="B1080" s="86" t="n">
        <x:v>8</x:v>
      </x:c>
      <x:c r="C1080" s="95" t="n">
        <x:v>45928</x:v>
      </x:c>
      <x:c r="D1080" s="86" t="str">
        <x:v>Dia útil</x:v>
      </x:c>
      <x:c r="E1080" s="86" t="n">
        <x:v>8</x:v>
      </x:c>
      <x:c r="F1080" s="99" t="n">
        <x:v>0.5</x:v>
      </x:c>
      <x:c r="G1080" s="91" t="n">
        <x:v>617.15</x:v>
      </x:c>
      <x:c r="H1080" s="86" t="n">
        <x:v>1</x:v>
      </x:c>
      <x:c r="I1080" s="87" t="n">
        <x:v>2</x:v>
      </x:c>
    </x:row>
    <x:row r="1081">
      <x:c r="A1081" s="85" t="n">
        <x:v>1080</x:v>
      </x:c>
      <x:c r="B1081" s="86" t="n">
        <x:v>223</x:v>
      </x:c>
      <x:c r="C1081" s="95" t="n">
        <x:v>45962</x:v>
      </x:c>
      <x:c r="D1081" s="86" t="str">
        <x:v>Dia útil</x:v>
      </x:c>
      <x:c r="E1081" s="86" t="n">
        <x:v>3</x:v>
      </x:c>
      <x:c r="F1081" s="99" t="n">
        <x:v>0.5</x:v>
      </x:c>
      <x:c r="G1081" s="91" t="n">
        <x:v>68.03</x:v>
      </x:c>
      <x:c r="H1081" s="86" t="n">
        <x:v>1</x:v>
      </x:c>
      <x:c r="I1081" s="87" t="n">
        <x:v>2</x:v>
      </x:c>
    </x:row>
    <x:row r="1082">
      <x:c r="A1082" s="85" t="n">
        <x:v>1081</x:v>
      </x:c>
      <x:c r="B1082" s="86" t="n">
        <x:v>159</x:v>
      </x:c>
      <x:c r="C1082" s="95" t="n">
        <x:v>45933</x:v>
      </x:c>
      <x:c r="D1082" s="86" t="str">
        <x:v>Dia útil</x:v>
      </x:c>
      <x:c r="E1082" s="86" t="n">
        <x:v>2</x:v>
      </x:c>
      <x:c r="F1082" s="99" t="n">
        <x:v>0.5</x:v>
      </x:c>
      <x:c r="G1082" s="91" t="n">
        <x:v>96.22</x:v>
      </x:c>
      <x:c r="H1082" s="86" t="n">
        <x:v>1</x:v>
      </x:c>
      <x:c r="I1082" s="87" t="n">
        <x:v>10</x:v>
      </x:c>
    </x:row>
    <x:row r="1083">
      <x:c r="A1083" s="85" t="n">
        <x:v>1082</x:v>
      </x:c>
      <x:c r="B1083" s="86" t="n">
        <x:v>260</x:v>
      </x:c>
      <x:c r="C1083" s="95" t="n">
        <x:v>45731</x:v>
      </x:c>
      <x:c r="D1083" s="86" t="str">
        <x:v>Dia útil</x:v>
      </x:c>
      <x:c r="E1083" s="86" t="n">
        <x:v>3</x:v>
      </x:c>
      <x:c r="F1083" s="99" t="n">
        <x:v>0.5</x:v>
      </x:c>
      <x:c r="G1083" s="91" t="n">
        <x:v>53.31</x:v>
      </x:c>
      <x:c r="H1083" s="86" t="n">
        <x:v>1</x:v>
      </x:c>
      <x:c r="I1083" s="87" t="n">
        <x:v>1</x:v>
      </x:c>
    </x:row>
    <x:row r="1084">
      <x:c r="A1084" s="85" t="n">
        <x:v>1083</x:v>
      </x:c>
      <x:c r="B1084" s="86" t="n">
        <x:v>202</x:v>
      </x:c>
      <x:c r="C1084" s="95" t="n">
        <x:v>45675</x:v>
      </x:c>
      <x:c r="D1084" s="86" t="str">
        <x:v>Sábado</x:v>
      </x:c>
      <x:c r="E1084" s="86" t="n">
        <x:v>8</x:v>
      </x:c>
      <x:c r="F1084" s="99" t="n">
        <x:v>0.75</x:v>
      </x:c>
      <x:c r="G1084" s="91" t="n">
        <x:v>492.81</x:v>
      </x:c>
      <x:c r="H1084" s="86" t="n">
        <x:v>0</x:v>
      </x:c>
      <x:c r="I1084" s="87" t="n">
        <x:v>1</x:v>
      </x:c>
    </x:row>
    <x:row r="1085">
      <x:c r="A1085" s="85" t="n">
        <x:v>1084</x:v>
      </x:c>
      <x:c r="B1085" s="86" t="n">
        <x:v>386</x:v>
      </x:c>
      <x:c r="C1085" s="95" t="n">
        <x:v>45387</x:v>
      </x:c>
      <x:c r="D1085" s="86" t="str">
        <x:v>Domingo/Feriado</x:v>
      </x:c>
      <x:c r="E1085" s="86" t="n">
        <x:v>2</x:v>
      </x:c>
      <x:c r="F1085" s="99" t="n">
        <x:v>1</x:v>
      </x:c>
      <x:c r="G1085" s="91" t="n">
        <x:v>43.39</x:v>
      </x:c>
      <x:c r="H1085" s="86" t="n">
        <x:v>1</x:v>
      </x:c>
      <x:c r="I1085" s="87" t="n">
        <x:v>1</x:v>
      </x:c>
    </x:row>
    <x:row r="1086">
      <x:c r="A1086" s="85" t="n">
        <x:v>1085</x:v>
      </x:c>
      <x:c r="B1086" s="86" t="n">
        <x:v>290</x:v>
      </x:c>
      <x:c r="C1086" s="95" t="n">
        <x:v>45828</x:v>
      </x:c>
      <x:c r="D1086" s="86" t="str">
        <x:v>Dia útil</x:v>
      </x:c>
      <x:c r="E1086" s="86" t="n">
        <x:v>1</x:v>
      </x:c>
      <x:c r="F1086" s="99" t="n">
        <x:v>0.5</x:v>
      </x:c>
      <x:c r="G1086" s="91" t="n">
        <x:v>30.67</x:v>
      </x:c>
      <x:c r="H1086" s="86" t="n">
        <x:v>1</x:v>
      </x:c>
      <x:c r="I1086" s="87" t="n">
        <x:v>3</x:v>
      </x:c>
    </x:row>
    <x:row r="1087">
      <x:c r="A1087" s="85" t="n">
        <x:v>1086</x:v>
      </x:c>
      <x:c r="B1087" s="86" t="n">
        <x:v>74</x:v>
      </x:c>
      <x:c r="C1087" s="95" t="n">
        <x:v>45884</x:v>
      </x:c>
      <x:c r="D1087" s="86" t="str">
        <x:v>Dia útil</x:v>
      </x:c>
      <x:c r="E1087" s="86" t="n">
        <x:v>4</x:v>
      </x:c>
      <x:c r="F1087" s="99" t="n">
        <x:v>0.5</x:v>
      </x:c>
      <x:c r="G1087" s="91" t="n">
        <x:v>65.17</x:v>
      </x:c>
      <x:c r="H1087" s="86" t="n">
        <x:v>1</x:v>
      </x:c>
      <x:c r="I1087" s="87" t="n">
        <x:v>1</x:v>
      </x:c>
    </x:row>
    <x:row r="1088">
      <x:c r="A1088" s="85" t="n">
        <x:v>1087</x:v>
      </x:c>
      <x:c r="B1088" s="86" t="n">
        <x:v>302</x:v>
      </x:c>
      <x:c r="C1088" s="95" t="n">
        <x:v>45460</x:v>
      </x:c>
      <x:c r="D1088" s="86" t="str">
        <x:v>Dia útil</x:v>
      </x:c>
      <x:c r="E1088" s="86" t="n">
        <x:v>2</x:v>
      </x:c>
      <x:c r="F1088" s="99" t="n">
        <x:v>0.5</x:v>
      </x:c>
      <x:c r="G1088" s="91" t="n">
        <x:v>54.81</x:v>
      </x:c>
      <x:c r="H1088" s="86" t="n">
        <x:v>1</x:v>
      </x:c>
      <x:c r="I1088" s="87" t="n">
        <x:v>3</x:v>
      </x:c>
    </x:row>
    <x:row r="1089">
      <x:c r="A1089" s="85" t="n">
        <x:v>1088</x:v>
      </x:c>
      <x:c r="B1089" s="86" t="n">
        <x:v>2</x:v>
      </x:c>
      <x:c r="C1089" s="95" t="n">
        <x:v>45296</x:v>
      </x:c>
      <x:c r="D1089" s="86" t="str">
        <x:v>Dia útil</x:v>
      </x:c>
      <x:c r="E1089" s="86" t="n">
        <x:v>6</x:v>
      </x:c>
      <x:c r="F1089" s="99" t="n">
        <x:v>0.5</x:v>
      </x:c>
      <x:c r="G1089" s="91" t="n">
        <x:v>134.27</x:v>
      </x:c>
      <x:c r="H1089" s="86" t="n">
        <x:v>1</x:v>
      </x:c>
      <x:c r="I1089" s="87" t="n">
        <x:v>3</x:v>
      </x:c>
    </x:row>
    <x:row r="1090">
      <x:c r="A1090" s="85" t="n">
        <x:v>1089</x:v>
      </x:c>
      <x:c r="B1090" s="86" t="n">
        <x:v>370</x:v>
      </x:c>
      <x:c r="C1090" s="95" t="n">
        <x:v>45972</x:v>
      </x:c>
      <x:c r="D1090" s="86" t="str">
        <x:v>Dia útil</x:v>
      </x:c>
      <x:c r="E1090" s="86" t="n">
        <x:v>8</x:v>
      </x:c>
      <x:c r="F1090" s="99" t="n">
        <x:v>0.5</x:v>
      </x:c>
      <x:c r="G1090" s="91" t="n">
        <x:v>337.9</x:v>
      </x:c>
      <x:c r="H1090" s="86" t="n">
        <x:v>1</x:v>
      </x:c>
      <x:c r="I1090" s="87" t="n">
        <x:v>4</x:v>
      </x:c>
    </x:row>
    <x:row r="1091">
      <x:c r="A1091" s="85" t="n">
        <x:v>1090</x:v>
      </x:c>
      <x:c r="B1091" s="86" t="n">
        <x:v>50</x:v>
      </x:c>
      <x:c r="C1091" s="95" t="n">
        <x:v>46001</x:v>
      </x:c>
      <x:c r="D1091" s="86" t="str">
        <x:v>Sábado</x:v>
      </x:c>
      <x:c r="E1091" s="86" t="n">
        <x:v>3</x:v>
      </x:c>
      <x:c r="F1091" s="99" t="n">
        <x:v>0.75</x:v>
      </x:c>
      <x:c r="G1091" s="91" t="n">
        <x:v>115.63</x:v>
      </x:c>
      <x:c r="H1091" s="86" t="n">
        <x:v>1</x:v>
      </x:c>
      <x:c r="I1091" s="87" t="n">
        <x:v>6</x:v>
      </x:c>
    </x:row>
    <x:row r="1092">
      <x:c r="A1092" s="85" t="n">
        <x:v>1091</x:v>
      </x:c>
      <x:c r="B1092" s="86" t="n">
        <x:v>309</x:v>
      </x:c>
      <x:c r="C1092" s="95" t="n">
        <x:v>45987</x:v>
      </x:c>
      <x:c r="D1092" s="86" t="str">
        <x:v>Dia útil</x:v>
      </x:c>
      <x:c r="E1092" s="86" t="n">
        <x:v>3</x:v>
      </x:c>
      <x:c r="F1092" s="99" t="n">
        <x:v>0.5</x:v>
      </x:c>
      <x:c r="G1092" s="91" t="n">
        <x:v>70.25</x:v>
      </x:c>
      <x:c r="H1092" s="86" t="n">
        <x:v>1</x:v>
      </x:c>
      <x:c r="I1092" s="87" t="n">
        <x:v>10</x:v>
      </x:c>
    </x:row>
    <x:row r="1093">
      <x:c r="A1093" s="85" t="n">
        <x:v>1092</x:v>
      </x:c>
      <x:c r="B1093" s="86" t="n">
        <x:v>53</x:v>
      </x:c>
      <x:c r="C1093" s="95" t="n">
        <x:v>46003</x:v>
      </x:c>
      <x:c r="D1093" s="86" t="str">
        <x:v>Dia útil</x:v>
      </x:c>
      <x:c r="E1093" s="86" t="n">
        <x:v>4</x:v>
      </x:c>
      <x:c r="F1093" s="99" t="n">
        <x:v>0.5</x:v>
      </x:c>
      <x:c r="G1093" s="91" t="n">
        <x:v>126.26</x:v>
      </x:c>
      <x:c r="H1093" s="86" t="n">
        <x:v>1</x:v>
      </x:c>
      <x:c r="I1093" s="87" t="n">
        <x:v>7</x:v>
      </x:c>
    </x:row>
    <x:row r="1094">
      <x:c r="A1094" s="85" t="n">
        <x:v>1093</x:v>
      </x:c>
      <x:c r="B1094" s="86" t="n">
        <x:v>74</x:v>
      </x:c>
      <x:c r="C1094" s="95" t="n">
        <x:v>45884</x:v>
      </x:c>
      <x:c r="D1094" s="86" t="str">
        <x:v>Dia útil</x:v>
      </x:c>
      <x:c r="E1094" s="86" t="n">
        <x:v>1</x:v>
      </x:c>
      <x:c r="F1094" s="99" t="n">
        <x:v>0.5</x:v>
      </x:c>
      <x:c r="G1094" s="91" t="n">
        <x:v>16.29</x:v>
      </x:c>
      <x:c r="H1094" s="86" t="n">
        <x:v>1</x:v>
      </x:c>
      <x:c r="I1094" s="87" t="n">
        <x:v>1</x:v>
      </x:c>
    </x:row>
    <x:row r="1095">
      <x:c r="A1095" s="85" t="n">
        <x:v>1094</x:v>
      </x:c>
      <x:c r="B1095" s="86" t="n">
        <x:v>321</x:v>
      </x:c>
      <x:c r="C1095" s="95" t="n">
        <x:v>45337</x:v>
      </x:c>
      <x:c r="D1095" s="86" t="str">
        <x:v>Dia útil</x:v>
      </x:c>
      <x:c r="E1095" s="86" t="n">
        <x:v>1</x:v>
      </x:c>
      <x:c r="F1095" s="99" t="n">
        <x:v>0.5</x:v>
      </x:c>
      <x:c r="G1095" s="91" t="n">
        <x:v>21.48</x:v>
      </x:c>
      <x:c r="H1095" s="86" t="n">
        <x:v>1</x:v>
      </x:c>
      <x:c r="I1095" s="87" t="n">
        <x:v>7</x:v>
      </x:c>
    </x:row>
    <x:row r="1096">
      <x:c r="A1096" s="85" t="n">
        <x:v>1095</x:v>
      </x:c>
      <x:c r="B1096" s="86" t="n">
        <x:v>121</x:v>
      </x:c>
      <x:c r="C1096" s="95" t="n">
        <x:v>45641</x:v>
      </x:c>
      <x:c r="D1096" s="86" t="str">
        <x:v>Dia útil</x:v>
      </x:c>
      <x:c r="E1096" s="86" t="n">
        <x:v>4</x:v>
      </x:c>
      <x:c r="F1096" s="99" t="n">
        <x:v>0.5</x:v>
      </x:c>
      <x:c r="G1096" s="91" t="n">
        <x:v>129.63</x:v>
      </x:c>
      <x:c r="H1096" s="86" t="n">
        <x:v>1</x:v>
      </x:c>
      <x:c r="I1096" s="87" t="n">
        <x:v>4</x:v>
      </x:c>
    </x:row>
    <x:row r="1097">
      <x:c r="A1097" s="85" t="n">
        <x:v>1096</x:v>
      </x:c>
      <x:c r="B1097" s="86" t="n">
        <x:v>101</x:v>
      </x:c>
      <x:c r="C1097" s="95" t="n">
        <x:v>45872</x:v>
      </x:c>
      <x:c r="D1097" s="86" t="str">
        <x:v>Dia útil</x:v>
      </x:c>
      <x:c r="E1097" s="86" t="n">
        <x:v>2</x:v>
      </x:c>
      <x:c r="F1097" s="99" t="n">
        <x:v>0.5</x:v>
      </x:c>
      <x:c r="G1097" s="91" t="n">
        <x:v>31.46</x:v>
      </x:c>
      <x:c r="H1097" s="86" t="n">
        <x:v>1</x:v>
      </x:c>
      <x:c r="I1097" s="87" t="n">
        <x:v>1</x:v>
      </x:c>
    </x:row>
    <x:row r="1098">
      <x:c r="A1098" s="85" t="n">
        <x:v>1097</x:v>
      </x:c>
      <x:c r="B1098" s="86" t="n">
        <x:v>75</x:v>
      </x:c>
      <x:c r="C1098" s="95" t="n">
        <x:v>45665</x:v>
      </x:c>
      <x:c r="D1098" s="86" t="str">
        <x:v>Domingo/Feriado</x:v>
      </x:c>
      <x:c r="E1098" s="86" t="n">
        <x:v>2</x:v>
      </x:c>
      <x:c r="F1098" s="99" t="n">
        <x:v>1</x:v>
      </x:c>
      <x:c r="G1098" s="91" t="n">
        <x:v>141.15</x:v>
      </x:c>
      <x:c r="H1098" s="86" t="n">
        <x:v>1</x:v>
      </x:c>
      <x:c r="I1098" s="87" t="n">
        <x:v>10</x:v>
      </x:c>
    </x:row>
    <x:row r="1099">
      <x:c r="A1099" s="85" t="n">
        <x:v>1098</x:v>
      </x:c>
      <x:c r="B1099" s="86" t="n">
        <x:v>190</x:v>
      </x:c>
      <x:c r="C1099" s="95" t="n">
        <x:v>45914</x:v>
      </x:c>
      <x:c r="D1099" s="86" t="str">
        <x:v>Dia útil</x:v>
      </x:c>
      <x:c r="E1099" s="86" t="n">
        <x:v>6</x:v>
      </x:c>
      <x:c r="F1099" s="99" t="n">
        <x:v>0.5</x:v>
      </x:c>
      <x:c r="G1099" s="91" t="n">
        <x:v>275.15</x:v>
      </x:c>
      <x:c r="H1099" s="86" t="n">
        <x:v>1</x:v>
      </x:c>
      <x:c r="I1099" s="87" t="n">
        <x:v>9</x:v>
      </x:c>
    </x:row>
    <x:row r="1100">
      <x:c r="A1100" s="85" t="n">
        <x:v>1099</x:v>
      </x:c>
      <x:c r="B1100" s="86" t="n">
        <x:v>205</x:v>
      </x:c>
      <x:c r="C1100" s="95" t="n">
        <x:v>46009</x:v>
      </x:c>
      <x:c r="D1100" s="86" t="str">
        <x:v>Dia útil</x:v>
      </x:c>
      <x:c r="E1100" s="86" t="n">
        <x:v>8</x:v>
      </x:c>
      <x:c r="F1100" s="99" t="n">
        <x:v>0.5</x:v>
      </x:c>
      <x:c r="G1100" s="91" t="n">
        <x:v>233.7</x:v>
      </x:c>
      <x:c r="H1100" s="86" t="n">
        <x:v>1</x:v>
      </x:c>
      <x:c r="I1100" s="87" t="n">
        <x:v>4</x:v>
      </x:c>
    </x:row>
    <x:row r="1101">
      <x:c r="A1101" s="85" t="n">
        <x:v>1100</x:v>
      </x:c>
      <x:c r="B1101" s="86" t="n">
        <x:v>219</x:v>
      </x:c>
      <x:c r="C1101" s="95" t="n">
        <x:v>45425</x:v>
      </x:c>
      <x:c r="D1101" s="86" t="str">
        <x:v>Dia útil</x:v>
      </x:c>
      <x:c r="E1101" s="86" t="n">
        <x:v>2</x:v>
      </x:c>
      <x:c r="F1101" s="99" t="n">
        <x:v>0.5</x:v>
      </x:c>
      <x:c r="G1101" s="91" t="n">
        <x:v>128.65</x:v>
      </x:c>
      <x:c r="H1101" s="86" t="n">
        <x:v>1</x:v>
      </x:c>
      <x:c r="I1101" s="87" t="n">
        <x:v>5</x:v>
      </x:c>
    </x:row>
    <x:row r="1102">
      <x:c r="A1102" s="85" t="n">
        <x:v>1101</x:v>
      </x:c>
      <x:c r="B1102" s="86" t="n">
        <x:v>158</x:v>
      </x:c>
      <x:c r="C1102" s="95" t="n">
        <x:v>45567</x:v>
      </x:c>
      <x:c r="D1102" s="86" t="str">
        <x:v>Sábado</x:v>
      </x:c>
      <x:c r="E1102" s="86" t="n">
        <x:v>3</x:v>
      </x:c>
      <x:c r="F1102" s="99" t="n">
        <x:v>0.75</x:v>
      </x:c>
      <x:c r="G1102" s="91" t="n">
        <x:v>151.6</x:v>
      </x:c>
      <x:c r="H1102" s="86" t="n">
        <x:v>1</x:v>
      </x:c>
      <x:c r="I1102" s="87" t="n">
        <x:v>10</x:v>
      </x:c>
    </x:row>
    <x:row r="1103">
      <x:c r="A1103" s="85" t="n">
        <x:v>1102</x:v>
      </x:c>
      <x:c r="B1103" s="86" t="n">
        <x:v>184</x:v>
      </x:c>
      <x:c r="C1103" s="95" t="n">
        <x:v>45937</x:v>
      </x:c>
      <x:c r="D1103" s="86" t="str">
        <x:v>Dia útil</x:v>
      </x:c>
      <x:c r="E1103" s="86" t="n">
        <x:v>1</x:v>
      </x:c>
      <x:c r="F1103" s="99" t="n">
        <x:v>0.5</x:v>
      </x:c>
      <x:c r="G1103" s="91" t="n">
        <x:v>15.41</x:v>
      </x:c>
      <x:c r="H1103" s="86" t="n">
        <x:v>1</x:v>
      </x:c>
      <x:c r="I1103" s="87" t="n">
        <x:v>1</x:v>
      </x:c>
    </x:row>
    <x:row r="1104">
      <x:c r="A1104" s="85" t="n">
        <x:v>1103</x:v>
      </x:c>
      <x:c r="B1104" s="86" t="n">
        <x:v>182</x:v>
      </x:c>
      <x:c r="C1104" s="95" t="n">
        <x:v>45351</x:v>
      </x:c>
      <x:c r="D1104" s="86" t="str">
        <x:v>Dia útil</x:v>
      </x:c>
      <x:c r="E1104" s="86" t="n">
        <x:v>1</x:v>
      </x:c>
      <x:c r="F1104" s="99" t="n">
        <x:v>0.5</x:v>
      </x:c>
      <x:c r="G1104" s="91" t="n">
        <x:v>20.93</x:v>
      </x:c>
      <x:c r="H1104" s="86" t="n">
        <x:v>1</x:v>
      </x:c>
      <x:c r="I1104" s="87" t="n">
        <x:v>1</x:v>
      </x:c>
    </x:row>
    <x:row r="1105">
      <x:c r="A1105" s="85" t="n">
        <x:v>1104</x:v>
      </x:c>
      <x:c r="B1105" s="86" t="n">
        <x:v>152</x:v>
      </x:c>
      <x:c r="C1105" s="95" t="n">
        <x:v>45934</x:v>
      </x:c>
      <x:c r="D1105" s="86" t="str">
        <x:v>Domingo/Feriado</x:v>
      </x:c>
      <x:c r="E1105" s="86" t="n">
        <x:v>3</x:v>
      </x:c>
      <x:c r="F1105" s="99" t="n">
        <x:v>1</x:v>
      </x:c>
      <x:c r="G1105" s="91" t="n">
        <x:v>92.29</x:v>
      </x:c>
      <x:c r="H1105" s="86" t="n">
        <x:v>1</x:v>
      </x:c>
      <x:c r="I1105" s="87" t="n">
        <x:v>1</x:v>
      </x:c>
    </x:row>
    <x:row r="1106">
      <x:c r="A1106" s="85" t="n">
        <x:v>1105</x:v>
      </x:c>
      <x:c r="B1106" s="86" t="n">
        <x:v>213</x:v>
      </x:c>
      <x:c r="C1106" s="95" t="n">
        <x:v>45735</x:v>
      </x:c>
      <x:c r="D1106" s="86" t="str">
        <x:v>Sábado</x:v>
      </x:c>
      <x:c r="E1106" s="86" t="n">
        <x:v>4</x:v>
      </x:c>
      <x:c r="F1106" s="99" t="n">
        <x:v>0.75</x:v>
      </x:c>
      <x:c r="G1106" s="91" t="n">
        <x:v>113.31</x:v>
      </x:c>
      <x:c r="H1106" s="86" t="n">
        <x:v>1</x:v>
      </x:c>
      <x:c r="I1106" s="87" t="n">
        <x:v>2</x:v>
      </x:c>
    </x:row>
    <x:row r="1107">
      <x:c r="A1107" s="85" t="n">
        <x:v>1106</x:v>
      </x:c>
      <x:c r="B1107" s="86" t="n">
        <x:v>386</x:v>
      </x:c>
      <x:c r="C1107" s="95" t="n">
        <x:v>45322</x:v>
      </x:c>
      <x:c r="D1107" s="86" t="str">
        <x:v>Sábado</x:v>
      </x:c>
      <x:c r="E1107" s="86" t="n">
        <x:v>2</x:v>
      </x:c>
      <x:c r="F1107" s="99" t="n">
        <x:v>0.75</x:v>
      </x:c>
      <x:c r="G1107" s="91" t="n">
        <x:v>37.96</x:v>
      </x:c>
      <x:c r="H1107" s="86" t="n">
        <x:v>1</x:v>
      </x:c>
      <x:c r="I1107" s="87" t="n">
        <x:v>1</x:v>
      </x:c>
    </x:row>
    <x:row r="1108">
      <x:c r="A1108" s="85" t="n">
        <x:v>1107</x:v>
      </x:c>
      <x:c r="B1108" s="86" t="n">
        <x:v>102</x:v>
      </x:c>
      <x:c r="C1108" s="95" t="n">
        <x:v>45512</x:v>
      </x:c>
      <x:c r="D1108" s="86" t="str">
        <x:v>Dia útil</x:v>
      </x:c>
      <x:c r="E1108" s="86" t="n">
        <x:v>6</x:v>
      </x:c>
      <x:c r="F1108" s="99" t="n">
        <x:v>0.5</x:v>
      </x:c>
      <x:c r="G1108" s="91" t="n">
        <x:v>262.2</x:v>
      </x:c>
      <x:c r="H1108" s="86" t="n">
        <x:v>1</x:v>
      </x:c>
      <x:c r="I1108" s="87" t="n">
        <x:v>4</x:v>
      </x:c>
    </x:row>
    <x:row r="1109">
      <x:c r="A1109" s="85" t="n">
        <x:v>1108</x:v>
      </x:c>
      <x:c r="B1109" s="86" t="n">
        <x:v>110</x:v>
      </x:c>
      <x:c r="C1109" s="95" t="n">
        <x:v>45612</x:v>
      </x:c>
      <x:c r="D1109" s="86" t="str">
        <x:v>Domingo/Feriado</x:v>
      </x:c>
      <x:c r="E1109" s="86" t="n">
        <x:v>4</x:v>
      </x:c>
      <x:c r="F1109" s="99" t="n">
        <x:v>1</x:v>
      </x:c>
      <x:c r="G1109" s="91" t="n">
        <x:v>677.37</x:v>
      </x:c>
      <x:c r="H1109" s="86" t="n">
        <x:v>1</x:v>
      </x:c>
      <x:c r="I1109" s="87" t="n">
        <x:v>8</x:v>
      </x:c>
    </x:row>
    <x:row r="1110">
      <x:c r="A1110" s="85" t="n">
        <x:v>1109</x:v>
      </x:c>
      <x:c r="B1110" s="86" t="n">
        <x:v>418</x:v>
      </x:c>
      <x:c r="C1110" s="95" t="n">
        <x:v>45851</x:v>
      </x:c>
      <x:c r="D1110" s="86" t="str">
        <x:v>Sábado</x:v>
      </x:c>
      <x:c r="E1110" s="86" t="n">
        <x:v>1</x:v>
      </x:c>
      <x:c r="F1110" s="99" t="n">
        <x:v>0.75</x:v>
      </x:c>
      <x:c r="G1110" s="91" t="n">
        <x:v>49.33</x:v>
      </x:c>
      <x:c r="H1110" s="86" t="n">
        <x:v>1</x:v>
      </x:c>
      <x:c r="I1110" s="87" t="n">
        <x:v>10</x:v>
      </x:c>
    </x:row>
    <x:row r="1111">
      <x:c r="A1111" s="85" t="n">
        <x:v>1110</x:v>
      </x:c>
      <x:c r="B1111" s="86" t="n">
        <x:v>94</x:v>
      </x:c>
      <x:c r="C1111" s="95" t="n">
        <x:v>45863</x:v>
      </x:c>
      <x:c r="D1111" s="86" t="str">
        <x:v>Dia útil</x:v>
      </x:c>
      <x:c r="E1111" s="86" t="n">
        <x:v>8</x:v>
      </x:c>
      <x:c r="F1111" s="99" t="n">
        <x:v>0.5</x:v>
      </x:c>
      <x:c r="G1111" s="91" t="n">
        <x:v>834.23</x:v>
      </x:c>
      <x:c r="H1111" s="86" t="n">
        <x:v>1</x:v>
      </x:c>
      <x:c r="I1111" s="87" t="n">
        <x:v>5</x:v>
      </x:c>
    </x:row>
    <x:row r="1112">
      <x:c r="A1112" s="85" t="n">
        <x:v>1111</x:v>
      </x:c>
      <x:c r="B1112" s="86" t="n">
        <x:v>259</x:v>
      </x:c>
      <x:c r="C1112" s="95" t="n">
        <x:v>45667</x:v>
      </x:c>
      <x:c r="D1112" s="86" t="str">
        <x:v>Dia útil</x:v>
      </x:c>
      <x:c r="E1112" s="86" t="n">
        <x:v>1</x:v>
      </x:c>
      <x:c r="F1112" s="99" t="n">
        <x:v>0.5</x:v>
      </x:c>
      <x:c r="G1112" s="91" t="n">
        <x:v>35.22</x:v>
      </x:c>
      <x:c r="H1112" s="86" t="n">
        <x:v>1</x:v>
      </x:c>
      <x:c r="I1112" s="87" t="n">
        <x:v>4</x:v>
      </x:c>
    </x:row>
    <x:row r="1113">
      <x:c r="A1113" s="85" t="n">
        <x:v>1112</x:v>
      </x:c>
      <x:c r="B1113" s="86" t="n">
        <x:v>78</x:v>
      </x:c>
      <x:c r="C1113" s="95" t="n">
        <x:v>46019</x:v>
      </x:c>
      <x:c r="D1113" s="86" t="str">
        <x:v>Domingo/Feriado</x:v>
      </x:c>
      <x:c r="E1113" s="86" t="n">
        <x:v>2</x:v>
      </x:c>
      <x:c r="F1113" s="99" t="n">
        <x:v>1</x:v>
      </x:c>
      <x:c r="G1113" s="91" t="n">
        <x:v>125.8</x:v>
      </x:c>
      <x:c r="H1113" s="86" t="n">
        <x:v>1</x:v>
      </x:c>
      <x:c r="I1113" s="87" t="n">
        <x:v>1</x:v>
      </x:c>
    </x:row>
    <x:row r="1114">
      <x:c r="A1114" s="85" t="n">
        <x:v>1113</x:v>
      </x:c>
      <x:c r="B1114" s="86" t="n">
        <x:v>180</x:v>
      </x:c>
      <x:c r="C1114" s="95" t="n">
        <x:v>45977</x:v>
      </x:c>
      <x:c r="D1114" s="86" t="str">
        <x:v>Dia útil</x:v>
      </x:c>
      <x:c r="E1114" s="86" t="n">
        <x:v>3</x:v>
      </x:c>
      <x:c r="F1114" s="99" t="n">
        <x:v>0.5</x:v>
      </x:c>
      <x:c r="G1114" s="91" t="n">
        <x:v>132.18</x:v>
      </x:c>
      <x:c r="H1114" s="86" t="n">
        <x:v>1</x:v>
      </x:c>
      <x:c r="I1114" s="87" t="n">
        <x:v>10</x:v>
      </x:c>
    </x:row>
    <x:row r="1115">
      <x:c r="A1115" s="85" t="n">
        <x:v>1114</x:v>
      </x:c>
      <x:c r="B1115" s="86" t="n">
        <x:v>1</x:v>
      </x:c>
      <x:c r="C1115" s="95" t="n">
        <x:v>45627</x:v>
      </x:c>
      <x:c r="D1115" s="86" t="str">
        <x:v>Sábado</x:v>
      </x:c>
      <x:c r="E1115" s="86" t="n">
        <x:v>4</x:v>
      </x:c>
      <x:c r="F1115" s="99" t="n">
        <x:v>0.75</x:v>
      </x:c>
      <x:c r="G1115" s="91" t="n">
        <x:v>153.44</x:v>
      </x:c>
      <x:c r="H1115" s="86" t="n">
        <x:v>1</x:v>
      </x:c>
      <x:c r="I1115" s="87" t="n">
        <x:v>2</x:v>
      </x:c>
    </x:row>
    <x:row r="1116">
      <x:c r="A1116" s="85" t="n">
        <x:v>1115</x:v>
      </x:c>
      <x:c r="B1116" s="86" t="n">
        <x:v>249</x:v>
      </x:c>
      <x:c r="C1116" s="95" t="n">
        <x:v>45506</x:v>
      </x:c>
      <x:c r="D1116" s="86" t="str">
        <x:v>Dia útil</x:v>
      </x:c>
      <x:c r="E1116" s="86" t="n">
        <x:v>6</x:v>
      </x:c>
      <x:c r="F1116" s="99" t="n">
        <x:v>0.5</x:v>
      </x:c>
      <x:c r="G1116" s="91" t="n">
        <x:v>304.09</x:v>
      </x:c>
      <x:c r="H1116" s="86" t="n">
        <x:v>1</x:v>
      </x:c>
      <x:c r="I1116" s="87" t="n">
        <x:v>5</x:v>
      </x:c>
    </x:row>
    <x:row r="1117">
      <x:c r="A1117" s="85" t="n">
        <x:v>1116</x:v>
      </x:c>
      <x:c r="B1117" s="86" t="n">
        <x:v>389</x:v>
      </x:c>
      <x:c r="C1117" s="95" t="n">
        <x:v>45658</x:v>
      </x:c>
      <x:c r="D1117" s="86" t="str">
        <x:v>Sábado</x:v>
      </x:c>
      <x:c r="E1117" s="86" t="n">
        <x:v>1</x:v>
      </x:c>
      <x:c r="F1117" s="99" t="n">
        <x:v>0.75</x:v>
      </x:c>
      <x:c r="G1117" s="91" t="n">
        <x:v>31.54</x:v>
      </x:c>
      <x:c r="H1117" s="86" t="n">
        <x:v>1</x:v>
      </x:c>
      <x:c r="I1117" s="87" t="n">
        <x:v>3</x:v>
      </x:c>
    </x:row>
    <x:row r="1118">
      <x:c r="A1118" s="85" t="n">
        <x:v>1117</x:v>
      </x:c>
      <x:c r="B1118" s="86" t="n">
        <x:v>317</x:v>
      </x:c>
      <x:c r="C1118" s="95" t="n">
        <x:v>45981</x:v>
      </x:c>
      <x:c r="D1118" s="86" t="str">
        <x:v>Dia útil</x:v>
      </x:c>
      <x:c r="E1118" s="86" t="n">
        <x:v>8</x:v>
      </x:c>
      <x:c r="F1118" s="99" t="n">
        <x:v>0.5</x:v>
      </x:c>
      <x:c r="G1118" s="91" t="n">
        <x:v>400.33</x:v>
      </x:c>
      <x:c r="H1118" s="86" t="n">
        <x:v>1</x:v>
      </x:c>
      <x:c r="I1118" s="87" t="n">
        <x:v>5</x:v>
      </x:c>
    </x:row>
    <x:row r="1119">
      <x:c r="A1119" s="85" t="n">
        <x:v>1118</x:v>
      </x:c>
      <x:c r="B1119" s="86" t="n">
        <x:v>377</x:v>
      </x:c>
      <x:c r="C1119" s="95" t="n">
        <x:v>46009</x:v>
      </x:c>
      <x:c r="D1119" s="86" t="str">
        <x:v>Dia útil</x:v>
      </x:c>
      <x:c r="E1119" s="86" t="n">
        <x:v>2</x:v>
      </x:c>
      <x:c r="F1119" s="99" t="n">
        <x:v>0.5</x:v>
      </x:c>
      <x:c r="G1119" s="91" t="n">
        <x:v>88.96</x:v>
      </x:c>
      <x:c r="H1119" s="86" t="n">
        <x:v>1</x:v>
      </x:c>
      <x:c r="I1119" s="87" t="n">
        <x:v>7</x:v>
      </x:c>
    </x:row>
    <x:row r="1120">
      <x:c r="A1120" s="85" t="n">
        <x:v>1119</x:v>
      </x:c>
      <x:c r="B1120" s="86" t="n">
        <x:v>19</x:v>
      </x:c>
      <x:c r="C1120" s="95" t="n">
        <x:v>45878</x:v>
      </x:c>
      <x:c r="D1120" s="86" t="str">
        <x:v>Dia útil</x:v>
      </x:c>
      <x:c r="E1120" s="86" t="n">
        <x:v>3</x:v>
      </x:c>
      <x:c r="F1120" s="99" t="n">
        <x:v>0.5</x:v>
      </x:c>
      <x:c r="G1120" s="91" t="n">
        <x:v>130.61</x:v>
      </x:c>
      <x:c r="H1120" s="86" t="n">
        <x:v>1</x:v>
      </x:c>
      <x:c r="I1120" s="87" t="n">
        <x:v>7</x:v>
      </x:c>
    </x:row>
    <x:row r="1121">
      <x:c r="A1121" s="85" t="n">
        <x:v>1120</x:v>
      </x:c>
      <x:c r="B1121" s="86" t="n">
        <x:v>157</x:v>
      </x:c>
      <x:c r="C1121" s="95" t="n">
        <x:v>45370</x:v>
      </x:c>
      <x:c r="D1121" s="86" t="str">
        <x:v>Dia útil</x:v>
      </x:c>
      <x:c r="E1121" s="86" t="n">
        <x:v>1</x:v>
      </x:c>
      <x:c r="F1121" s="99" t="n">
        <x:v>0.5</x:v>
      </x:c>
      <x:c r="G1121" s="91" t="n">
        <x:v>33.26</x:v>
      </x:c>
      <x:c r="H1121" s="86" t="n">
        <x:v>1</x:v>
      </x:c>
      <x:c r="I1121" s="87" t="n">
        <x:v>7</x:v>
      </x:c>
    </x:row>
    <x:row r="1122">
      <x:c r="A1122" s="85" t="n">
        <x:v>1121</x:v>
      </x:c>
      <x:c r="B1122" s="86" t="n">
        <x:v>207</x:v>
      </x:c>
      <x:c r="C1122" s="95" t="n">
        <x:v>45926</x:v>
      </x:c>
      <x:c r="D1122" s="86" t="str">
        <x:v>Dia útil</x:v>
      </x:c>
      <x:c r="E1122" s="86" t="n">
        <x:v>8</x:v>
      </x:c>
      <x:c r="F1122" s="99" t="n">
        <x:v>0.5</x:v>
      </x:c>
      <x:c r="G1122" s="91" t="n">
        <x:v>164.93</x:v>
      </x:c>
      <x:c r="H1122" s="86" t="n">
        <x:v>0</x:v>
      </x:c>
      <x:c r="I1122" s="87" t="n">
        <x:v>1</x:v>
      </x:c>
    </x:row>
    <x:row r="1123">
      <x:c r="A1123" s="85" t="n">
        <x:v>1122</x:v>
      </x:c>
      <x:c r="B1123" s="86" t="n">
        <x:v>99</x:v>
      </x:c>
      <x:c r="C1123" s="95" t="n">
        <x:v>45972</x:v>
      </x:c>
      <x:c r="D1123" s="86" t="str">
        <x:v>Dia útil</x:v>
      </x:c>
      <x:c r="E1123" s="86" t="n">
        <x:v>4</x:v>
      </x:c>
      <x:c r="F1123" s="99" t="n">
        <x:v>0.5</x:v>
      </x:c>
      <x:c r="G1123" s="91" t="n">
        <x:v>89.36</x:v>
      </x:c>
      <x:c r="H1123" s="86" t="n">
        <x:v>1</x:v>
      </x:c>
      <x:c r="I1123" s="87" t="n">
        <x:v>2</x:v>
      </x:c>
    </x:row>
    <x:row r="1124">
      <x:c r="A1124" s="85" t="n">
        <x:v>1123</x:v>
      </x:c>
      <x:c r="B1124" s="86" t="n">
        <x:v>2</x:v>
      </x:c>
      <x:c r="C1124" s="95" t="n">
        <x:v>45684</x:v>
      </x:c>
      <x:c r="D1124" s="86" t="str">
        <x:v>Dia útil</x:v>
      </x:c>
      <x:c r="E1124" s="86" t="n">
        <x:v>3</x:v>
      </x:c>
      <x:c r="F1124" s="99" t="n">
        <x:v>0.5</x:v>
      </x:c>
      <x:c r="G1124" s="91" t="n">
        <x:v>67.14</x:v>
      </x:c>
      <x:c r="H1124" s="86" t="n">
        <x:v>1</x:v>
      </x:c>
      <x:c r="I1124" s="87" t="n">
        <x:v>3</x:v>
      </x:c>
    </x:row>
    <x:row r="1125">
      <x:c r="A1125" s="85" t="n">
        <x:v>1124</x:v>
      </x:c>
      <x:c r="B1125" s="86" t="n">
        <x:v>339</x:v>
      </x:c>
      <x:c r="C1125" s="95" t="n">
        <x:v>45650</x:v>
      </x:c>
      <x:c r="D1125" s="86" t="str">
        <x:v>Domingo/Feriado</x:v>
      </x:c>
      <x:c r="E1125" s="86" t="n">
        <x:v>3</x:v>
      </x:c>
      <x:c r="F1125" s="99" t="n">
        <x:v>1</x:v>
      </x:c>
      <x:c r="G1125" s="91" t="n">
        <x:v>173.16</x:v>
      </x:c>
      <x:c r="H1125" s="86" t="n">
        <x:v>1</x:v>
      </x:c>
      <x:c r="I1125" s="87" t="n">
        <x:v>7</x:v>
      </x:c>
    </x:row>
    <x:row r="1126">
      <x:c r="A1126" s="85" t="n">
        <x:v>1125</x:v>
      </x:c>
      <x:c r="B1126" s="86" t="n">
        <x:v>193</x:v>
      </x:c>
      <x:c r="C1126" s="95" t="n">
        <x:v>45873</x:v>
      </x:c>
      <x:c r="D1126" s="86" t="str">
        <x:v>Sábado</x:v>
      </x:c>
      <x:c r="E1126" s="86" t="n">
        <x:v>4</x:v>
      </x:c>
      <x:c r="F1126" s="99" t="n">
        <x:v>0.75</x:v>
      </x:c>
      <x:c r="G1126" s="91" t="n">
        <x:v>194.79</x:v>
      </x:c>
      <x:c r="H1126" s="86" t="n">
        <x:v>1</x:v>
      </x:c>
      <x:c r="I1126" s="87" t="n">
        <x:v>6</x:v>
      </x:c>
    </x:row>
    <x:row r="1127">
      <x:c r="A1127" s="85" t="n">
        <x:v>1126</x:v>
      </x:c>
      <x:c r="B1127" s="86" t="n">
        <x:v>403</x:v>
      </x:c>
      <x:c r="C1127" s="95" t="n">
        <x:v>45292</x:v>
      </x:c>
      <x:c r="D1127" s="86" t="str">
        <x:v>Dia útil</x:v>
      </x:c>
      <x:c r="E1127" s="86" t="n">
        <x:v>4</x:v>
      </x:c>
      <x:c r="F1127" s="99" t="n">
        <x:v>0.5</x:v>
      </x:c>
      <x:c r="G1127" s="91" t="n">
        <x:v>138.07</x:v>
      </x:c>
      <x:c r="H1127" s="86" t="n">
        <x:v>1</x:v>
      </x:c>
      <x:c r="I1127" s="87" t="n">
        <x:v>6</x:v>
      </x:c>
    </x:row>
    <x:row r="1128">
      <x:c r="A1128" s="85" t="n">
        <x:v>1127</x:v>
      </x:c>
      <x:c r="B1128" s="86" t="n">
        <x:v>345</x:v>
      </x:c>
      <x:c r="C1128" s="95" t="n">
        <x:v>45911</x:v>
      </x:c>
      <x:c r="D1128" s="86" t="str">
        <x:v>Dia útil</x:v>
      </x:c>
      <x:c r="E1128" s="86" t="n">
        <x:v>4</x:v>
      </x:c>
      <x:c r="F1128" s="99" t="n">
        <x:v>0.5</x:v>
      </x:c>
      <x:c r="G1128" s="91" t="n">
        <x:v>102.93</x:v>
      </x:c>
      <x:c r="H1128" s="86" t="n">
        <x:v>1</x:v>
      </x:c>
      <x:c r="I1128" s="87" t="n">
        <x:v>3</x:v>
      </x:c>
    </x:row>
    <x:row r="1129">
      <x:c r="A1129" s="85" t="n">
        <x:v>1128</x:v>
      </x:c>
      <x:c r="B1129" s="86" t="n">
        <x:v>263</x:v>
      </x:c>
      <x:c r="C1129" s="95" t="n">
        <x:v>45676</x:v>
      </x:c>
      <x:c r="D1129" s="86" t="str">
        <x:v>Dia útil</x:v>
      </x:c>
      <x:c r="E1129" s="86" t="n">
        <x:v>8</x:v>
      </x:c>
      <x:c r="F1129" s="99" t="n">
        <x:v>0.5</x:v>
      </x:c>
      <x:c r="G1129" s="91" t="n">
        <x:v>307.07</x:v>
      </x:c>
      <x:c r="H1129" s="86" t="n">
        <x:v>1</x:v>
      </x:c>
      <x:c r="I1129" s="87" t="n">
        <x:v>10</x:v>
      </x:c>
    </x:row>
    <x:row r="1130">
      <x:c r="A1130" s="85" t="n">
        <x:v>1129</x:v>
      </x:c>
      <x:c r="B1130" s="86" t="n">
        <x:v>137</x:v>
      </x:c>
      <x:c r="C1130" s="95" t="n">
        <x:v>45961</x:v>
      </x:c>
      <x:c r="D1130" s="86" t="str">
        <x:v>Dia útil</x:v>
      </x:c>
      <x:c r="E1130" s="86" t="n">
        <x:v>1</x:v>
      </x:c>
      <x:c r="F1130" s="99" t="n">
        <x:v>0.5</x:v>
      </x:c>
      <x:c r="G1130" s="91" t="n">
        <x:v>52.41</x:v>
      </x:c>
      <x:c r="H1130" s="86" t="n">
        <x:v>1</x:v>
      </x:c>
      <x:c r="I1130" s="87" t="n">
        <x:v>10</x:v>
      </x:c>
    </x:row>
    <x:row r="1131">
      <x:c r="A1131" s="85" t="n">
        <x:v>1130</x:v>
      </x:c>
      <x:c r="B1131" s="86" t="n">
        <x:v>145</x:v>
      </x:c>
      <x:c r="C1131" s="95" t="n">
        <x:v>45907</x:v>
      </x:c>
      <x:c r="D1131" s="86" t="str">
        <x:v>Domingo/Feriado</x:v>
      </x:c>
      <x:c r="E1131" s="86" t="n">
        <x:v>6</x:v>
      </x:c>
      <x:c r="F1131" s="99" t="n">
        <x:v>1</x:v>
      </x:c>
      <x:c r="G1131" s="91" t="n">
        <x:v>231.21</x:v>
      </x:c>
      <x:c r="H1131" s="86" t="n">
        <x:v>1</x:v>
      </x:c>
      <x:c r="I1131" s="87" t="n">
        <x:v>2</x:v>
      </x:c>
    </x:row>
    <x:row r="1132">
      <x:c r="A1132" s="85" t="n">
        <x:v>1131</x:v>
      </x:c>
      <x:c r="B1132" s="86" t="n">
        <x:v>129</x:v>
      </x:c>
      <x:c r="C1132" s="95" t="n">
        <x:v>46003</x:v>
      </x:c>
      <x:c r="D1132" s="86" t="str">
        <x:v>Dia útil</x:v>
      </x:c>
      <x:c r="E1132" s="86" t="n">
        <x:v>2</x:v>
      </x:c>
      <x:c r="F1132" s="99" t="n">
        <x:v>0.5</x:v>
      </x:c>
      <x:c r="G1132" s="91" t="n">
        <x:v>47.27</x:v>
      </x:c>
      <x:c r="H1132" s="86" t="n">
        <x:v>1</x:v>
      </x:c>
      <x:c r="I1132" s="87" t="n">
        <x:v>1</x:v>
      </x:c>
    </x:row>
    <x:row r="1133">
      <x:c r="A1133" s="85" t="n">
        <x:v>1132</x:v>
      </x:c>
      <x:c r="B1133" s="86" t="n">
        <x:v>149</x:v>
      </x:c>
      <x:c r="C1133" s="95" t="n">
        <x:v>45949</x:v>
      </x:c>
      <x:c r="D1133" s="86" t="str">
        <x:v>Dia útil</x:v>
      </x:c>
      <x:c r="E1133" s="86" t="n">
        <x:v>6</x:v>
      </x:c>
      <x:c r="F1133" s="99" t="n">
        <x:v>0.5</x:v>
      </x:c>
      <x:c r="G1133" s="91" t="n">
        <x:v>299.85</x:v>
      </x:c>
      <x:c r="H1133" s="86" t="n">
        <x:v>1</x:v>
      </x:c>
      <x:c r="I1133" s="87" t="n">
        <x:v>6</x:v>
      </x:c>
    </x:row>
    <x:row r="1134">
      <x:c r="A1134" s="85" t="n">
        <x:v>1133</x:v>
      </x:c>
      <x:c r="B1134" s="86" t="n">
        <x:v>222</x:v>
      </x:c>
      <x:c r="C1134" s="95" t="n">
        <x:v>45632</x:v>
      </x:c>
      <x:c r="D1134" s="86" t="str">
        <x:v>Dia útil</x:v>
      </x:c>
      <x:c r="E1134" s="86" t="n">
        <x:v>2</x:v>
      </x:c>
      <x:c r="F1134" s="99" t="n">
        <x:v>0.5</x:v>
      </x:c>
      <x:c r="G1134" s="91" t="n">
        <x:v>95.81</x:v>
      </x:c>
      <x:c r="H1134" s="86" t="n">
        <x:v>1</x:v>
      </x:c>
      <x:c r="I1134" s="87" t="n">
        <x:v>6</x:v>
      </x:c>
    </x:row>
    <x:row r="1135">
      <x:c r="A1135" s="85" t="n">
        <x:v>1134</x:v>
      </x:c>
      <x:c r="B1135" s="86" t="n">
        <x:v>240</x:v>
      </x:c>
      <x:c r="C1135" s="95" t="n">
        <x:v>45511</x:v>
      </x:c>
      <x:c r="D1135" s="86" t="str">
        <x:v>Dia útil</x:v>
      </x:c>
      <x:c r="E1135" s="86" t="n">
        <x:v>4</x:v>
      </x:c>
      <x:c r="F1135" s="99" t="n">
        <x:v>0.5</x:v>
      </x:c>
      <x:c r="G1135" s="91" t="n">
        <x:v>252.97</x:v>
      </x:c>
      <x:c r="H1135" s="86" t="n">
        <x:v>1</x:v>
      </x:c>
      <x:c r="I1135" s="87" t="n">
        <x:v>9</x:v>
      </x:c>
    </x:row>
    <x:row r="1136">
      <x:c r="A1136" s="85" t="n">
        <x:v>1135</x:v>
      </x:c>
      <x:c r="B1136" s="86" t="n">
        <x:v>30</x:v>
      </x:c>
      <x:c r="C1136" s="95" t="n">
        <x:v>45909</x:v>
      </x:c>
      <x:c r="D1136" s="86" t="str">
        <x:v>Dia útil</x:v>
      </x:c>
      <x:c r="E1136" s="86" t="n">
        <x:v>6</x:v>
      </x:c>
      <x:c r="F1136" s="99" t="n">
        <x:v>0.5</x:v>
      </x:c>
      <x:c r="G1136" s="91" t="n">
        <x:v>135.85</x:v>
      </x:c>
      <x:c r="H1136" s="86" t="n">
        <x:v>1</x:v>
      </x:c>
      <x:c r="I1136" s="87" t="n">
        <x:v>3</x:v>
      </x:c>
    </x:row>
    <x:row r="1137">
      <x:c r="A1137" s="85" t="n">
        <x:v>1136</x:v>
      </x:c>
      <x:c r="B1137" s="86" t="n">
        <x:v>244</x:v>
      </x:c>
      <x:c r="C1137" s="95" t="n">
        <x:v>45906</x:v>
      </x:c>
      <x:c r="D1137" s="86" t="str">
        <x:v>Dia útil</x:v>
      </x:c>
      <x:c r="E1137" s="86" t="n">
        <x:v>1</x:v>
      </x:c>
      <x:c r="F1137" s="99" t="n">
        <x:v>0.5</x:v>
      </x:c>
      <x:c r="G1137" s="91" t="n">
        <x:v>23.06</x:v>
      </x:c>
      <x:c r="H1137" s="86" t="n">
        <x:v>1</x:v>
      </x:c>
      <x:c r="I1137" s="87" t="n">
        <x:v>1</x:v>
      </x:c>
    </x:row>
    <x:row r="1138">
      <x:c r="A1138" s="85" t="n">
        <x:v>1137</x:v>
      </x:c>
      <x:c r="B1138" s="86" t="n">
        <x:v>196</x:v>
      </x:c>
      <x:c r="C1138" s="95" t="n">
        <x:v>45681</x:v>
      </x:c>
      <x:c r="D1138" s="86" t="str">
        <x:v>Dia útil</x:v>
      </x:c>
      <x:c r="E1138" s="86" t="n">
        <x:v>6</x:v>
      </x:c>
      <x:c r="F1138" s="99" t="n">
        <x:v>0.5</x:v>
      </x:c>
      <x:c r="G1138" s="91" t="n">
        <x:v>184.12</x:v>
      </x:c>
      <x:c r="H1138" s="86" t="n">
        <x:v>0</x:v>
      </x:c>
      <x:c r="I1138" s="87" t="n">
        <x:v>2</x:v>
      </x:c>
    </x:row>
    <x:row r="1139">
      <x:c r="A1139" s="85" t="n">
        <x:v>1138</x:v>
      </x:c>
      <x:c r="B1139" s="86" t="n">
        <x:v>93</x:v>
      </x:c>
      <x:c r="C1139" s="95" t="n">
        <x:v>45580</x:v>
      </x:c>
      <x:c r="D1139" s="86" t="str">
        <x:v>Dia útil</x:v>
      </x:c>
      <x:c r="E1139" s="86" t="n">
        <x:v>2</x:v>
      </x:c>
      <x:c r="F1139" s="99" t="n">
        <x:v>0.5</x:v>
      </x:c>
      <x:c r="G1139" s="91" t="n">
        <x:v>69.52</x:v>
      </x:c>
      <x:c r="H1139" s="86" t="n">
        <x:v>1</x:v>
      </x:c>
      <x:c r="I1139" s="87" t="n">
        <x:v>8</x:v>
      </x:c>
    </x:row>
    <x:row r="1140">
      <x:c r="A1140" s="85" t="n">
        <x:v>1139</x:v>
      </x:c>
      <x:c r="B1140" s="86" t="n">
        <x:v>163</x:v>
      </x:c>
      <x:c r="C1140" s="95" t="n">
        <x:v>45859</x:v>
      </x:c>
      <x:c r="D1140" s="86" t="str">
        <x:v>Dia útil</x:v>
      </x:c>
      <x:c r="E1140" s="86" t="n">
        <x:v>6</x:v>
      </x:c>
      <x:c r="F1140" s="99" t="n">
        <x:v>0.5</x:v>
      </x:c>
      <x:c r="G1140" s="91" t="n">
        <x:v>162.64</x:v>
      </x:c>
      <x:c r="H1140" s="86" t="n">
        <x:v>1</x:v>
      </x:c>
      <x:c r="I1140" s="87" t="n">
        <x:v>3</x:v>
      </x:c>
    </x:row>
    <x:row r="1141">
      <x:c r="A1141" s="85" t="n">
        <x:v>1140</x:v>
      </x:c>
      <x:c r="B1141" s="86" t="n">
        <x:v>290</x:v>
      </x:c>
      <x:c r="C1141" s="95" t="n">
        <x:v>45599</x:v>
      </x:c>
      <x:c r="D1141" s="86" t="str">
        <x:v>Dia útil</x:v>
      </x:c>
      <x:c r="E1141" s="86" t="n">
        <x:v>1</x:v>
      </x:c>
      <x:c r="F1141" s="99" t="n">
        <x:v>0.5</x:v>
      </x:c>
      <x:c r="G1141" s="91" t="n">
        <x:v>30.67</x:v>
      </x:c>
      <x:c r="H1141" s="86" t="n">
        <x:v>1</x:v>
      </x:c>
      <x:c r="I1141" s="87" t="n">
        <x:v>3</x:v>
      </x:c>
    </x:row>
    <x:row r="1142">
      <x:c r="A1142" s="85" t="n">
        <x:v>1141</x:v>
      </x:c>
      <x:c r="B1142" s="86" t="n">
        <x:v>225</x:v>
      </x:c>
      <x:c r="C1142" s="95" t="n">
        <x:v>45625</x:v>
      </x:c>
      <x:c r="D1142" s="86" t="str">
        <x:v>Dia útil</x:v>
      </x:c>
      <x:c r="E1142" s="86" t="n">
        <x:v>8</x:v>
      </x:c>
      <x:c r="F1142" s="99" t="n">
        <x:v>0.5</x:v>
      </x:c>
      <x:c r="G1142" s="91" t="n">
        <x:v>177.16</x:v>
      </x:c>
      <x:c r="H1142" s="86" t="n">
        <x:v>1</x:v>
      </x:c>
      <x:c r="I1142" s="87" t="n">
        <x:v>1</x:v>
      </x:c>
    </x:row>
    <x:row r="1143">
      <x:c r="A1143" s="85" t="n">
        <x:v>1142</x:v>
      </x:c>
      <x:c r="B1143" s="86" t="n">
        <x:v>314</x:v>
      </x:c>
      <x:c r="C1143" s="95" t="n">
        <x:v>45857</x:v>
      </x:c>
      <x:c r="D1143" s="86" t="str">
        <x:v>Dia útil</x:v>
      </x:c>
      <x:c r="E1143" s="86" t="n">
        <x:v>2</x:v>
      </x:c>
      <x:c r="F1143" s="99" t="n">
        <x:v>0.5</x:v>
      </x:c>
      <x:c r="G1143" s="91" t="n">
        <x:v>63.63</x:v>
      </x:c>
      <x:c r="H1143" s="86" t="n">
        <x:v>1</x:v>
      </x:c>
      <x:c r="I1143" s="87" t="n">
        <x:v>8</x:v>
      </x:c>
    </x:row>
    <x:row r="1144">
      <x:c r="A1144" s="85" t="n">
        <x:v>1143</x:v>
      </x:c>
      <x:c r="B1144" s="86" t="n">
        <x:v>192</x:v>
      </x:c>
      <x:c r="C1144" s="95" t="n">
        <x:v>45825</x:v>
      </x:c>
      <x:c r="D1144" s="86" t="str">
        <x:v>Dia útil</x:v>
      </x:c>
      <x:c r="E1144" s="86" t="n">
        <x:v>4</x:v>
      </x:c>
      <x:c r="F1144" s="99" t="n">
        <x:v>0.5</x:v>
      </x:c>
      <x:c r="G1144" s="91" t="n">
        <x:v>219.74</x:v>
      </x:c>
      <x:c r="H1144" s="86" t="n">
        <x:v>1</x:v>
      </x:c>
      <x:c r="I1144" s="87" t="n">
        <x:v>9</x:v>
      </x:c>
    </x:row>
    <x:row r="1145">
      <x:c r="A1145" s="85" t="n">
        <x:v>1144</x:v>
      </x:c>
      <x:c r="B1145" s="86" t="n">
        <x:v>165</x:v>
      </x:c>
      <x:c r="C1145" s="95" t="n">
        <x:v>46012</x:v>
      </x:c>
      <x:c r="D1145" s="86" t="str">
        <x:v>Dia útil</x:v>
      </x:c>
      <x:c r="E1145" s="86" t="n">
        <x:v>6</x:v>
      </x:c>
      <x:c r="F1145" s="99" t="n">
        <x:v>0.5</x:v>
      </x:c>
      <x:c r="G1145" s="91" t="n">
        <x:v>197.02</x:v>
      </x:c>
      <x:c r="H1145" s="86" t="n">
        <x:v>1</x:v>
      </x:c>
      <x:c r="I1145" s="87" t="n">
        <x:v>4</x:v>
      </x:c>
    </x:row>
    <x:row r="1146">
      <x:c r="A1146" s="85" t="n">
        <x:v>1145</x:v>
      </x:c>
      <x:c r="B1146" s="86" t="n">
        <x:v>18</x:v>
      </x:c>
      <x:c r="C1146" s="95" t="n">
        <x:v>45907</x:v>
      </x:c>
      <x:c r="D1146" s="86" t="str">
        <x:v>Dia útil</x:v>
      </x:c>
      <x:c r="E1146" s="86" t="n">
        <x:v>6</x:v>
      </x:c>
      <x:c r="F1146" s="99" t="n">
        <x:v>0.5</x:v>
      </x:c>
      <x:c r="G1146" s="91" t="n">
        <x:v>111.78</x:v>
      </x:c>
      <x:c r="H1146" s="86" t="n">
        <x:v>1</x:v>
      </x:c>
      <x:c r="I1146" s="87" t="n">
        <x:v>1</x:v>
      </x:c>
    </x:row>
    <x:row r="1147">
      <x:c r="A1147" s="85" t="n">
        <x:v>1146</x:v>
      </x:c>
      <x:c r="B1147" s="86" t="n">
        <x:v>5</x:v>
      </x:c>
      <x:c r="C1147" s="95" t="n">
        <x:v>45993</x:v>
      </x:c>
      <x:c r="D1147" s="86" t="str">
        <x:v>Sábado</x:v>
      </x:c>
      <x:c r="E1147" s="86" t="n">
        <x:v>2</x:v>
      </x:c>
      <x:c r="F1147" s="99" t="n">
        <x:v>0.75</x:v>
      </x:c>
      <x:c r="G1147" s="91" t="n">
        <x:v>214.44</x:v>
      </x:c>
      <x:c r="H1147" s="86" t="n">
        <x:v>1</x:v>
      </x:c>
      <x:c r="I1147" s="87" t="n">
        <x:v>7</x:v>
      </x:c>
    </x:row>
    <x:row r="1148">
      <x:c r="A1148" s="85" t="n">
        <x:v>1147</x:v>
      </x:c>
      <x:c r="B1148" s="86" t="n">
        <x:v>361</x:v>
      </x:c>
      <x:c r="C1148" s="95" t="n">
        <x:v>45810</x:v>
      </x:c>
      <x:c r="D1148" s="86" t="str">
        <x:v>Dia útil</x:v>
      </x:c>
      <x:c r="E1148" s="86" t="n">
        <x:v>6</x:v>
      </x:c>
      <x:c r="F1148" s="99" t="n">
        <x:v>0.5</x:v>
      </x:c>
      <x:c r="G1148" s="91" t="n">
        <x:v>226.93</x:v>
      </x:c>
      <x:c r="H1148" s="86" t="n">
        <x:v>1</x:v>
      </x:c>
      <x:c r="I1148" s="87" t="n">
        <x:v>8</x:v>
      </x:c>
    </x:row>
    <x:row r="1149">
      <x:c r="A1149" s="85" t="n">
        <x:v>1148</x:v>
      </x:c>
      <x:c r="B1149" s="86" t="n">
        <x:v>173</x:v>
      </x:c>
      <x:c r="C1149" s="95" t="n">
        <x:v>45947</x:v>
      </x:c>
      <x:c r="D1149" s="86" t="str">
        <x:v>Dia útil</x:v>
      </x:c>
      <x:c r="E1149" s="86" t="n">
        <x:v>3</x:v>
      </x:c>
      <x:c r="F1149" s="99" t="n">
        <x:v>0.5</x:v>
      </x:c>
      <x:c r="G1149" s="91" t="n">
        <x:v>151.1</x:v>
      </x:c>
      <x:c r="H1149" s="86" t="n">
        <x:v>1</x:v>
      </x:c>
      <x:c r="I1149" s="87" t="n">
        <x:v>8</x:v>
      </x:c>
    </x:row>
    <x:row r="1150">
      <x:c r="A1150" s="85" t="n">
        <x:v>1149</x:v>
      </x:c>
      <x:c r="B1150" s="86" t="n">
        <x:v>97</x:v>
      </x:c>
      <x:c r="C1150" s="95" t="n">
        <x:v>46004</x:v>
      </x:c>
      <x:c r="D1150" s="86" t="str">
        <x:v>Dia útil</x:v>
      </x:c>
      <x:c r="E1150" s="86" t="n">
        <x:v>2</x:v>
      </x:c>
      <x:c r="F1150" s="99" t="n">
        <x:v>0.5</x:v>
      </x:c>
      <x:c r="G1150" s="91" t="n">
        <x:v>77.18</x:v>
      </x:c>
      <x:c r="H1150" s="86" t="n">
        <x:v>1</x:v>
      </x:c>
      <x:c r="I1150" s="87" t="n">
        <x:v>7</x:v>
      </x:c>
    </x:row>
    <x:row r="1151">
      <x:c r="A1151" s="85" t="n">
        <x:v>1150</x:v>
      </x:c>
      <x:c r="B1151" s="86" t="n">
        <x:v>392</x:v>
      </x:c>
      <x:c r="C1151" s="95" t="n">
        <x:v>45562</x:v>
      </x:c>
      <x:c r="D1151" s="86" t="str">
        <x:v>Dia útil</x:v>
      </x:c>
      <x:c r="E1151" s="86" t="n">
        <x:v>4</x:v>
      </x:c>
      <x:c r="F1151" s="99" t="n">
        <x:v>0.5</x:v>
      </x:c>
      <x:c r="G1151" s="91" t="n">
        <x:v>178.37</x:v>
      </x:c>
      <x:c r="H1151" s="86" t="n">
        <x:v>1</x:v>
      </x:c>
      <x:c r="I1151" s="87" t="n">
        <x:v>7</x:v>
      </x:c>
    </x:row>
    <x:row r="1152">
      <x:c r="A1152" s="85" t="n">
        <x:v>1151</x:v>
      </x:c>
      <x:c r="B1152" s="86" t="n">
        <x:v>389</x:v>
      </x:c>
      <x:c r="C1152" s="95" t="n">
        <x:v>45744</x:v>
      </x:c>
      <x:c r="D1152" s="86" t="str">
        <x:v>Dia útil</x:v>
      </x:c>
      <x:c r="E1152" s="86" t="n">
        <x:v>2</x:v>
      </x:c>
      <x:c r="F1152" s="99" t="n">
        <x:v>0.5</x:v>
      </x:c>
      <x:c r="G1152" s="91" t="n">
        <x:v>54.07</x:v>
      </x:c>
      <x:c r="H1152" s="86" t="n">
        <x:v>1</x:v>
      </x:c>
      <x:c r="I1152" s="87" t="n">
        <x:v>3</x:v>
      </x:c>
    </x:row>
    <x:row r="1153">
      <x:c r="A1153" s="85" t="n">
        <x:v>1152</x:v>
      </x:c>
      <x:c r="B1153" s="86" t="n">
        <x:v>307</x:v>
      </x:c>
      <x:c r="C1153" s="95" t="n">
        <x:v>45543</x:v>
      </x:c>
      <x:c r="D1153" s="86" t="str">
        <x:v>Dia útil</x:v>
      </x:c>
      <x:c r="E1153" s="86" t="n">
        <x:v>1</x:v>
      </x:c>
      <x:c r="F1153" s="99" t="n">
        <x:v>0.5</x:v>
      </x:c>
      <x:c r="G1153" s="91" t="n">
        <x:v>29.53</x:v>
      </x:c>
      <x:c r="H1153" s="86" t="n">
        <x:v>0</x:v>
      </x:c>
      <x:c r="I1153" s="87" t="n">
        <x:v>3</x:v>
      </x:c>
    </x:row>
    <x:row r="1154">
      <x:c r="A1154" s="85" t="n">
        <x:v>1153</x:v>
      </x:c>
      <x:c r="B1154" s="86" t="n">
        <x:v>57</x:v>
      </x:c>
      <x:c r="C1154" s="95" t="n">
        <x:v>45642</x:v>
      </x:c>
      <x:c r="D1154" s="86" t="str">
        <x:v>Dia útil</x:v>
      </x:c>
      <x:c r="E1154" s="86" t="n">
        <x:v>2</x:v>
      </x:c>
      <x:c r="F1154" s="99" t="n">
        <x:v>0.5</x:v>
      </x:c>
      <x:c r="G1154" s="91" t="n">
        <x:v>89.37</x:v>
      </x:c>
      <x:c r="H1154" s="86" t="n">
        <x:v>1</x:v>
      </x:c>
      <x:c r="I1154" s="87" t="n">
        <x:v>5</x:v>
      </x:c>
    </x:row>
    <x:row r="1155">
      <x:c r="A1155" s="85" t="n">
        <x:v>1154</x:v>
      </x:c>
      <x:c r="B1155" s="86" t="n">
        <x:v>11</x:v>
      </x:c>
      <x:c r="C1155" s="95" t="n">
        <x:v>45741</x:v>
      </x:c>
      <x:c r="D1155" s="86" t="str">
        <x:v>Dia útil</x:v>
      </x:c>
      <x:c r="E1155" s="86" t="n">
        <x:v>8</x:v>
      </x:c>
      <x:c r="F1155" s="99" t="n">
        <x:v>0.5</x:v>
      </x:c>
      <x:c r="G1155" s="91" t="n">
        <x:v>435.38</x:v>
      </x:c>
      <x:c r="H1155" s="86" t="n">
        <x:v>1</x:v>
      </x:c>
      <x:c r="I1155" s="87" t="n">
        <x:v>9</x:v>
      </x:c>
    </x:row>
    <x:row r="1156">
      <x:c r="A1156" s="85" t="n">
        <x:v>1155</x:v>
      </x:c>
      <x:c r="B1156" s="86" t="n">
        <x:v>25</x:v>
      </x:c>
      <x:c r="C1156" s="95" t="n">
        <x:v>45560</x:v>
      </x:c>
      <x:c r="D1156" s="86" t="str">
        <x:v>Dia útil</x:v>
      </x:c>
      <x:c r="E1156" s="86" t="n">
        <x:v>1</x:v>
      </x:c>
      <x:c r="F1156" s="99" t="n">
        <x:v>0.5</x:v>
      </x:c>
      <x:c r="G1156" s="91" t="n">
        <x:v>38.07</x:v>
      </x:c>
      <x:c r="H1156" s="86" t="n">
        <x:v>1</x:v>
      </x:c>
      <x:c r="I1156" s="87" t="n">
        <x:v>7</x:v>
      </x:c>
    </x:row>
    <x:row r="1157">
      <x:c r="A1157" s="85" t="n">
        <x:v>1156</x:v>
      </x:c>
      <x:c r="B1157" s="86" t="n">
        <x:v>257</x:v>
      </x:c>
      <x:c r="C1157" s="95" t="n">
        <x:v>45907</x:v>
      </x:c>
      <x:c r="D1157" s="86" t="str">
        <x:v>Dia útil</x:v>
      </x:c>
      <x:c r="E1157" s="86" t="n">
        <x:v>3</x:v>
      </x:c>
      <x:c r="F1157" s="99" t="n">
        <x:v>0.5</x:v>
      </x:c>
      <x:c r="G1157" s="91" t="n">
        <x:v>156.1</x:v>
      </x:c>
      <x:c r="H1157" s="86" t="n">
        <x:v>1</x:v>
      </x:c>
      <x:c r="I1157" s="87" t="n">
        <x:v>6</x:v>
      </x:c>
    </x:row>
    <x:row r="1158">
      <x:c r="A1158" s="85" t="n">
        <x:v>1157</x:v>
      </x:c>
      <x:c r="B1158" s="86" t="n">
        <x:v>415</x:v>
      </x:c>
      <x:c r="C1158" s="95" t="n">
        <x:v>45943</x:v>
      </x:c>
      <x:c r="D1158" s="86" t="str">
        <x:v>Dia útil</x:v>
      </x:c>
      <x:c r="E1158" s="86" t="n">
        <x:v>1</x:v>
      </x:c>
      <x:c r="F1158" s="99" t="n">
        <x:v>0.5</x:v>
      </x:c>
      <x:c r="G1158" s="91" t="n">
        <x:v>19.69</x:v>
      </x:c>
      <x:c r="H1158" s="86" t="n">
        <x:v>1</x:v>
      </x:c>
      <x:c r="I1158" s="87" t="n">
        <x:v>1</x:v>
      </x:c>
    </x:row>
    <x:row r="1159">
      <x:c r="A1159" s="85" t="n">
        <x:v>1158</x:v>
      </x:c>
      <x:c r="B1159" s="86" t="n">
        <x:v>395</x:v>
      </x:c>
      <x:c r="C1159" s="95" t="n">
        <x:v>45984</x:v>
      </x:c>
      <x:c r="D1159" s="86" t="str">
        <x:v>Dia útil</x:v>
      </x:c>
      <x:c r="E1159" s="86" t="n">
        <x:v>1</x:v>
      </x:c>
      <x:c r="F1159" s="99" t="n">
        <x:v>0.5</x:v>
      </x:c>
      <x:c r="G1159" s="91" t="n">
        <x:v>40.54</x:v>
      </x:c>
      <x:c r="H1159" s="86" t="n">
        <x:v>1</x:v>
      </x:c>
      <x:c r="I1159" s="87" t="n">
        <x:v>4</x:v>
      </x:c>
    </x:row>
    <x:row r="1160">
      <x:c r="A1160" s="85" t="n">
        <x:v>1159</x:v>
      </x:c>
      <x:c r="B1160" s="86" t="n">
        <x:v>382</x:v>
      </x:c>
      <x:c r="C1160" s="95" t="n">
        <x:v>45325</x:v>
      </x:c>
      <x:c r="D1160" s="86" t="str">
        <x:v>Dia útil</x:v>
      </x:c>
      <x:c r="E1160" s="86" t="n">
        <x:v>3</x:v>
      </x:c>
      <x:c r="F1160" s="99" t="n">
        <x:v>0.5</x:v>
      </x:c>
      <x:c r="G1160" s="91" t="n">
        <x:v>190.19</x:v>
      </x:c>
      <x:c r="H1160" s="86" t="n">
        <x:v>1</x:v>
      </x:c>
      <x:c r="I1160" s="87" t="n">
        <x:v>5</x:v>
      </x:c>
    </x:row>
    <x:row r="1161">
      <x:c r="A1161" s="85" t="n">
        <x:v>1160</x:v>
      </x:c>
      <x:c r="B1161" s="86" t="n">
        <x:v>215</x:v>
      </x:c>
      <x:c r="C1161" s="95" t="n">
        <x:v>45569</x:v>
      </x:c>
      <x:c r="D1161" s="86" t="str">
        <x:v>Sábado</x:v>
      </x:c>
      <x:c r="E1161" s="86" t="n">
        <x:v>3</x:v>
      </x:c>
      <x:c r="F1161" s="99" t="n">
        <x:v>0.75</x:v>
      </x:c>
      <x:c r="G1161" s="91" t="n">
        <x:v>139.43</x:v>
      </x:c>
      <x:c r="H1161" s="86" t="n">
        <x:v>1</x:v>
      </x:c>
      <x:c r="I1161" s="87" t="n">
        <x:v>6</x:v>
      </x:c>
    </x:row>
    <x:row r="1162">
      <x:c r="A1162" s="85" t="n">
        <x:v>1161</x:v>
      </x:c>
      <x:c r="B1162" s="86" t="n">
        <x:v>240</x:v>
      </x:c>
      <x:c r="C1162" s="95" t="n">
        <x:v>45841</x:v>
      </x:c>
      <x:c r="D1162" s="86" t="str">
        <x:v>Domingo/Feriado</x:v>
      </x:c>
      <x:c r="E1162" s="86" t="n">
        <x:v>3</x:v>
      </x:c>
      <x:c r="F1162" s="99" t="n">
        <x:v>1</x:v>
      </x:c>
      <x:c r="G1162" s="91" t="n">
        <x:v>252.97</x:v>
      </x:c>
      <x:c r="H1162" s="86" t="n">
        <x:v>1</x:v>
      </x:c>
      <x:c r="I1162" s="87" t="n">
        <x:v>9</x:v>
      </x:c>
    </x:row>
    <x:row r="1163">
      <x:c r="A1163" s="85" t="n">
        <x:v>1162</x:v>
      </x:c>
      <x:c r="B1163" s="86" t="n">
        <x:v>211</x:v>
      </x:c>
      <x:c r="C1163" s="95" t="n">
        <x:v>45747</x:v>
      </x:c>
      <x:c r="D1163" s="86" t="str">
        <x:v>Sábado</x:v>
      </x:c>
      <x:c r="E1163" s="86" t="n">
        <x:v>1</x:v>
      </x:c>
      <x:c r="F1163" s="99" t="n">
        <x:v>0.75</x:v>
      </x:c>
      <x:c r="G1163" s="91" t="n">
        <x:v>18.07</x:v>
      </x:c>
      <x:c r="H1163" s="86" t="n">
        <x:v>1</x:v>
      </x:c>
      <x:c r="I1163" s="87" t="n">
        <x:v>1</x:v>
      </x:c>
    </x:row>
    <x:row r="1164">
      <x:c r="A1164" s="85" t="n">
        <x:v>1163</x:v>
      </x:c>
      <x:c r="B1164" s="86" t="n">
        <x:v>28</x:v>
      </x:c>
      <x:c r="C1164" s="95" t="n">
        <x:v>45985</x:v>
      </x:c>
      <x:c r="D1164" s="86" t="str">
        <x:v>Dia útil</x:v>
      </x:c>
      <x:c r="E1164" s="86" t="n">
        <x:v>3</x:v>
      </x:c>
      <x:c r="F1164" s="99" t="n">
        <x:v>0.5</x:v>
      </x:c>
      <x:c r="G1164" s="91" t="n">
        <x:v>61.74</x:v>
      </x:c>
      <x:c r="H1164" s="86" t="n">
        <x:v>1</x:v>
      </x:c>
      <x:c r="I1164" s="87" t="n">
        <x:v>1</x:v>
      </x:c>
    </x:row>
    <x:row r="1165">
      <x:c r="A1165" s="85" t="n">
        <x:v>1164</x:v>
      </x:c>
      <x:c r="B1165" s="86" t="n">
        <x:v>36</x:v>
      </x:c>
      <x:c r="C1165" s="95" t="n">
        <x:v>45849</x:v>
      </x:c>
      <x:c r="D1165" s="86" t="str">
        <x:v>Dia útil</x:v>
      </x:c>
      <x:c r="E1165" s="86" t="n">
        <x:v>3</x:v>
      </x:c>
      <x:c r="F1165" s="99" t="n">
        <x:v>0.5</x:v>
      </x:c>
      <x:c r="G1165" s="91" t="n">
        <x:v>77.74</x:v>
      </x:c>
      <x:c r="H1165" s="86" t="n">
        <x:v>1</x:v>
      </x:c>
      <x:c r="I1165" s="87" t="n">
        <x:v>4</x:v>
      </x:c>
    </x:row>
    <x:row r="1166">
      <x:c r="A1166" s="85" t="n">
        <x:v>1165</x:v>
      </x:c>
      <x:c r="B1166" s="86" t="n">
        <x:v>306</x:v>
      </x:c>
      <x:c r="C1166" s="95" t="n">
        <x:v>46008</x:v>
      </x:c>
      <x:c r="D1166" s="86" t="str">
        <x:v>Dia útil</x:v>
      </x:c>
      <x:c r="E1166" s="86" t="n">
        <x:v>8</x:v>
      </x:c>
      <x:c r="F1166" s="99" t="n">
        <x:v>0.5</x:v>
      </x:c>
      <x:c r="G1166" s="91" t="n">
        <x:v>163.38</x:v>
      </x:c>
      <x:c r="H1166" s="86" t="n">
        <x:v>1</x:v>
      </x:c>
      <x:c r="I1166" s="87" t="n">
        <x:v>1</x:v>
      </x:c>
    </x:row>
    <x:row r="1167">
      <x:c r="A1167" s="85" t="n">
        <x:v>1166</x:v>
      </x:c>
      <x:c r="B1167" s="86" t="n">
        <x:v>388</x:v>
      </x:c>
      <x:c r="C1167" s="95" t="n">
        <x:v>45428</x:v>
      </x:c>
      <x:c r="D1167" s="86" t="str">
        <x:v>Dia útil</x:v>
      </x:c>
      <x:c r="E1167" s="86" t="n">
        <x:v>4</x:v>
      </x:c>
      <x:c r="F1167" s="99" t="n">
        <x:v>0.5</x:v>
      </x:c>
      <x:c r="G1167" s="91" t="n">
        <x:v>75.2</x:v>
      </x:c>
      <x:c r="H1167" s="86" t="n">
        <x:v>1</x:v>
      </x:c>
      <x:c r="I1167" s="87" t="n">
        <x:v>1</x:v>
      </x:c>
    </x:row>
    <x:row r="1168">
      <x:c r="A1168" s="85" t="n">
        <x:v>1167</x:v>
      </x:c>
      <x:c r="B1168" s="86" t="n">
        <x:v>46</x:v>
      </x:c>
      <x:c r="C1168" s="95" t="n">
        <x:v>45605</x:v>
      </x:c>
      <x:c r="D1168" s="86" t="str">
        <x:v>Sábado</x:v>
      </x:c>
      <x:c r="E1168" s="86" t="n">
        <x:v>8</x:v>
      </x:c>
      <x:c r="F1168" s="99" t="n">
        <x:v>0.75</x:v>
      </x:c>
      <x:c r="G1168" s="91" t="n">
        <x:v>183.88</x:v>
      </x:c>
      <x:c r="H1168" s="86" t="n">
        <x:v>1</x:v>
      </x:c>
      <x:c r="I1168" s="87" t="n">
        <x:v>1</x:v>
      </x:c>
    </x:row>
    <x:row r="1169">
      <x:c r="A1169" s="85" t="n">
        <x:v>1168</x:v>
      </x:c>
      <x:c r="B1169" s="86" t="n">
        <x:v>323</x:v>
      </x:c>
      <x:c r="C1169" s="95" t="n">
        <x:v>45982</x:v>
      </x:c>
      <x:c r="D1169" s="86" t="str">
        <x:v>Dia útil</x:v>
      </x:c>
      <x:c r="E1169" s="86" t="n">
        <x:v>1</x:v>
      </x:c>
      <x:c r="F1169" s="99" t="n">
        <x:v>0.5</x:v>
      </x:c>
      <x:c r="G1169" s="91" t="n">
        <x:v>51.15</x:v>
      </x:c>
      <x:c r="H1169" s="86" t="n">
        <x:v>1</x:v>
      </x:c>
      <x:c r="I1169" s="87" t="n">
        <x:v>5</x:v>
      </x:c>
    </x:row>
    <x:row r="1170">
      <x:c r="A1170" s="85" t="n">
        <x:v>1169</x:v>
      </x:c>
      <x:c r="B1170" s="86" t="n">
        <x:v>129</x:v>
      </x:c>
      <x:c r="C1170" s="95" t="n">
        <x:v>45978</x:v>
      </x:c>
      <x:c r="D1170" s="86" t="str">
        <x:v>Dia útil</x:v>
      </x:c>
      <x:c r="E1170" s="86" t="n">
        <x:v>4</x:v>
      </x:c>
      <x:c r="F1170" s="99" t="n">
        <x:v>0.5</x:v>
      </x:c>
      <x:c r="G1170" s="91" t="n">
        <x:v>94.54</x:v>
      </x:c>
      <x:c r="H1170" s="86" t="n">
        <x:v>1</x:v>
      </x:c>
      <x:c r="I1170" s="87" t="n">
        <x:v>1</x:v>
      </x:c>
    </x:row>
    <x:row r="1171">
      <x:c r="A1171" s="85" t="n">
        <x:v>1170</x:v>
      </x:c>
      <x:c r="B1171" s="86" t="n">
        <x:v>129</x:v>
      </x:c>
      <x:c r="C1171" s="95" t="n">
        <x:v>45978</x:v>
      </x:c>
      <x:c r="D1171" s="86" t="str">
        <x:v>Sábado</x:v>
      </x:c>
      <x:c r="E1171" s="86" t="n">
        <x:v>1</x:v>
      </x:c>
      <x:c r="F1171" s="99" t="n">
        <x:v>0.75</x:v>
      </x:c>
      <x:c r="G1171" s="91" t="n">
        <x:v>27.57</x:v>
      </x:c>
      <x:c r="H1171" s="86" t="n">
        <x:v>1</x:v>
      </x:c>
      <x:c r="I1171" s="87" t="n">
        <x:v>1</x:v>
      </x:c>
    </x:row>
    <x:row r="1172">
      <x:c r="A1172" s="85" t="n">
        <x:v>1171</x:v>
      </x:c>
      <x:c r="B1172" s="86" t="n">
        <x:v>222</x:v>
      </x:c>
      <x:c r="C1172" s="95" t="n">
        <x:v>45494</x:v>
      </x:c>
      <x:c r="D1172" s="86" t="str">
        <x:v>Dia útil</x:v>
      </x:c>
      <x:c r="E1172" s="86" t="n">
        <x:v>8</x:v>
      </x:c>
      <x:c r="F1172" s="99" t="n">
        <x:v>0.5</x:v>
      </x:c>
      <x:c r="G1172" s="91" t="n">
        <x:v>383.25</x:v>
      </x:c>
      <x:c r="H1172" s="86" t="n">
        <x:v>1</x:v>
      </x:c>
      <x:c r="I1172" s="87" t="n">
        <x:v>6</x:v>
      </x:c>
    </x:row>
    <x:row r="1173">
      <x:c r="A1173" s="85" t="n">
        <x:v>1172</x:v>
      </x:c>
      <x:c r="B1173" s="86" t="n">
        <x:v>200</x:v>
      </x:c>
      <x:c r="C1173" s="95" t="n">
        <x:v>45786</x:v>
      </x:c>
      <x:c r="D1173" s="86" t="str">
        <x:v>Dia útil</x:v>
      </x:c>
      <x:c r="E1173" s="86" t="n">
        <x:v>8</x:v>
      </x:c>
      <x:c r="F1173" s="99" t="n">
        <x:v>0.5</x:v>
      </x:c>
      <x:c r="G1173" s="91" t="n">
        <x:v>349.23</x:v>
      </x:c>
      <x:c r="H1173" s="86" t="n">
        <x:v>1</x:v>
      </x:c>
      <x:c r="I1173" s="87" t="n">
        <x:v>8</x:v>
      </x:c>
    </x:row>
    <x:row r="1174">
      <x:c r="A1174" s="85" t="n">
        <x:v>1173</x:v>
      </x:c>
      <x:c r="B1174" s="86" t="n">
        <x:v>225</x:v>
      </x:c>
      <x:c r="C1174" s="95" t="n">
        <x:v>45552</x:v>
      </x:c>
      <x:c r="D1174" s="86" t="str">
        <x:v>Dia útil</x:v>
      </x:c>
      <x:c r="E1174" s="86" t="n">
        <x:v>1</x:v>
      </x:c>
      <x:c r="F1174" s="99" t="n">
        <x:v>0.5</x:v>
      </x:c>
      <x:c r="G1174" s="91" t="n">
        <x:v>22.15</x:v>
      </x:c>
      <x:c r="H1174" s="86" t="n">
        <x:v>1</x:v>
      </x:c>
      <x:c r="I1174" s="87" t="n">
        <x:v>1</x:v>
      </x:c>
    </x:row>
    <x:row r="1175">
      <x:c r="A1175" s="85" t="n">
        <x:v>1174</x:v>
      </x:c>
      <x:c r="B1175" s="86" t="n">
        <x:v>10</x:v>
      </x:c>
      <x:c r="C1175" s="95" t="n">
        <x:v>45425</x:v>
      </x:c>
      <x:c r="D1175" s="86" t="str">
        <x:v>Dia útil</x:v>
      </x:c>
      <x:c r="E1175" s="86" t="n">
        <x:v>1</x:v>
      </x:c>
      <x:c r="F1175" s="99" t="n">
        <x:v>0.5</x:v>
      </x:c>
      <x:c r="G1175" s="91" t="n">
        <x:v>47.73</x:v>
      </x:c>
      <x:c r="H1175" s="86" t="n">
        <x:v>1</x:v>
      </x:c>
      <x:c r="I1175" s="87" t="n">
        <x:v>1</x:v>
      </x:c>
    </x:row>
    <x:row r="1176">
      <x:c r="A1176" s="85" t="n">
        <x:v>1175</x:v>
      </x:c>
      <x:c r="B1176" s="86" t="n">
        <x:v>111</x:v>
      </x:c>
      <x:c r="C1176" s="95" t="n">
        <x:v>45447</x:v>
      </x:c>
      <x:c r="D1176" s="86" t="str">
        <x:v>Sábado</x:v>
      </x:c>
      <x:c r="E1176" s="86" t="n">
        <x:v>2</x:v>
      </x:c>
      <x:c r="F1176" s="99" t="n">
        <x:v>0.75</x:v>
      </x:c>
      <x:c r="G1176" s="91" t="n">
        <x:v>166.47</x:v>
      </x:c>
      <x:c r="H1176" s="86" t="n">
        <x:v>1</x:v>
      </x:c>
      <x:c r="I1176" s="87" t="n">
        <x:v>2</x:v>
      </x:c>
    </x:row>
    <x:row r="1177">
      <x:c r="A1177" s="85" t="n">
        <x:v>1176</x:v>
      </x:c>
      <x:c r="B1177" s="86" t="n">
        <x:v>328</x:v>
      </x:c>
      <x:c r="C1177" s="95" t="n">
        <x:v>45796</x:v>
      </x:c>
      <x:c r="D1177" s="86" t="str">
        <x:v>Dia útil</x:v>
      </x:c>
      <x:c r="E1177" s="86" t="n">
        <x:v>4</x:v>
      </x:c>
      <x:c r="F1177" s="99" t="n">
        <x:v>0.5</x:v>
      </x:c>
      <x:c r="G1177" s="91" t="n">
        <x:v>170.31</x:v>
      </x:c>
      <x:c r="H1177" s="86" t="n">
        <x:v>1</x:v>
      </x:c>
      <x:c r="I1177" s="87" t="n">
        <x:v>6</x:v>
      </x:c>
    </x:row>
    <x:row r="1178">
      <x:c r="A1178" s="85" t="n">
        <x:v>1177</x:v>
      </x:c>
      <x:c r="B1178" s="86" t="n">
        <x:v>361</x:v>
      </x:c>
      <x:c r="C1178" s="95" t="n">
        <x:v>46010</x:v>
      </x:c>
      <x:c r="D1178" s="86" t="str">
        <x:v>Dia útil</x:v>
      </x:c>
      <x:c r="E1178" s="86" t="n">
        <x:v>2</x:v>
      </x:c>
      <x:c r="F1178" s="99" t="n">
        <x:v>0.5</x:v>
      </x:c>
      <x:c r="G1178" s="91" t="n">
        <x:v>75.64</x:v>
      </x:c>
      <x:c r="H1178" s="86" t="n">
        <x:v>1</x:v>
      </x:c>
      <x:c r="I1178" s="87" t="n">
        <x:v>8</x:v>
      </x:c>
    </x:row>
    <x:row r="1179">
      <x:c r="A1179" s="85" t="n">
        <x:v>1178</x:v>
      </x:c>
      <x:c r="B1179" s="86" t="n">
        <x:v>194</x:v>
      </x:c>
      <x:c r="C1179" s="95" t="n">
        <x:v>45530</x:v>
      </x:c>
      <x:c r="D1179" s="86" t="str">
        <x:v>Dia útil</x:v>
      </x:c>
      <x:c r="E1179" s="86" t="n">
        <x:v>4</x:v>
      </x:c>
      <x:c r="F1179" s="99" t="n">
        <x:v>0.5</x:v>
      </x:c>
      <x:c r="G1179" s="91" t="n">
        <x:v>86.88</x:v>
      </x:c>
      <x:c r="H1179" s="86" t="n">
        <x:v>1</x:v>
      </x:c>
      <x:c r="I1179" s="87" t="n">
        <x:v>1</x:v>
      </x:c>
    </x:row>
    <x:row r="1180">
      <x:c r="A1180" s="85" t="n">
        <x:v>1179</x:v>
      </x:c>
      <x:c r="B1180" s="86" t="n">
        <x:v>276</x:v>
      </x:c>
      <x:c r="C1180" s="95" t="n">
        <x:v>45823</x:v>
      </x:c>
      <x:c r="D1180" s="86" t="str">
        <x:v>Dia útil</x:v>
      </x:c>
      <x:c r="E1180" s="86" t="n">
        <x:v>3</x:v>
      </x:c>
      <x:c r="F1180" s="99" t="n">
        <x:v>0.5</x:v>
      </x:c>
      <x:c r="G1180" s="91" t="n">
        <x:v>201.22</x:v>
      </x:c>
      <x:c r="H1180" s="86" t="n">
        <x:v>1</x:v>
      </x:c>
      <x:c r="I1180" s="87" t="n">
        <x:v>5</x:v>
      </x:c>
    </x:row>
    <x:row r="1181">
      <x:c r="A1181" s="85" t="n">
        <x:v>1180</x:v>
      </x:c>
      <x:c r="B1181" s="86" t="n">
        <x:v>154</x:v>
      </x:c>
      <x:c r="C1181" s="95" t="n">
        <x:v>45630</x:v>
      </x:c>
      <x:c r="D1181" s="86" t="str">
        <x:v>Dia útil</x:v>
      </x:c>
      <x:c r="E1181" s="86" t="n">
        <x:v>2</x:v>
      </x:c>
      <x:c r="F1181" s="99" t="n">
        <x:v>0.5</x:v>
      </x:c>
      <x:c r="G1181" s="91" t="n">
        <x:v>74.38</x:v>
      </x:c>
      <x:c r="H1181" s="86" t="n">
        <x:v>0</x:v>
      </x:c>
      <x:c r="I1181" s="87" t="n">
        <x:v>7</x:v>
      </x:c>
    </x:row>
    <x:row r="1182">
      <x:c r="A1182" s="85" t="n">
        <x:v>1181</x:v>
      </x:c>
      <x:c r="B1182" s="86" t="n">
        <x:v>37</x:v>
      </x:c>
      <x:c r="C1182" s="95" t="n">
        <x:v>45806</x:v>
      </x:c>
      <x:c r="D1182" s="86" t="str">
        <x:v>Dia útil</x:v>
      </x:c>
      <x:c r="E1182" s="86" t="n">
        <x:v>8</x:v>
      </x:c>
      <x:c r="F1182" s="99" t="n">
        <x:v>0.5</x:v>
      </x:c>
      <x:c r="G1182" s="91" t="n">
        <x:v>174.5</x:v>
      </x:c>
      <x:c r="H1182" s="86" t="n">
        <x:v>1</x:v>
      </x:c>
      <x:c r="I1182" s="87" t="n">
        <x:v>3</x:v>
      </x:c>
    </x:row>
    <x:row r="1183">
      <x:c r="A1183" s="85" t="n">
        <x:v>1182</x:v>
      </x:c>
      <x:c r="B1183" s="86" t="n">
        <x:v>307</x:v>
      </x:c>
      <x:c r="C1183" s="95" t="n">
        <x:v>45693</x:v>
      </x:c>
      <x:c r="D1183" s="86" t="str">
        <x:v>Dia útil</x:v>
      </x:c>
      <x:c r="E1183" s="86" t="n">
        <x:v>3</x:v>
      </x:c>
      <x:c r="F1183" s="99" t="n">
        <x:v>0.5</x:v>
      </x:c>
      <x:c r="G1183" s="91" t="n">
        <x:v>88.6</x:v>
      </x:c>
      <x:c r="H1183" s="86" t="n">
        <x:v>1</x:v>
      </x:c>
      <x:c r="I1183" s="87" t="n">
        <x:v>3</x:v>
      </x:c>
    </x:row>
    <x:row r="1184">
      <x:c r="A1184" s="85" t="n">
        <x:v>1183</x:v>
      </x:c>
      <x:c r="B1184" s="86" t="n">
        <x:v>383</x:v>
      </x:c>
      <x:c r="C1184" s="95" t="n">
        <x:v>45960</x:v>
      </x:c>
      <x:c r="D1184" s="86" t="str">
        <x:v>Dia útil</x:v>
      </x:c>
      <x:c r="E1184" s="86" t="n">
        <x:v>8</x:v>
      </x:c>
      <x:c r="F1184" s="99" t="n">
        <x:v>0.5</x:v>
      </x:c>
      <x:c r="G1184" s="91" t="n">
        <x:v>250.78</x:v>
      </x:c>
      <x:c r="H1184" s="86" t="n">
        <x:v>0</x:v>
      </x:c>
      <x:c r="I1184" s="87" t="n">
        <x:v>3</x:v>
      </x:c>
    </x:row>
    <x:row r="1185">
      <x:c r="A1185" s="85" t="n">
        <x:v>1184</x:v>
      </x:c>
      <x:c r="B1185" s="86" t="n">
        <x:v>355</x:v>
      </x:c>
      <x:c r="C1185" s="95" t="n">
        <x:v>45522</x:v>
      </x:c>
      <x:c r="D1185" s="86" t="str">
        <x:v>Sábado</x:v>
      </x:c>
      <x:c r="E1185" s="86" t="n">
        <x:v>2</x:v>
      </x:c>
      <x:c r="F1185" s="99" t="n">
        <x:v>0.75</x:v>
      </x:c>
      <x:c r="G1185" s="91" t="n">
        <x:v>42.07</x:v>
      </x:c>
      <x:c r="H1185" s="86" t="n">
        <x:v>1</x:v>
      </x:c>
      <x:c r="I1185" s="87" t="n">
        <x:v>1</x:v>
      </x:c>
    </x:row>
    <x:row r="1186">
      <x:c r="A1186" s="85" t="n">
        <x:v>1185</x:v>
      </x:c>
      <x:c r="B1186" s="86" t="n">
        <x:v>199</x:v>
      </x:c>
      <x:c r="C1186" s="95" t="n">
        <x:v>45902</x:v>
      </x:c>
      <x:c r="D1186" s="86" t="str">
        <x:v>Dia útil</x:v>
      </x:c>
      <x:c r="E1186" s="86" t="n">
        <x:v>8</x:v>
      </x:c>
      <x:c r="F1186" s="99" t="n">
        <x:v>0.5</x:v>
      </x:c>
      <x:c r="G1186" s="91" t="n">
        <x:v>319.79</x:v>
      </x:c>
      <x:c r="H1186" s="86" t="n">
        <x:v>1</x:v>
      </x:c>
      <x:c r="I1186" s="87" t="n">
        <x:v>9</x:v>
      </x:c>
    </x:row>
    <x:row r="1187">
      <x:c r="A1187" s="85" t="n">
        <x:v>1186</x:v>
      </x:c>
      <x:c r="B1187" s="86" t="n">
        <x:v>290</x:v>
      </x:c>
      <x:c r="C1187" s="95" t="n">
        <x:v>45902</x:v>
      </x:c>
      <x:c r="D1187" s="86" t="str">
        <x:v>Sábado</x:v>
      </x:c>
      <x:c r="E1187" s="86" t="n">
        <x:v>3</x:v>
      </x:c>
      <x:c r="F1187" s="99" t="n">
        <x:v>0.75</x:v>
      </x:c>
      <x:c r="G1187" s="91" t="n">
        <x:v>107.33</x:v>
      </x:c>
      <x:c r="H1187" s="86" t="n">
        <x:v>1</x:v>
      </x:c>
      <x:c r="I1187" s="87" t="n">
        <x:v>3</x:v>
      </x:c>
    </x:row>
    <x:row r="1188">
      <x:c r="A1188" s="85" t="n">
        <x:v>1187</x:v>
      </x:c>
      <x:c r="B1188" s="86" t="n">
        <x:v>262</x:v>
      </x:c>
      <x:c r="C1188" s="95" t="n">
        <x:v>45889</x:v>
      </x:c>
      <x:c r="D1188" s="86" t="str">
        <x:v>Dia útil</x:v>
      </x:c>
      <x:c r="E1188" s="86" t="n">
        <x:v>1</x:v>
      </x:c>
      <x:c r="F1188" s="99" t="n">
        <x:v>0.5</x:v>
      </x:c>
      <x:c r="G1188" s="91" t="n">
        <x:v>21.43</x:v>
      </x:c>
      <x:c r="H1188" s="86" t="n">
        <x:v>1</x:v>
      </x:c>
      <x:c r="I1188" s="87" t="n">
        <x:v>1</x:v>
      </x:c>
    </x:row>
    <x:row r="1189">
      <x:c r="A1189" s="85" t="n">
        <x:v>1188</x:v>
      </x:c>
      <x:c r="B1189" s="86" t="n">
        <x:v>294</x:v>
      </x:c>
      <x:c r="C1189" s="95" t="n">
        <x:v>45958</x:v>
      </x:c>
      <x:c r="D1189" s="86" t="str">
        <x:v>Dia útil</x:v>
      </x:c>
      <x:c r="E1189" s="86" t="n">
        <x:v>6</x:v>
      </x:c>
      <x:c r="F1189" s="99" t="n">
        <x:v>0.5</x:v>
      </x:c>
      <x:c r="G1189" s="91" t="n">
        <x:v>158.16</x:v>
      </x:c>
      <x:c r="H1189" s="86" t="n">
        <x:v>1</x:v>
      </x:c>
      <x:c r="I1189" s="87" t="n">
        <x:v>2</x:v>
      </x:c>
    </x:row>
    <x:row r="1190">
      <x:c r="A1190" s="85" t="n">
        <x:v>1189</x:v>
      </x:c>
      <x:c r="B1190" s="86" t="n">
        <x:v>399</x:v>
      </x:c>
      <x:c r="C1190" s="95" t="n">
        <x:v>45544</x:v>
      </x:c>
      <x:c r="D1190" s="86" t="str">
        <x:v>Dia útil</x:v>
      </x:c>
      <x:c r="E1190" s="86" t="n">
        <x:v>6</x:v>
      </x:c>
      <x:c r="F1190" s="99" t="n">
        <x:v>0.5</x:v>
      </x:c>
      <x:c r="G1190" s="91" t="n">
        <x:v>138.82</x:v>
      </x:c>
      <x:c r="H1190" s="86" t="n">
        <x:v>1</x:v>
      </x:c>
      <x:c r="I1190" s="87" t="n">
        <x:v>1</x:v>
      </x:c>
    </x:row>
    <x:row r="1191">
      <x:c r="A1191" s="85" t="n">
        <x:v>1190</x:v>
      </x:c>
      <x:c r="B1191" s="86" t="n">
        <x:v>172</x:v>
      </x:c>
      <x:c r="C1191" s="95" t="n">
        <x:v>45498</x:v>
      </x:c>
      <x:c r="D1191" s="86" t="str">
        <x:v>Sábado</x:v>
      </x:c>
      <x:c r="E1191" s="86" t="n">
        <x:v>6</x:v>
      </x:c>
      <x:c r="F1191" s="99" t="n">
        <x:v>0.75</x:v>
      </x:c>
      <x:c r="G1191" s="91" t="n">
        <x:v>118.26</x:v>
      </x:c>
      <x:c r="H1191" s="86" t="n">
        <x:v>1</x:v>
      </x:c>
      <x:c r="I1191" s="87" t="n">
        <x:v>1</x:v>
      </x:c>
    </x:row>
    <x:row r="1192">
      <x:c r="A1192" s="85" t="n">
        <x:v>1191</x:v>
      </x:c>
      <x:c r="B1192" s="86" t="n">
        <x:v>393</x:v>
      </x:c>
      <x:c r="C1192" s="95" t="n">
        <x:v>45421</x:v>
      </x:c>
      <x:c r="D1192" s="86" t="str">
        <x:v>Dia útil</x:v>
      </x:c>
      <x:c r="E1192" s="86" t="n">
        <x:v>8</x:v>
      </x:c>
      <x:c r="F1192" s="99" t="n">
        <x:v>0.5</x:v>
      </x:c>
      <x:c r="G1192" s="91" t="n">
        <x:v>141.23</x:v>
      </x:c>
      <x:c r="H1192" s="86" t="n">
        <x:v>1</x:v>
      </x:c>
      <x:c r="I1192" s="87" t="n">
        <x:v>1</x:v>
      </x:c>
    </x:row>
    <x:row r="1193">
      <x:c r="A1193" s="85" t="n">
        <x:v>1192</x:v>
      </x:c>
      <x:c r="B1193" s="86" t="n">
        <x:v>177</x:v>
      </x:c>
      <x:c r="C1193" s="95" t="n">
        <x:v>46017</x:v>
      </x:c>
      <x:c r="D1193" s="86" t="str">
        <x:v>Dia útil</x:v>
      </x:c>
      <x:c r="E1193" s="86" t="n">
        <x:v>4</x:v>
      </x:c>
      <x:c r="F1193" s="99" t="n">
        <x:v>0.5</x:v>
      </x:c>
      <x:c r="G1193" s="91" t="n">
        <x:v>242.37</x:v>
      </x:c>
      <x:c r="H1193" s="86" t="n">
        <x:v>1</x:v>
      </x:c>
      <x:c r="I1193" s="87" t="n">
        <x:v>3</x:v>
      </x:c>
    </x:row>
    <x:row r="1194">
      <x:c r="A1194" s="85" t="n">
        <x:v>1193</x:v>
      </x:c>
      <x:c r="B1194" s="86" t="n">
        <x:v>62</x:v>
      </x:c>
      <x:c r="C1194" s="95" t="n">
        <x:v>45521</x:v>
      </x:c>
      <x:c r="D1194" s="86" t="str">
        <x:v>Dia útil</x:v>
      </x:c>
      <x:c r="E1194" s="86" t="n">
        <x:v>6</x:v>
      </x:c>
      <x:c r="F1194" s="99" t="n">
        <x:v>0.5</x:v>
      </x:c>
      <x:c r="G1194" s="91" t="n">
        <x:v>184.84</x:v>
      </x:c>
      <x:c r="H1194" s="86" t="n">
        <x:v>1</x:v>
      </x:c>
      <x:c r="I1194" s="87" t="n">
        <x:v>2</x:v>
      </x:c>
    </x:row>
    <x:row r="1195">
      <x:c r="A1195" s="85" t="n">
        <x:v>1194</x:v>
      </x:c>
      <x:c r="B1195" s="86" t="n">
        <x:v>205</x:v>
      </x:c>
      <x:c r="C1195" s="95" t="n">
        <x:v>46003</x:v>
      </x:c>
      <x:c r="D1195" s="86" t="str">
        <x:v>Sábado</x:v>
      </x:c>
      <x:c r="E1195" s="86" t="n">
        <x:v>8</x:v>
      </x:c>
      <x:c r="F1195" s="99" t="n">
        <x:v>0.75</x:v>
      </x:c>
      <x:c r="G1195" s="91" t="n">
        <x:v>272.65</x:v>
      </x:c>
      <x:c r="H1195" s="86" t="n">
        <x:v>1</x:v>
      </x:c>
      <x:c r="I1195" s="87" t="n">
        <x:v>4</x:v>
      </x:c>
    </x:row>
    <x:row r="1196">
      <x:c r="A1196" s="85" t="n">
        <x:v>1195</x:v>
      </x:c>
      <x:c r="B1196" s="86" t="n">
        <x:v>410</x:v>
      </x:c>
      <x:c r="C1196" s="95" t="n">
        <x:v>45900</x:v>
      </x:c>
      <x:c r="D1196" s="86" t="str">
        <x:v>Dia útil</x:v>
      </x:c>
      <x:c r="E1196" s="86" t="n">
        <x:v>1</x:v>
      </x:c>
      <x:c r="F1196" s="99" t="n">
        <x:v>0.5</x:v>
      </x:c>
      <x:c r="G1196" s="91" t="n">
        <x:v>22.56</x:v>
      </x:c>
      <x:c r="H1196" s="86" t="n">
        <x:v>1</x:v>
      </x:c>
      <x:c r="I1196" s="87" t="n">
        <x:v>2</x:v>
      </x:c>
    </x:row>
    <x:row r="1197">
      <x:c r="A1197" s="85" t="n">
        <x:v>1196</x:v>
      </x:c>
      <x:c r="B1197" s="86" t="n">
        <x:v>334</x:v>
      </x:c>
      <x:c r="C1197" s="95" t="n">
        <x:v>45863</x:v>
      </x:c>
      <x:c r="D1197" s="86" t="str">
        <x:v>Dia útil</x:v>
      </x:c>
      <x:c r="E1197" s="86" t="n">
        <x:v>8</x:v>
      </x:c>
      <x:c r="F1197" s="99" t="n">
        <x:v>0.5</x:v>
      </x:c>
      <x:c r="G1197" s="91" t="n">
        <x:v>400.84</x:v>
      </x:c>
      <x:c r="H1197" s="86" t="n">
        <x:v>1</x:v>
      </x:c>
      <x:c r="I1197" s="87" t="n">
        <x:v>5</x:v>
      </x:c>
    </x:row>
    <x:row r="1198">
      <x:c r="A1198" s="85" t="n">
        <x:v>1197</x:v>
      </x:c>
      <x:c r="B1198" s="86" t="n">
        <x:v>57</x:v>
      </x:c>
      <x:c r="C1198" s="95" t="n">
        <x:v>45501</x:v>
      </x:c>
      <x:c r="D1198" s="86" t="str">
        <x:v>Domingo/Feriado</x:v>
      </x:c>
      <x:c r="E1198" s="86" t="n">
        <x:v>6</x:v>
      </x:c>
      <x:c r="F1198" s="99" t="n">
        <x:v>1</x:v>
      </x:c>
      <x:c r="G1198" s="91" t="n">
        <x:v>357.46</x:v>
      </x:c>
      <x:c r="H1198" s="86" t="n">
        <x:v>1</x:v>
      </x:c>
      <x:c r="I1198" s="87" t="n">
        <x:v>5</x:v>
      </x:c>
    </x:row>
    <x:row r="1199">
      <x:c r="A1199" s="85" t="n">
        <x:v>1198</x:v>
      </x:c>
      <x:c r="B1199" s="86" t="n">
        <x:v>368</x:v>
      </x:c>
      <x:c r="C1199" s="95" t="n">
        <x:v>45976</x:v>
      </x:c>
      <x:c r="D1199" s="86" t="str">
        <x:v>Dia útil</x:v>
      </x:c>
      <x:c r="E1199" s="86" t="n">
        <x:v>1</x:v>
      </x:c>
      <x:c r="F1199" s="99" t="n">
        <x:v>0.5</x:v>
      </x:c>
      <x:c r="G1199" s="91" t="n">
        <x:v>15.2</x:v>
      </x:c>
      <x:c r="H1199" s="86" t="n">
        <x:v>1</x:v>
      </x:c>
      <x:c r="I1199" s="87" t="n">
        <x:v>1</x:v>
      </x:c>
    </x:row>
    <x:row r="1200">
      <x:c r="A1200" s="85" t="n">
        <x:v>1199</x:v>
      </x:c>
      <x:c r="B1200" s="86" t="n">
        <x:v>26</x:v>
      </x:c>
      <x:c r="C1200" s="95" t="n">
        <x:v>45691</x:v>
      </x:c>
      <x:c r="D1200" s="86" t="str">
        <x:v>Dia útil</x:v>
      </x:c>
      <x:c r="E1200" s="86" t="n">
        <x:v>3</x:v>
      </x:c>
      <x:c r="F1200" s="99" t="n">
        <x:v>0.5</x:v>
      </x:c>
      <x:c r="G1200" s="91" t="n">
        <x:v>173.63</x:v>
      </x:c>
      <x:c r="H1200" s="86" t="n">
        <x:v>1</x:v>
      </x:c>
      <x:c r="I1200" s="87" t="n">
        <x:v>3</x:v>
      </x:c>
    </x:row>
    <x:row r="1201">
      <x:c r="A1201" s="85" t="n">
        <x:v>1200</x:v>
      </x:c>
      <x:c r="B1201" s="86" t="n">
        <x:v>20</x:v>
      </x:c>
      <x:c r="C1201" s="95" t="n">
        <x:v>45498</x:v>
      </x:c>
      <x:c r="D1201" s="86" t="str">
        <x:v>Domingo/Feriado</x:v>
      </x:c>
      <x:c r="E1201" s="86" t="n">
        <x:v>2</x:v>
      </x:c>
      <x:c r="F1201" s="99" t="n">
        <x:v>1</x:v>
      </x:c>
      <x:c r="G1201" s="91" t="n">
        <x:v>153.14</x:v>
      </x:c>
      <x:c r="H1201" s="86" t="n">
        <x:v>1</x:v>
      </x:c>
      <x:c r="I1201" s="87" t="n">
        <x:v>4</x:v>
      </x:c>
    </x:row>
    <x:row r="1202">
      <x:c r="A1202" s="85" t="n">
        <x:v>1201</x:v>
      </x:c>
      <x:c r="B1202" s="86" t="n">
        <x:v>403</x:v>
      </x:c>
      <x:c r="C1202" s="95" t="n">
        <x:v>45705</x:v>
      </x:c>
      <x:c r="D1202" s="86" t="str">
        <x:v>Domingo/Feriado</x:v>
      </x:c>
      <x:c r="E1202" s="86" t="n">
        <x:v>4</x:v>
      </x:c>
      <x:c r="F1202" s="99" t="n">
        <x:v>1</x:v>
      </x:c>
      <x:c r="G1202" s="91" t="n">
        <x:v>184.09</x:v>
      </x:c>
      <x:c r="H1202" s="86" t="n">
        <x:v>1</x:v>
      </x:c>
      <x:c r="I1202" s="87" t="n">
        <x:v>6</x:v>
      </x:c>
    </x:row>
    <x:row r="1203">
      <x:c r="A1203" s="85" t="n">
        <x:v>1202</x:v>
      </x:c>
      <x:c r="B1203" s="86" t="n">
        <x:v>53</x:v>
      </x:c>
      <x:c r="C1203" s="95" t="n">
        <x:v>45996</x:v>
      </x:c>
      <x:c r="D1203" s="86" t="str">
        <x:v>Dia útil</x:v>
      </x:c>
      <x:c r="E1203" s="86" t="n">
        <x:v>6</x:v>
      </x:c>
      <x:c r="F1203" s="99" t="n">
        <x:v>0.5</x:v>
      </x:c>
      <x:c r="G1203" s="91" t="n">
        <x:v>189.38</x:v>
      </x:c>
      <x:c r="H1203" s="86" t="n">
        <x:v>1</x:v>
      </x:c>
      <x:c r="I1203" s="87" t="n">
        <x:v>7</x:v>
      </x:c>
    </x:row>
    <x:row r="1204">
      <x:c r="A1204" s="85" t="n">
        <x:v>1203</x:v>
      </x:c>
      <x:c r="B1204" s="86" t="n">
        <x:v>405</x:v>
      </x:c>
      <x:c r="C1204" s="95" t="n">
        <x:v>45731</x:v>
      </x:c>
      <x:c r="D1204" s="86" t="str">
        <x:v>Sábado</x:v>
      </x:c>
      <x:c r="E1204" s="86" t="n">
        <x:v>1</x:v>
      </x:c>
      <x:c r="F1204" s="99" t="n">
        <x:v>0.75</x:v>
      </x:c>
      <x:c r="G1204" s="91" t="n">
        <x:v>60.86</x:v>
      </x:c>
      <x:c r="H1204" s="86" t="n">
        <x:v>1</x:v>
      </x:c>
      <x:c r="I1204" s="87" t="n">
        <x:v>10</x:v>
      </x:c>
    </x:row>
    <x:row r="1205">
      <x:c r="A1205" s="85" t="n">
        <x:v>1204</x:v>
      </x:c>
      <x:c r="B1205" s="86" t="n">
        <x:v>195</x:v>
      </x:c>
      <x:c r="C1205" s="95" t="n">
        <x:v>45725</x:v>
      </x:c>
      <x:c r="D1205" s="86" t="str">
        <x:v>Dia útil</x:v>
      </x:c>
      <x:c r="E1205" s="86" t="n">
        <x:v>2</x:v>
      </x:c>
      <x:c r="F1205" s="99" t="n">
        <x:v>0.5</x:v>
      </x:c>
      <x:c r="G1205" s="91" t="n">
        <x:v>73.24</x:v>
      </x:c>
      <x:c r="H1205" s="86" t="n">
        <x:v>1</x:v>
      </x:c>
      <x:c r="I1205" s="87" t="n">
        <x:v>4</x:v>
      </x:c>
    </x:row>
    <x:row r="1206">
      <x:c r="A1206" s="85" t="n">
        <x:v>1205</x:v>
      </x:c>
      <x:c r="B1206" s="86" t="n">
        <x:v>23</x:v>
      </x:c>
      <x:c r="C1206" s="95" t="n">
        <x:v>45573</x:v>
      </x:c>
      <x:c r="D1206" s="86" t="str">
        <x:v>Dia útil</x:v>
      </x:c>
      <x:c r="E1206" s="86" t="n">
        <x:v>3</x:v>
      </x:c>
      <x:c r="F1206" s="99" t="n">
        <x:v>0.5</x:v>
      </x:c>
      <x:c r="G1206" s="91" t="n">
        <x:v>199.87</x:v>
      </x:c>
      <x:c r="H1206" s="86" t="n">
        <x:v>1</x:v>
      </x:c>
      <x:c r="I1206" s="87" t="n">
        <x:v>5</x:v>
      </x:c>
    </x:row>
    <x:row r="1207">
      <x:c r="A1207" s="85" t="n">
        <x:v>1206</x:v>
      </x:c>
      <x:c r="B1207" s="86" t="n">
        <x:v>283</x:v>
      </x:c>
      <x:c r="C1207" s="95" t="n">
        <x:v>45838</x:v>
      </x:c>
      <x:c r="D1207" s="86" t="str">
        <x:v>Dia útil</x:v>
      </x:c>
      <x:c r="E1207" s="86" t="n">
        <x:v>8</x:v>
      </x:c>
      <x:c r="F1207" s="99" t="n">
        <x:v>0.5</x:v>
      </x:c>
      <x:c r="G1207" s="91" t="n">
        <x:v>183.87</x:v>
      </x:c>
      <x:c r="H1207" s="86" t="n">
        <x:v>1</x:v>
      </x:c>
      <x:c r="I1207" s="87" t="n">
        <x:v>1</x:v>
      </x:c>
    </x:row>
    <x:row r="1208">
      <x:c r="A1208" s="85" t="n">
        <x:v>1207</x:v>
      </x:c>
      <x:c r="B1208" s="86" t="n">
        <x:v>158</x:v>
      </x:c>
      <x:c r="C1208" s="95" t="n">
        <x:v>45511</x:v>
      </x:c>
      <x:c r="D1208" s="86" t="str">
        <x:v>Sábado</x:v>
      </x:c>
      <x:c r="E1208" s="86" t="n">
        <x:v>8</x:v>
      </x:c>
      <x:c r="F1208" s="99" t="n">
        <x:v>0.75</x:v>
      </x:c>
      <x:c r="G1208" s="91" t="n">
        <x:v>404.25</x:v>
      </x:c>
      <x:c r="H1208" s="86" t="n">
        <x:v>1</x:v>
      </x:c>
      <x:c r="I1208" s="87" t="n">
        <x:v>10</x:v>
      </x:c>
    </x:row>
    <x:row r="1209">
      <x:c r="A1209" s="85" t="n">
        <x:v>1208</x:v>
      </x:c>
      <x:c r="B1209" s="86" t="n">
        <x:v>91</x:v>
      </x:c>
      <x:c r="C1209" s="95" t="n">
        <x:v>45796</x:v>
      </x:c>
      <x:c r="D1209" s="86" t="str">
        <x:v>Sábado</x:v>
      </x:c>
      <x:c r="E1209" s="86" t="n">
        <x:v>8</x:v>
      </x:c>
      <x:c r="F1209" s="99" t="n">
        <x:v>0.75</x:v>
      </x:c>
      <x:c r="G1209" s="91" t="n">
        <x:v>501.2</x:v>
      </x:c>
      <x:c r="H1209" s="86" t="n">
        <x:v>1</x:v>
      </x:c>
      <x:c r="I1209" s="87" t="n">
        <x:v>1</x:v>
      </x:c>
    </x:row>
    <x:row r="1210">
      <x:c r="A1210" s="85" t="n">
        <x:v>1209</x:v>
      </x:c>
      <x:c r="B1210" s="86" t="n">
        <x:v>89</x:v>
      </x:c>
      <x:c r="C1210" s="95" t="n">
        <x:v>45613</x:v>
      </x:c>
      <x:c r="D1210" s="86" t="str">
        <x:v>Dia útil</x:v>
      </x:c>
      <x:c r="E1210" s="86" t="n">
        <x:v>2</x:v>
      </x:c>
      <x:c r="F1210" s="99" t="n">
        <x:v>0.5</x:v>
      </x:c>
      <x:c r="G1210" s="91" t="n">
        <x:v>42.94</x:v>
      </x:c>
      <x:c r="H1210" s="86" t="n">
        <x:v>1</x:v>
      </x:c>
      <x:c r="I1210" s="87" t="n">
        <x:v>3</x:v>
      </x:c>
    </x:row>
    <x:row r="1211">
      <x:c r="A1211" s="85" t="n">
        <x:v>1210</x:v>
      </x:c>
      <x:c r="B1211" s="86" t="n">
        <x:v>93</x:v>
      </x:c>
      <x:c r="C1211" s="95" t="n">
        <x:v>45374</x:v>
      </x:c>
      <x:c r="D1211" s="86" t="str">
        <x:v>Dia útil</x:v>
      </x:c>
      <x:c r="E1211" s="86" t="n">
        <x:v>1</x:v>
      </x:c>
      <x:c r="F1211" s="99" t="n">
        <x:v>0.5</x:v>
      </x:c>
      <x:c r="G1211" s="91" t="n">
        <x:v>34.76</x:v>
      </x:c>
      <x:c r="H1211" s="86" t="n">
        <x:v>1</x:v>
      </x:c>
      <x:c r="I1211" s="87" t="n">
        <x:v>8</x:v>
      </x:c>
    </x:row>
    <x:row r="1212">
      <x:c r="A1212" s="85" t="n">
        <x:v>1211</x:v>
      </x:c>
      <x:c r="B1212" s="86" t="n">
        <x:v>90</x:v>
      </x:c>
      <x:c r="C1212" s="95" t="n">
        <x:v>45708</x:v>
      </x:c>
      <x:c r="D1212" s="86" t="str">
        <x:v>Dia útil</x:v>
      </x:c>
      <x:c r="E1212" s="86" t="n">
        <x:v>2</x:v>
      </x:c>
      <x:c r="F1212" s="99" t="n">
        <x:v>0.5</x:v>
      </x:c>
      <x:c r="G1212" s="91" t="n">
        <x:v>72.62</x:v>
      </x:c>
      <x:c r="H1212" s="86" t="n">
        <x:v>1</x:v>
      </x:c>
      <x:c r="I1212" s="87" t="n">
        <x:v>6</x:v>
      </x:c>
    </x:row>
    <x:row r="1213">
      <x:c r="A1213" s="85" t="n">
        <x:v>1212</x:v>
      </x:c>
      <x:c r="B1213" s="86" t="n">
        <x:v>266</x:v>
      </x:c>
      <x:c r="C1213" s="95" t="n">
        <x:v>45831</x:v>
      </x:c>
      <x:c r="D1213" s="86" t="str">
        <x:v>Dia útil</x:v>
      </x:c>
      <x:c r="E1213" s="86" t="n">
        <x:v>3</x:v>
      </x:c>
      <x:c r="F1213" s="99" t="n">
        <x:v>0.5</x:v>
      </x:c>
      <x:c r="G1213" s="91" t="n">
        <x:v>56.67</x:v>
      </x:c>
      <x:c r="H1213" s="86" t="n">
        <x:v>1</x:v>
      </x:c>
      <x:c r="I1213" s="87" t="n">
        <x:v>1</x:v>
      </x:c>
    </x:row>
    <x:row r="1214">
      <x:c r="A1214" s="85" t="n">
        <x:v>1213</x:v>
      </x:c>
      <x:c r="B1214" s="86" t="n">
        <x:v>38</x:v>
      </x:c>
      <x:c r="C1214" s="95" t="n">
        <x:v>45995</x:v>
      </x:c>
      <x:c r="D1214" s="86" t="str">
        <x:v>Dia útil</x:v>
      </x:c>
      <x:c r="E1214" s="86" t="n">
        <x:v>1</x:v>
      </x:c>
      <x:c r="F1214" s="99" t="n">
        <x:v>0.5</x:v>
      </x:c>
      <x:c r="G1214" s="91" t="n">
        <x:v>111</x:v>
      </x:c>
      <x:c r="H1214" s="86" t="n">
        <x:v>1</x:v>
      </x:c>
      <x:c r="I1214" s="87" t="n">
        <x:v>5</x:v>
      </x:c>
    </x:row>
    <x:row r="1215">
      <x:c r="A1215" s="85" t="n">
        <x:v>1214</x:v>
      </x:c>
      <x:c r="B1215" s="86" t="n">
        <x:v>222</x:v>
      </x:c>
      <x:c r="C1215" s="95" t="n">
        <x:v>45768</x:v>
      </x:c>
      <x:c r="D1215" s="86" t="str">
        <x:v>Dia útil</x:v>
      </x:c>
      <x:c r="E1215" s="86" t="n">
        <x:v>1</x:v>
      </x:c>
      <x:c r="F1215" s="99" t="n">
        <x:v>0.5</x:v>
      </x:c>
      <x:c r="G1215" s="91" t="n">
        <x:v>47.91</x:v>
      </x:c>
      <x:c r="H1215" s="86" t="n">
        <x:v>1</x:v>
      </x:c>
      <x:c r="I1215" s="87" t="n">
        <x:v>6</x:v>
      </x:c>
    </x:row>
    <x:row r="1216">
      <x:c r="A1216" s="85" t="n">
        <x:v>1215</x:v>
      </x:c>
      <x:c r="B1216" s="86" t="n">
        <x:v>121</x:v>
      </x:c>
      <x:c r="C1216" s="95" t="n">
        <x:v>45998</x:v>
      </x:c>
      <x:c r="D1216" s="86" t="str">
        <x:v>Dia útil</x:v>
      </x:c>
      <x:c r="E1216" s="86" t="n">
        <x:v>3</x:v>
      </x:c>
      <x:c r="F1216" s="99" t="n">
        <x:v>0.5</x:v>
      </x:c>
      <x:c r="G1216" s="91" t="n">
        <x:v>97.22</x:v>
      </x:c>
      <x:c r="H1216" s="86" t="n">
        <x:v>1</x:v>
      </x:c>
      <x:c r="I1216" s="87" t="n">
        <x:v>4</x:v>
      </x:c>
    </x:row>
    <x:row r="1217">
      <x:c r="A1217" s="85" t="n">
        <x:v>1216</x:v>
      </x:c>
      <x:c r="B1217" s="86" t="n">
        <x:v>415</x:v>
      </x:c>
      <x:c r="C1217" s="95" t="n">
        <x:v>45993</x:v>
      </x:c>
      <x:c r="D1217" s="86" t="str">
        <x:v>Domingo/Feriado</x:v>
      </x:c>
      <x:c r="E1217" s="86" t="n">
        <x:v>8</x:v>
      </x:c>
      <x:c r="F1217" s="99" t="n">
        <x:v>1</x:v>
      </x:c>
      <x:c r="G1217" s="91" t="n">
        <x:v>209.98</x:v>
      </x:c>
      <x:c r="H1217" s="86" t="n">
        <x:v>1</x:v>
      </x:c>
      <x:c r="I1217" s="87" t="n">
        <x:v>1</x:v>
      </x:c>
    </x:row>
    <x:row r="1218">
      <x:c r="A1218" s="85" t="n">
        <x:v>1217</x:v>
      </x:c>
      <x:c r="B1218" s="86" t="n">
        <x:v>197</x:v>
      </x:c>
      <x:c r="C1218" s="95" t="n">
        <x:v>45876</x:v>
      </x:c>
      <x:c r="D1218" s="86" t="str">
        <x:v>Dia útil</x:v>
      </x:c>
      <x:c r="E1218" s="86" t="n">
        <x:v>3</x:v>
      </x:c>
      <x:c r="F1218" s="99" t="n">
        <x:v>0.5</x:v>
      </x:c>
      <x:c r="G1218" s="91" t="n">
        <x:v>72.23</x:v>
      </x:c>
      <x:c r="H1218" s="86" t="n">
        <x:v>1</x:v>
      </x:c>
      <x:c r="I1218" s="87" t="n">
        <x:v>1</x:v>
      </x:c>
    </x:row>
    <x:row r="1219">
      <x:c r="A1219" s="85" t="n">
        <x:v>1218</x:v>
      </x:c>
      <x:c r="B1219" s="86" t="n">
        <x:v>343</x:v>
      </x:c>
      <x:c r="C1219" s="95" t="n">
        <x:v>45928</x:v>
      </x:c>
      <x:c r="D1219" s="86" t="str">
        <x:v>Dia útil</x:v>
      </x:c>
      <x:c r="E1219" s="86" t="n">
        <x:v>4</x:v>
      </x:c>
      <x:c r="F1219" s="99" t="n">
        <x:v>0.5</x:v>
      </x:c>
      <x:c r="G1219" s="91" t="n">
        <x:v>182.03</x:v>
      </x:c>
      <x:c r="H1219" s="86" t="n">
        <x:v>1</x:v>
      </x:c>
      <x:c r="I1219" s="87" t="n">
        <x:v>8</x:v>
      </x:c>
    </x:row>
    <x:row r="1220">
      <x:c r="A1220" s="85" t="n">
        <x:v>1219</x:v>
      </x:c>
      <x:c r="B1220" s="86" t="n">
        <x:v>323</x:v>
      </x:c>
      <x:c r="C1220" s="95" t="n">
        <x:v>46022</x:v>
      </x:c>
      <x:c r="D1220" s="86" t="str">
        <x:v>Sábado</x:v>
      </x:c>
      <x:c r="E1220" s="86" t="n">
        <x:v>3</x:v>
      </x:c>
      <x:c r="F1220" s="99" t="n">
        <x:v>0.75</x:v>
      </x:c>
      <x:c r="G1220" s="91" t="n">
        <x:v>179.02</x:v>
      </x:c>
      <x:c r="H1220" s="86" t="n">
        <x:v>1</x:v>
      </x:c>
      <x:c r="I1220" s="87" t="n">
        <x:v>5</x:v>
      </x:c>
    </x:row>
    <x:row r="1221">
      <x:c r="A1221" s="85" t="n">
        <x:v>1220</x:v>
      </x:c>
      <x:c r="B1221" s="86" t="n">
        <x:v>344</x:v>
      </x:c>
      <x:c r="C1221" s="95" t="n">
        <x:v>45727</x:v>
      </x:c>
      <x:c r="D1221" s="86" t="str">
        <x:v>Dia útil</x:v>
      </x:c>
      <x:c r="E1221" s="86" t="n">
        <x:v>2</x:v>
      </x:c>
      <x:c r="F1221" s="99" t="n">
        <x:v>0.5</x:v>
      </x:c>
      <x:c r="G1221" s="91" t="n">
        <x:v>34.79</x:v>
      </x:c>
      <x:c r="H1221" s="86" t="n">
        <x:v>1</x:v>
      </x:c>
      <x:c r="I1221" s="87" t="n">
        <x:v>1</x:v>
      </x:c>
    </x:row>
    <x:row r="1222">
      <x:c r="A1222" s="85" t="n">
        <x:v>1221</x:v>
      </x:c>
      <x:c r="B1222" s="86" t="n">
        <x:v>417</x:v>
      </x:c>
      <x:c r="C1222" s="95" t="n">
        <x:v>45960</x:v>
      </x:c>
      <x:c r="D1222" s="86" t="str">
        <x:v>Dia útil</x:v>
      </x:c>
      <x:c r="E1222" s="86" t="n">
        <x:v>1</x:v>
      </x:c>
      <x:c r="F1222" s="99" t="n">
        <x:v>0.5</x:v>
      </x:c>
      <x:c r="G1222" s="91" t="n">
        <x:v>30.54</x:v>
      </x:c>
      <x:c r="H1222" s="86" t="n">
        <x:v>1</x:v>
      </x:c>
      <x:c r="I1222" s="87" t="n">
        <x:v>3</x:v>
      </x:c>
    </x:row>
    <x:row r="1223">
      <x:c r="A1223" s="85" t="n">
        <x:v>1222</x:v>
      </x:c>
      <x:c r="B1223" s="86" t="n">
        <x:v>8</x:v>
      </x:c>
      <x:c r="C1223" s="95" t="n">
        <x:v>45878</x:v>
      </x:c>
      <x:c r="D1223" s="86" t="str">
        <x:v>Dia útil</x:v>
      </x:c>
      <x:c r="E1223" s="86" t="n">
        <x:v>2</x:v>
      </x:c>
      <x:c r="F1223" s="99" t="n">
        <x:v>0.5</x:v>
      </x:c>
      <x:c r="G1223" s="91" t="n">
        <x:v>154.29</x:v>
      </x:c>
      <x:c r="H1223" s="86" t="n">
        <x:v>1</x:v>
      </x:c>
      <x:c r="I1223" s="87" t="n">
        <x:v>2</x:v>
      </x:c>
    </x:row>
    <x:row r="1224">
      <x:c r="A1224" s="85" t="n">
        <x:v>1223</x:v>
      </x:c>
      <x:c r="B1224" s="86" t="n">
        <x:v>228</x:v>
      </x:c>
      <x:c r="C1224" s="95" t="n">
        <x:v>45569</x:v>
      </x:c>
      <x:c r="D1224" s="86" t="str">
        <x:v>Domingo/Feriado</x:v>
      </x:c>
      <x:c r="E1224" s="86" t="n">
        <x:v>6</x:v>
      </x:c>
      <x:c r="F1224" s="99" t="n">
        <x:v>1</x:v>
      </x:c>
      <x:c r="G1224" s="91" t="n">
        <x:v>237.03</x:v>
      </x:c>
      <x:c r="H1224" s="86" t="n">
        <x:v>1</x:v>
      </x:c>
      <x:c r="I1224" s="87" t="n">
        <x:v>3</x:v>
      </x:c>
    </x:row>
    <x:row r="1225">
      <x:c r="A1225" s="85" t="n">
        <x:v>1224</x:v>
      </x:c>
      <x:c r="B1225" s="86" t="n">
        <x:v>291</x:v>
      </x:c>
      <x:c r="C1225" s="95" t="n">
        <x:v>45887</x:v>
      </x:c>
      <x:c r="D1225" s="86" t="str">
        <x:v>Dia útil</x:v>
      </x:c>
      <x:c r="E1225" s="86" t="n">
        <x:v>2</x:v>
      </x:c>
      <x:c r="F1225" s="99" t="n">
        <x:v>0.5</x:v>
      </x:c>
      <x:c r="G1225" s="91" t="n">
        <x:v>67.9</x:v>
      </x:c>
      <x:c r="H1225" s="86" t="n">
        <x:v>1</x:v>
      </x:c>
      <x:c r="I1225" s="87" t="n">
        <x:v>8</x:v>
      </x:c>
    </x:row>
    <x:row r="1226">
      <x:c r="A1226" s="85" t="n">
        <x:v>1225</x:v>
      </x:c>
      <x:c r="B1226" s="86" t="n">
        <x:v>111</x:v>
      </x:c>
      <x:c r="C1226" s="95" t="n">
        <x:v>45729</x:v>
      </x:c>
      <x:c r="D1226" s="86" t="str">
        <x:v>Dia útil</x:v>
      </x:c>
      <x:c r="E1226" s="86" t="n">
        <x:v>1</x:v>
      </x:c>
      <x:c r="F1226" s="99" t="n">
        <x:v>0.5</x:v>
      </x:c>
      <x:c r="G1226" s="91" t="n">
        <x:v>71.34</x:v>
      </x:c>
      <x:c r="H1226" s="86" t="n">
        <x:v>1</x:v>
      </x:c>
      <x:c r="I1226" s="87" t="n">
        <x:v>2</x:v>
      </x:c>
    </x:row>
    <x:row r="1227">
      <x:c r="A1227" s="85" t="n">
        <x:v>1226</x:v>
      </x:c>
      <x:c r="B1227" s="86" t="n">
        <x:v>280</x:v>
      </x:c>
      <x:c r="C1227" s="95" t="n">
        <x:v>45602</x:v>
      </x:c>
      <x:c r="D1227" s="86" t="str">
        <x:v>Sábado</x:v>
      </x:c>
      <x:c r="E1227" s="86" t="n">
        <x:v>2</x:v>
      </x:c>
      <x:c r="F1227" s="99" t="n">
        <x:v>0.75</x:v>
      </x:c>
      <x:c r="G1227" s="91" t="n">
        <x:v>48.38</x:v>
      </x:c>
      <x:c r="H1227" s="86" t="n">
        <x:v>1</x:v>
      </x:c>
      <x:c r="I1227" s="87" t="n">
        <x:v>1</x:v>
      </x:c>
    </x:row>
    <x:row r="1228">
      <x:c r="A1228" s="85" t="n">
        <x:v>1227</x:v>
      </x:c>
      <x:c r="B1228" s="86" t="n">
        <x:v>166</x:v>
      </x:c>
      <x:c r="C1228" s="95" t="n">
        <x:v>45927</x:v>
      </x:c>
      <x:c r="D1228" s="86" t="str">
        <x:v>Dia útil</x:v>
      </x:c>
      <x:c r="E1228" s="86" t="n">
        <x:v>3</x:v>
      </x:c>
      <x:c r="F1228" s="99" t="n">
        <x:v>0.5</x:v>
      </x:c>
      <x:c r="G1228" s="91" t="n">
        <x:v>46.35</x:v>
      </x:c>
      <x:c r="H1228" s="86" t="n">
        <x:v>1</x:v>
      </x:c>
      <x:c r="I1228" s="87" t="n">
        <x:v>1</x:v>
      </x:c>
    </x:row>
    <x:row r="1229">
      <x:c r="A1229" s="85" t="n">
        <x:v>1228</x:v>
      </x:c>
      <x:c r="B1229" s="86" t="n">
        <x:v>1</x:v>
      </x:c>
      <x:c r="C1229" s="95" t="n">
        <x:v>45729</x:v>
      </x:c>
      <x:c r="D1229" s="86" t="str">
        <x:v>Dia útil</x:v>
      </x:c>
      <x:c r="E1229" s="86" t="n">
        <x:v>8</x:v>
      </x:c>
      <x:c r="F1229" s="99" t="n">
        <x:v>0.5</x:v>
      </x:c>
      <x:c r="G1229" s="91" t="n">
        <x:v>263.04</x:v>
      </x:c>
      <x:c r="H1229" s="86" t="n">
        <x:v>1</x:v>
      </x:c>
      <x:c r="I1229" s="87" t="n">
        <x:v>2</x:v>
      </x:c>
    </x:row>
    <x:row r="1230">
      <x:c r="A1230" s="85" t="n">
        <x:v>1229</x:v>
      </x:c>
      <x:c r="B1230" s="86" t="n">
        <x:v>77</x:v>
      </x:c>
      <x:c r="C1230" s="95" t="n">
        <x:v>45704</x:v>
      </x:c>
      <x:c r="D1230" s="86" t="str">
        <x:v>Dia útil</x:v>
      </x:c>
      <x:c r="E1230" s="86" t="n">
        <x:v>1</x:v>
      </x:c>
      <x:c r="F1230" s="99" t="n">
        <x:v>0.5</x:v>
      </x:c>
      <x:c r="G1230" s="91" t="n">
        <x:v>53.43</x:v>
      </x:c>
      <x:c r="H1230" s="86" t="n">
        <x:v>1</x:v>
      </x:c>
      <x:c r="I1230" s="87" t="n">
        <x:v>1</x:v>
      </x:c>
    </x:row>
    <x:row r="1231">
      <x:c r="A1231" s="85" t="n">
        <x:v>1230</x:v>
      </x:c>
      <x:c r="B1231" s="86" t="n">
        <x:v>347</x:v>
      </x:c>
      <x:c r="C1231" s="95" t="n">
        <x:v>45921</x:v>
      </x:c>
      <x:c r="D1231" s="86" t="str">
        <x:v>Dia útil</x:v>
      </x:c>
      <x:c r="E1231" s="86" t="n">
        <x:v>4</x:v>
      </x:c>
      <x:c r="F1231" s="99" t="n">
        <x:v>0.5</x:v>
      </x:c>
      <x:c r="G1231" s="91" t="n">
        <x:v>125.9</x:v>
      </x:c>
      <x:c r="H1231" s="86" t="n">
        <x:v>1</x:v>
      </x:c>
      <x:c r="I1231" s="87" t="n">
        <x:v>7</x:v>
      </x:c>
    </x:row>
    <x:row r="1232">
      <x:c r="A1232" s="85" t="n">
        <x:v>1231</x:v>
      </x:c>
      <x:c r="B1232" s="86" t="n">
        <x:v>39</x:v>
      </x:c>
      <x:c r="C1232" s="95" t="n">
        <x:v>46022</x:v>
      </x:c>
      <x:c r="D1232" s="86" t="str">
        <x:v>Dia útil</x:v>
      </x:c>
      <x:c r="E1232" s="86" t="n">
        <x:v>8</x:v>
      </x:c>
      <x:c r="F1232" s="99" t="n">
        <x:v>0.5</x:v>
      </x:c>
      <x:c r="G1232" s="91" t="n">
        <x:v>730.8</x:v>
      </x:c>
      <x:c r="H1232" s="86" t="n">
        <x:v>1</x:v>
      </x:c>
      <x:c r="I1232" s="87" t="n">
        <x:v>5</x:v>
      </x:c>
    </x:row>
    <x:row r="1233">
      <x:c r="A1233" s="85" t="n">
        <x:v>1232</x:v>
      </x:c>
      <x:c r="B1233" s="86" t="n">
        <x:v>291</x:v>
      </x:c>
      <x:c r="C1233" s="95" t="n">
        <x:v>45871</x:v>
      </x:c>
      <x:c r="D1233" s="86" t="str">
        <x:v>Dia útil</x:v>
      </x:c>
      <x:c r="E1233" s="86" t="n">
        <x:v>1</x:v>
      </x:c>
      <x:c r="F1233" s="99" t="n">
        <x:v>0.5</x:v>
      </x:c>
      <x:c r="G1233" s="91" t="n">
        <x:v>33.95</x:v>
      </x:c>
      <x:c r="H1233" s="86" t="n">
        <x:v>1</x:v>
      </x:c>
      <x:c r="I1233" s="87" t="n">
        <x:v>8</x:v>
      </x:c>
    </x:row>
    <x:row r="1234">
      <x:c r="A1234" s="85" t="n">
        <x:v>1233</x:v>
      </x:c>
      <x:c r="B1234" s="86" t="n">
        <x:v>206</x:v>
      </x:c>
      <x:c r="C1234" s="95" t="n">
        <x:v>45915</x:v>
      </x:c>
      <x:c r="D1234" s="86" t="str">
        <x:v>Sábado</x:v>
      </x:c>
      <x:c r="E1234" s="86" t="n">
        <x:v>6</x:v>
      </x:c>
      <x:c r="F1234" s="99" t="n">
        <x:v>0.75</x:v>
      </x:c>
      <x:c r="G1234" s="91" t="n">
        <x:v>262.41</x:v>
      </x:c>
      <x:c r="H1234" s="86" t="n">
        <x:v>1</x:v>
      </x:c>
      <x:c r="I1234" s="87" t="n">
        <x:v>6</x:v>
      </x:c>
    </x:row>
    <x:row r="1235">
      <x:c r="A1235" s="85" t="n">
        <x:v>1234</x:v>
      </x:c>
      <x:c r="B1235" s="86" t="n">
        <x:v>239</x:v>
      </x:c>
      <x:c r="C1235" s="95" t="n">
        <x:v>45528</x:v>
      </x:c>
      <x:c r="D1235" s="86" t="str">
        <x:v>Sábado</x:v>
      </x:c>
      <x:c r="E1235" s="86" t="n">
        <x:v>2</x:v>
      </x:c>
      <x:c r="F1235" s="99" t="n">
        <x:v>0.75</x:v>
      </x:c>
      <x:c r="G1235" s="91" t="n">
        <x:v>174.74</x:v>
      </x:c>
      <x:c r="H1235" s="86" t="n">
        <x:v>1</x:v>
      </x:c>
      <x:c r="I1235" s="87" t="n">
        <x:v>4</x:v>
      </x:c>
    </x:row>
    <x:row r="1236">
      <x:c r="A1236" s="85" t="n">
        <x:v>1235</x:v>
      </x:c>
      <x:c r="B1236" s="86" t="n">
        <x:v>356</x:v>
      </x:c>
      <x:c r="C1236" s="95" t="n">
        <x:v>45862</x:v>
      </x:c>
      <x:c r="D1236" s="86" t="str">
        <x:v>Dia útil</x:v>
      </x:c>
      <x:c r="E1236" s="86" t="n">
        <x:v>1</x:v>
      </x:c>
      <x:c r="F1236" s="99" t="n">
        <x:v>0.5</x:v>
      </x:c>
      <x:c r="G1236" s="91" t="n">
        <x:v>45.83</x:v>
      </x:c>
      <x:c r="H1236" s="86" t="n">
        <x:v>1</x:v>
      </x:c>
      <x:c r="I1236" s="87" t="n">
        <x:v>8</x:v>
      </x:c>
    </x:row>
    <x:row r="1237">
      <x:c r="A1237" s="85" t="n">
        <x:v>1236</x:v>
      </x:c>
      <x:c r="B1237" s="86" t="n">
        <x:v>155</x:v>
      </x:c>
      <x:c r="C1237" s="95" t="n">
        <x:v>45809</x:v>
      </x:c>
      <x:c r="D1237" s="86" t="str">
        <x:v>Sábado</x:v>
      </x:c>
      <x:c r="E1237" s="86" t="n">
        <x:v>3</x:v>
      </x:c>
      <x:c r="F1237" s="99" t="n">
        <x:v>0.75</x:v>
      </x:c>
      <x:c r="G1237" s="91" t="n">
        <x:v>69.91</x:v>
      </x:c>
      <x:c r="H1237" s="86" t="n">
        <x:v>0</x:v>
      </x:c>
      <x:c r="I1237" s="87" t="n">
        <x:v>1</x:v>
      </x:c>
    </x:row>
    <x:row r="1238">
      <x:c r="A1238" s="85" t="n">
        <x:v>1237</x:v>
      </x:c>
      <x:c r="B1238" s="86" t="n">
        <x:v>97</x:v>
      </x:c>
      <x:c r="C1238" s="95" t="n">
        <x:v>45491</x:v>
      </x:c>
      <x:c r="D1238" s="86" t="str">
        <x:v>Dia útil</x:v>
      </x:c>
      <x:c r="E1238" s="86" t="n">
        <x:v>4</x:v>
      </x:c>
      <x:c r="F1238" s="99" t="n">
        <x:v>0.5</x:v>
      </x:c>
      <x:c r="G1238" s="91" t="n">
        <x:v>154.36</x:v>
      </x:c>
      <x:c r="H1238" s="86" t="n">
        <x:v>1</x:v>
      </x:c>
      <x:c r="I1238" s="87" t="n">
        <x:v>7</x:v>
      </x:c>
    </x:row>
    <x:row r="1239">
      <x:c r="A1239" s="85" t="n">
        <x:v>1238</x:v>
      </x:c>
      <x:c r="B1239" s="86" t="n">
        <x:v>392</x:v>
      </x:c>
      <x:c r="C1239" s="95" t="n">
        <x:v>45482</x:v>
      </x:c>
      <x:c r="D1239" s="86" t="str">
        <x:v>Dia útil</x:v>
      </x:c>
      <x:c r="E1239" s="86" t="n">
        <x:v>4</x:v>
      </x:c>
      <x:c r="F1239" s="99" t="n">
        <x:v>0.5</x:v>
      </x:c>
      <x:c r="G1239" s="91" t="n">
        <x:v>178.37</x:v>
      </x:c>
      <x:c r="H1239" s="86" t="n">
        <x:v>1</x:v>
      </x:c>
      <x:c r="I1239" s="87" t="n">
        <x:v>7</x:v>
      </x:c>
    </x:row>
    <x:row r="1240">
      <x:c r="A1240" s="85" t="n">
        <x:v>1239</x:v>
      </x:c>
      <x:c r="B1240" s="86" t="n">
        <x:v>36</x:v>
      </x:c>
      <x:c r="C1240" s="95" t="n">
        <x:v>45917</x:v>
      </x:c>
      <x:c r="D1240" s="86" t="str">
        <x:v>Dia útil</x:v>
      </x:c>
      <x:c r="E1240" s="86" t="n">
        <x:v>8</x:v>
      </x:c>
      <x:c r="F1240" s="99" t="n">
        <x:v>0.5</x:v>
      </x:c>
      <x:c r="G1240" s="91" t="n">
        <x:v>207.29</x:v>
      </x:c>
      <x:c r="H1240" s="86" t="n">
        <x:v>1</x:v>
      </x:c>
      <x:c r="I1240" s="87" t="n">
        <x:v>4</x:v>
      </x:c>
    </x:row>
    <x:row r="1241">
      <x:c r="A1241" s="85" t="n">
        <x:v>1240</x:v>
      </x:c>
      <x:c r="B1241" s="86" t="n">
        <x:v>23</x:v>
      </x:c>
      <x:c r="C1241" s="95" t="n">
        <x:v>45557</x:v>
      </x:c>
      <x:c r="D1241" s="86" t="str">
        <x:v>Sábado</x:v>
      </x:c>
      <x:c r="E1241" s="86" t="n">
        <x:v>6</x:v>
      </x:c>
      <x:c r="F1241" s="99" t="n">
        <x:v>0.75</x:v>
      </x:c>
      <x:c r="G1241" s="91" t="n">
        <x:v>466.36</x:v>
      </x:c>
      <x:c r="H1241" s="86" t="n">
        <x:v>1</x:v>
      </x:c>
      <x:c r="I1241" s="87" t="n">
        <x:v>5</x:v>
      </x:c>
    </x:row>
    <x:row r="1242">
      <x:c r="A1242" s="85" t="n">
        <x:v>1241</x:v>
      </x:c>
      <x:c r="B1242" s="86" t="n">
        <x:v>244</x:v>
      </x:c>
      <x:c r="C1242" s="95" t="n">
        <x:v>45979</x:v>
      </x:c>
      <x:c r="D1242" s="86" t="str">
        <x:v>Dia útil</x:v>
      </x:c>
      <x:c r="E1242" s="86" t="n">
        <x:v>2</x:v>
      </x:c>
      <x:c r="F1242" s="99" t="n">
        <x:v>0.5</x:v>
      </x:c>
      <x:c r="G1242" s="91" t="n">
        <x:v>46.12</x:v>
      </x:c>
      <x:c r="H1242" s="86" t="n">
        <x:v>1</x:v>
      </x:c>
      <x:c r="I1242" s="87" t="n">
        <x:v>1</x:v>
      </x:c>
    </x:row>
    <x:row r="1243">
      <x:c r="A1243" s="85" t="n">
        <x:v>1242</x:v>
      </x:c>
      <x:c r="B1243" s="86" t="n">
        <x:v>48</x:v>
      </x:c>
      <x:c r="C1243" s="95" t="n">
        <x:v>45406</x:v>
      </x:c>
      <x:c r="D1243" s="86" t="str">
        <x:v>Dia útil</x:v>
      </x:c>
      <x:c r="E1243" s="86" t="n">
        <x:v>6</x:v>
      </x:c>
      <x:c r="F1243" s="99" t="n">
        <x:v>0.5</x:v>
      </x:c>
      <x:c r="G1243" s="91" t="n">
        <x:v>279.56</x:v>
      </x:c>
      <x:c r="H1243" s="86" t="n">
        <x:v>1</x:v>
      </x:c>
      <x:c r="I1243" s="87" t="n">
        <x:v>8</x:v>
      </x:c>
    </x:row>
    <x:row r="1244">
      <x:c r="A1244" s="85" t="n">
        <x:v>1243</x:v>
      </x:c>
      <x:c r="B1244" s="86" t="n">
        <x:v>352</x:v>
      </x:c>
      <x:c r="C1244" s="95" t="n">
        <x:v>45878</x:v>
      </x:c>
      <x:c r="D1244" s="86" t="str">
        <x:v>Dia útil</x:v>
      </x:c>
      <x:c r="E1244" s="86" t="n">
        <x:v>8</x:v>
      </x:c>
      <x:c r="F1244" s="99" t="n">
        <x:v>0.5</x:v>
      </x:c>
      <x:c r="G1244" s="91" t="n">
        <x:v>267.76</x:v>
      </x:c>
      <x:c r="H1244" s="86" t="n">
        <x:v>1</x:v>
      </x:c>
      <x:c r="I1244" s="87" t="n">
        <x:v>6</x:v>
      </x:c>
    </x:row>
    <x:row r="1245">
      <x:c r="A1245" s="85" t="n">
        <x:v>1244</x:v>
      </x:c>
      <x:c r="B1245" s="86" t="n">
        <x:v>301</x:v>
      </x:c>
      <x:c r="C1245" s="95" t="n">
        <x:v>45738</x:v>
      </x:c>
      <x:c r="D1245" s="86" t="str">
        <x:v>Dia útil</x:v>
      </x:c>
      <x:c r="E1245" s="86" t="n">
        <x:v>8</x:v>
      </x:c>
      <x:c r="F1245" s="99" t="n">
        <x:v>0.5</x:v>
      </x:c>
      <x:c r="G1245" s="91" t="n">
        <x:v>358.25</x:v>
      </x:c>
      <x:c r="H1245" s="86" t="n">
        <x:v>1</x:v>
      </x:c>
      <x:c r="I1245" s="87" t="n">
        <x:v>6</x:v>
      </x:c>
    </x:row>
    <x:row r="1246">
      <x:c r="A1246" s="85" t="n">
        <x:v>1245</x:v>
      </x:c>
      <x:c r="B1246" s="86" t="n">
        <x:v>115</x:v>
      </x:c>
      <x:c r="C1246" s="95" t="n">
        <x:v>45639</x:v>
      </x:c>
      <x:c r="D1246" s="86" t="str">
        <x:v>Domingo/Feriado</x:v>
      </x:c>
      <x:c r="E1246" s="86" t="n">
        <x:v>4</x:v>
      </x:c>
      <x:c r="F1246" s="99" t="n">
        <x:v>1</x:v>
      </x:c>
      <x:c r="G1246" s="91" t="n">
        <x:v>199.79</x:v>
      </x:c>
      <x:c r="H1246" s="86" t="n">
        <x:v>1</x:v>
      </x:c>
      <x:c r="I1246" s="87" t="n">
        <x:v>4</x:v>
      </x:c>
    </x:row>
    <x:row r="1247">
      <x:c r="A1247" s="85" t="n">
        <x:v>1246</x:v>
      </x:c>
      <x:c r="B1247" s="86" t="n">
        <x:v>162</x:v>
      </x:c>
      <x:c r="C1247" s="95" t="n">
        <x:v>45859</x:v>
      </x:c>
      <x:c r="D1247" s="86" t="str">
        <x:v>Sábado</x:v>
      </x:c>
      <x:c r="E1247" s="86" t="n">
        <x:v>8</x:v>
      </x:c>
      <x:c r="F1247" s="99" t="n">
        <x:v>0.75</x:v>
      </x:c>
      <x:c r="G1247" s="91" t="n">
        <x:v>491.05</x:v>
      </x:c>
      <x:c r="H1247" s="86" t="n">
        <x:v>1</x:v>
      </x:c>
      <x:c r="I1247" s="87" t="n">
        <x:v>10</x:v>
      </x:c>
    </x:row>
    <x:row r="1248">
      <x:c r="A1248" s="85" t="n">
        <x:v>1247</x:v>
      </x:c>
      <x:c r="B1248" s="86" t="n">
        <x:v>233</x:v>
      </x:c>
      <x:c r="C1248" s="95" t="n">
        <x:v>45808</x:v>
      </x:c>
      <x:c r="D1248" s="86" t="str">
        <x:v>Dia útil</x:v>
      </x:c>
      <x:c r="E1248" s="86" t="n">
        <x:v>1</x:v>
      </x:c>
      <x:c r="F1248" s="99" t="n">
        <x:v>0.5</x:v>
      </x:c>
      <x:c r="G1248" s="91" t="n">
        <x:v>32.61</x:v>
      </x:c>
      <x:c r="H1248" s="86" t="n">
        <x:v>1</x:v>
      </x:c>
      <x:c r="I1248" s="87" t="n">
        <x:v>2</x:v>
      </x:c>
    </x:row>
    <x:row r="1249">
      <x:c r="A1249" s="85" t="n">
        <x:v>1248</x:v>
      </x:c>
      <x:c r="B1249" s="86" t="n">
        <x:v>21</x:v>
      </x:c>
      <x:c r="C1249" s="95" t="n">
        <x:v>45503</x:v>
      </x:c>
      <x:c r="D1249" s="86" t="str">
        <x:v>Sábado</x:v>
      </x:c>
      <x:c r="E1249" s="86" t="n">
        <x:v>4</x:v>
      </x:c>
      <x:c r="F1249" s="99" t="n">
        <x:v>0.75</x:v>
      </x:c>
      <x:c r="G1249" s="91" t="n">
        <x:v>113.08</x:v>
      </x:c>
      <x:c r="H1249" s="86" t="n">
        <x:v>1</x:v>
      </x:c>
      <x:c r="I1249" s="87" t="n">
        <x:v>3</x:v>
      </x:c>
    </x:row>
    <x:row r="1250">
      <x:c r="A1250" s="85" t="n">
        <x:v>1249</x:v>
      </x:c>
      <x:c r="B1250" s="86" t="n">
        <x:v>332</x:v>
      </x:c>
      <x:c r="C1250" s="95" t="n">
        <x:v>45852</x:v>
      </x:c>
      <x:c r="D1250" s="86" t="str">
        <x:v>Dia útil</x:v>
      </x:c>
      <x:c r="E1250" s="86" t="n">
        <x:v>3</x:v>
      </x:c>
      <x:c r="F1250" s="99" t="n">
        <x:v>0.5</x:v>
      </x:c>
      <x:c r="G1250" s="91" t="n">
        <x:v>167.87</x:v>
      </x:c>
      <x:c r="H1250" s="86" t="n">
        <x:v>1</x:v>
      </x:c>
      <x:c r="I1250" s="87" t="n">
        <x:v>5</x:v>
      </x:c>
    </x:row>
    <x:row r="1251">
      <x:c r="A1251" s="85" t="n">
        <x:v>1250</x:v>
      </x:c>
      <x:c r="B1251" s="86" t="n">
        <x:v>4</x:v>
      </x:c>
      <x:c r="C1251" s="95" t="n">
        <x:v>45978</x:v>
      </x:c>
      <x:c r="D1251" s="86" t="str">
        <x:v>Dia útil</x:v>
      </x:c>
      <x:c r="E1251" s="86" t="n">
        <x:v>1</x:v>
      </x:c>
      <x:c r="F1251" s="99" t="n">
        <x:v>0.5</x:v>
      </x:c>
      <x:c r="G1251" s="91" t="n">
        <x:v>31.55</x:v>
      </x:c>
      <x:c r="H1251" s="86" t="n">
        <x:v>1</x:v>
      </x:c>
      <x:c r="I1251" s="87" t="n">
        <x:v>3</x:v>
      </x:c>
    </x:row>
    <x:row r="1252">
      <x:c r="A1252" s="85" t="n">
        <x:v>1251</x:v>
      </x:c>
      <x:c r="B1252" s="86" t="n">
        <x:v>13</x:v>
      </x:c>
      <x:c r="C1252" s="95" t="n">
        <x:v>45825</x:v>
      </x:c>
      <x:c r="D1252" s="86" t="str">
        <x:v>Dia útil</x:v>
      </x:c>
      <x:c r="E1252" s="86" t="n">
        <x:v>2</x:v>
      </x:c>
      <x:c r="F1252" s="99" t="n">
        <x:v>0.5</x:v>
      </x:c>
      <x:c r="G1252" s="91" t="n">
        <x:v>262.94</x:v>
      </x:c>
      <x:c r="H1252" s="86" t="n">
        <x:v>1</x:v>
      </x:c>
      <x:c r="I1252" s="87" t="n">
        <x:v>9</x:v>
      </x:c>
    </x:row>
    <x:row r="1253">
      <x:c r="A1253" s="85" t="n">
        <x:v>1252</x:v>
      </x:c>
      <x:c r="B1253" s="86" t="n">
        <x:v>140</x:v>
      </x:c>
      <x:c r="C1253" s="95" t="n">
        <x:v>45766</x:v>
      </x:c>
      <x:c r="D1253" s="86" t="str">
        <x:v>Dia útil</x:v>
      </x:c>
      <x:c r="E1253" s="86" t="n">
        <x:v>3</x:v>
      </x:c>
      <x:c r="F1253" s="99" t="n">
        <x:v>0.5</x:v>
      </x:c>
      <x:c r="G1253" s="91" t="n">
        <x:v>76.84</x:v>
      </x:c>
      <x:c r="H1253" s="86" t="n">
        <x:v>1</x:v>
      </x:c>
      <x:c r="I1253" s="87" t="n">
        <x:v>7</x:v>
      </x:c>
    </x:row>
    <x:row r="1254">
      <x:c r="A1254" s="85" t="n">
        <x:v>1253</x:v>
      </x:c>
      <x:c r="B1254" s="86" t="n">
        <x:v>44</x:v>
      </x:c>
      <x:c r="C1254" s="95" t="n">
        <x:v>45973</x:v>
      </x:c>
      <x:c r="D1254" s="86" t="str">
        <x:v>Domingo/Feriado</x:v>
      </x:c>
      <x:c r="E1254" s="86" t="n">
        <x:v>8</x:v>
      </x:c>
      <x:c r="F1254" s="99" t="n">
        <x:v>1</x:v>
      </x:c>
      <x:c r="G1254" s="91" t="n">
        <x:v>347.33</x:v>
      </x:c>
      <x:c r="H1254" s="86" t="n">
        <x:v>1</x:v>
      </x:c>
      <x:c r="I1254" s="87" t="n">
        <x:v>2</x:v>
      </x:c>
    </x:row>
    <x:row r="1255">
      <x:c r="A1255" s="85" t="n">
        <x:v>1254</x:v>
      </x:c>
      <x:c r="B1255" s="86" t="n">
        <x:v>155</x:v>
      </x:c>
      <x:c r="C1255" s="95" t="n">
        <x:v>45822</x:v>
      </x:c>
      <x:c r="D1255" s="86" t="str">
        <x:v>Sábado</x:v>
      </x:c>
      <x:c r="E1255" s="86" t="n">
        <x:v>6</x:v>
      </x:c>
      <x:c r="F1255" s="99" t="n">
        <x:v>0.75</x:v>
      </x:c>
      <x:c r="G1255" s="91" t="n">
        <x:v>139.83</x:v>
      </x:c>
      <x:c r="H1255" s="86" t="n">
        <x:v>1</x:v>
      </x:c>
      <x:c r="I1255" s="87" t="n">
        <x:v>1</x:v>
      </x:c>
    </x:row>
    <x:row r="1256">
      <x:c r="A1256" s="85" t="n">
        <x:v>1255</x:v>
      </x:c>
      <x:c r="B1256" s="86" t="n">
        <x:v>211</x:v>
      </x:c>
      <x:c r="C1256" s="95" t="n">
        <x:v>45878</x:v>
      </x:c>
      <x:c r="D1256" s="86" t="str">
        <x:v>Sábado</x:v>
      </x:c>
      <x:c r="E1256" s="86" t="n">
        <x:v>3</x:v>
      </x:c>
      <x:c r="F1256" s="99" t="n">
        <x:v>0.75</x:v>
      </x:c>
      <x:c r="G1256" s="91" t="n">
        <x:v>54.22</x:v>
      </x:c>
      <x:c r="H1256" s="86" t="n">
        <x:v>1</x:v>
      </x:c>
      <x:c r="I1256" s="87" t="n">
        <x:v>1</x:v>
      </x:c>
    </x:row>
    <x:row r="1257">
      <x:c r="A1257" s="85" t="n">
        <x:v>1256</x:v>
      </x:c>
      <x:c r="B1257" s="86" t="n">
        <x:v>177</x:v>
      </x:c>
      <x:c r="C1257" s="95" t="n">
        <x:v>45827</x:v>
      </x:c>
      <x:c r="D1257" s="86" t="str">
        <x:v>Sábado</x:v>
      </x:c>
      <x:c r="E1257" s="86" t="n">
        <x:v>1</x:v>
      </x:c>
      <x:c r="F1257" s="99" t="n">
        <x:v>0.75</x:v>
      </x:c>
      <x:c r="G1257" s="91" t="n">
        <x:v>70.69</x:v>
      </x:c>
      <x:c r="H1257" s="86" t="n">
        <x:v>1</x:v>
      </x:c>
      <x:c r="I1257" s="87" t="n">
        <x:v>3</x:v>
      </x:c>
    </x:row>
    <x:row r="1258">
      <x:c r="A1258" s="85" t="n">
        <x:v>1257</x:v>
      </x:c>
      <x:c r="B1258" s="86" t="n">
        <x:v>298</x:v>
      </x:c>
      <x:c r="C1258" s="95" t="n">
        <x:v>45470</x:v>
      </x:c>
      <x:c r="D1258" s="86" t="str">
        <x:v>Dia útil</x:v>
      </x:c>
      <x:c r="E1258" s="86" t="n">
        <x:v>8</x:v>
      </x:c>
      <x:c r="F1258" s="99" t="n">
        <x:v>0.5</x:v>
      </x:c>
      <x:c r="G1258" s="91" t="n">
        <x:v>162.31</x:v>
      </x:c>
      <x:c r="H1258" s="86" t="n">
        <x:v>1</x:v>
      </x:c>
      <x:c r="I1258" s="87" t="n">
        <x:v>8</x:v>
      </x:c>
    </x:row>
    <x:row r="1259">
      <x:c r="A1259" s="85" t="n">
        <x:v>1258</x:v>
      </x:c>
      <x:c r="B1259" s="86" t="n">
        <x:v>39</x:v>
      </x:c>
      <x:c r="C1259" s="95" t="n">
        <x:v>45605</x:v>
      </x:c>
      <x:c r="D1259" s="86" t="str">
        <x:v>Dia útil</x:v>
      </x:c>
      <x:c r="E1259" s="86" t="n">
        <x:v>2</x:v>
      </x:c>
      <x:c r="F1259" s="99" t="n">
        <x:v>0.5</x:v>
      </x:c>
      <x:c r="G1259" s="91" t="n">
        <x:v>182.7</x:v>
      </x:c>
      <x:c r="H1259" s="86" t="n">
        <x:v>1</x:v>
      </x:c>
      <x:c r="I1259" s="87" t="n">
        <x:v>5</x:v>
      </x:c>
    </x:row>
    <x:row r="1260">
      <x:c r="A1260" s="85" t="n">
        <x:v>1259</x:v>
      </x:c>
      <x:c r="B1260" s="86" t="n">
        <x:v>399</x:v>
      </x:c>
      <x:c r="C1260" s="95" t="n">
        <x:v>45382</x:v>
      </x:c>
      <x:c r="D1260" s="86" t="str">
        <x:v>Domingo/Feriado</x:v>
      </x:c>
      <x:c r="E1260" s="86" t="n">
        <x:v>1</x:v>
      </x:c>
      <x:c r="F1260" s="99" t="n">
        <x:v>1</x:v>
      </x:c>
      <x:c r="G1260" s="91" t="n">
        <x:v>30.85</x:v>
      </x:c>
      <x:c r="H1260" s="86" t="n">
        <x:v>1</x:v>
      </x:c>
      <x:c r="I1260" s="87" t="n">
        <x:v>1</x:v>
      </x:c>
    </x:row>
    <x:row r="1261">
      <x:c r="A1261" s="85" t="n">
        <x:v>1260</x:v>
      </x:c>
      <x:c r="B1261" s="86" t="n">
        <x:v>404</x:v>
      </x:c>
      <x:c r="C1261" s="95" t="n">
        <x:v>45562</x:v>
      </x:c>
      <x:c r="D1261" s="86" t="str">
        <x:v>Dia útil</x:v>
      </x:c>
      <x:c r="E1261" s="86" t="n">
        <x:v>4</x:v>
      </x:c>
      <x:c r="F1261" s="99" t="n">
        <x:v>0.5</x:v>
      </x:c>
      <x:c r="G1261" s="91" t="n">
        <x:v>228.62</x:v>
      </x:c>
      <x:c r="H1261" s="86" t="n">
        <x:v>1</x:v>
      </x:c>
      <x:c r="I1261" s="87" t="n">
        <x:v>1</x:v>
      </x:c>
    </x:row>
    <x:row r="1262">
      <x:c r="A1262" s="85" t="n">
        <x:v>1261</x:v>
      </x:c>
      <x:c r="B1262" s="86" t="n">
        <x:v>196</x:v>
      </x:c>
      <x:c r="C1262" s="95" t="n">
        <x:v>45844</x:v>
      </x:c>
      <x:c r="D1262" s="86" t="str">
        <x:v>Sábado</x:v>
      </x:c>
      <x:c r="E1262" s="86" t="n">
        <x:v>6</x:v>
      </x:c>
      <x:c r="F1262" s="99" t="n">
        <x:v>0.75</x:v>
      </x:c>
      <x:c r="G1262" s="91" t="n">
        <x:v>214.81</x:v>
      </x:c>
      <x:c r="H1262" s="86" t="n">
        <x:v>1</x:v>
      </x:c>
      <x:c r="I1262" s="87" t="n">
        <x:v>2</x:v>
      </x:c>
    </x:row>
    <x:row r="1263">
      <x:c r="A1263" s="85" t="n">
        <x:v>1262</x:v>
      </x:c>
      <x:c r="B1263" s="86" t="n">
        <x:v>49</x:v>
      </x:c>
      <x:c r="C1263" s="95" t="n">
        <x:v>45662</x:v>
      </x:c>
      <x:c r="D1263" s="86" t="str">
        <x:v>Dia útil</x:v>
      </x:c>
      <x:c r="E1263" s="86" t="n">
        <x:v>6</x:v>
      </x:c>
      <x:c r="F1263" s="99" t="n">
        <x:v>0.5</x:v>
      </x:c>
      <x:c r="G1263" s="91" t="n">
        <x:v>267.24</x:v>
      </x:c>
      <x:c r="H1263" s="86" t="n">
        <x:v>1</x:v>
      </x:c>
      <x:c r="I1263" s="87" t="n">
        <x:v>10</x:v>
      </x:c>
    </x:row>
    <x:row r="1264">
      <x:c r="A1264" s="85" t="n">
        <x:v>1263</x:v>
      </x:c>
      <x:c r="B1264" s="86" t="n">
        <x:v>181</x:v>
      </x:c>
      <x:c r="C1264" s="95" t="n">
        <x:v>45955</x:v>
      </x:c>
      <x:c r="D1264" s="86" t="str">
        <x:v>Dia útil</x:v>
      </x:c>
      <x:c r="E1264" s="86" t="n">
        <x:v>3</x:v>
      </x:c>
      <x:c r="F1264" s="99" t="n">
        <x:v>0.5</x:v>
      </x:c>
      <x:c r="G1264" s="91" t="n">
        <x:v>173.28</x:v>
      </x:c>
      <x:c r="H1264" s="86" t="n">
        <x:v>1</x:v>
      </x:c>
      <x:c r="I1264" s="87" t="n">
        <x:v>6</x:v>
      </x:c>
    </x:row>
    <x:row r="1265">
      <x:c r="A1265" s="85" t="n">
        <x:v>1264</x:v>
      </x:c>
      <x:c r="B1265" s="86" t="n">
        <x:v>124</x:v>
      </x:c>
      <x:c r="C1265" s="95" t="n">
        <x:v>45682</x:v>
      </x:c>
      <x:c r="D1265" s="86" t="str">
        <x:v>Sábado</x:v>
      </x:c>
      <x:c r="E1265" s="86" t="n">
        <x:v>8</x:v>
      </x:c>
      <x:c r="F1265" s="99" t="n">
        <x:v>0.75</x:v>
      </x:c>
      <x:c r="G1265" s="91" t="n">
        <x:v>376.28</x:v>
      </x:c>
      <x:c r="H1265" s="86" t="n">
        <x:v>1</x:v>
      </x:c>
      <x:c r="I1265" s="87" t="n">
        <x:v>6</x:v>
      </x:c>
    </x:row>
    <x:row r="1266">
      <x:c r="A1266" s="85" t="n">
        <x:v>1265</x:v>
      </x:c>
      <x:c r="B1266" s="86" t="n">
        <x:v>193</x:v>
      </x:c>
      <x:c r="C1266" s="95" t="n">
        <x:v>45986</x:v>
      </x:c>
      <x:c r="D1266" s="86" t="str">
        <x:v>Dia útil</x:v>
      </x:c>
      <x:c r="E1266" s="86" t="n">
        <x:v>1</x:v>
      </x:c>
      <x:c r="F1266" s="99" t="n">
        <x:v>0.5</x:v>
      </x:c>
      <x:c r="G1266" s="91" t="n">
        <x:v>41.74</x:v>
      </x:c>
      <x:c r="H1266" s="86" t="n">
        <x:v>1</x:v>
      </x:c>
      <x:c r="I1266" s="87" t="n">
        <x:v>6</x:v>
      </x:c>
    </x:row>
    <x:row r="1267">
      <x:c r="A1267" s="85" t="n">
        <x:v>1266</x:v>
      </x:c>
      <x:c r="B1267" s="86" t="n">
        <x:v>94</x:v>
      </x:c>
      <x:c r="C1267" s="95" t="n">
        <x:v>45814</x:v>
      </x:c>
      <x:c r="D1267" s="86" t="str">
        <x:v>Dia útil</x:v>
      </x:c>
      <x:c r="E1267" s="86" t="n">
        <x:v>3</x:v>
      </x:c>
      <x:c r="F1267" s="99" t="n">
        <x:v>0.5</x:v>
      </x:c>
      <x:c r="G1267" s="91" t="n">
        <x:v>312.84</x:v>
      </x:c>
      <x:c r="H1267" s="86" t="n">
        <x:v>1</x:v>
      </x:c>
      <x:c r="I1267" s="87" t="n">
        <x:v>5</x:v>
      </x:c>
    </x:row>
    <x:row r="1268">
      <x:c r="A1268" s="85" t="n">
        <x:v>1267</x:v>
      </x:c>
      <x:c r="B1268" s="86" t="n">
        <x:v>163</x:v>
      </x:c>
      <x:c r="C1268" s="95" t="n">
        <x:v>45841</x:v>
      </x:c>
      <x:c r="D1268" s="86" t="str">
        <x:v>Sábado</x:v>
      </x:c>
      <x:c r="E1268" s="86" t="n">
        <x:v>4</x:v>
      </x:c>
      <x:c r="F1268" s="99" t="n">
        <x:v>0.75</x:v>
      </x:c>
      <x:c r="G1268" s="91" t="n">
        <x:v>126.5</x:v>
      </x:c>
      <x:c r="H1268" s="86" t="n">
        <x:v>1</x:v>
      </x:c>
      <x:c r="I1268" s="87" t="n">
        <x:v>3</x:v>
      </x:c>
    </x:row>
    <x:row r="1269">
      <x:c r="A1269" s="85" t="n">
        <x:v>1268</x:v>
      </x:c>
      <x:c r="B1269" s="86" t="n">
        <x:v>378</x:v>
      </x:c>
      <x:c r="C1269" s="95" t="n">
        <x:v>45942</x:v>
      </x:c>
      <x:c r="D1269" s="86" t="str">
        <x:v>Sábado</x:v>
      </x:c>
      <x:c r="E1269" s="86" t="n">
        <x:v>4</x:v>
      </x:c>
      <x:c r="F1269" s="99" t="n">
        <x:v>0.75</x:v>
      </x:c>
      <x:c r="G1269" s="91" t="n">
        <x:v>312.43</x:v>
      </x:c>
      <x:c r="H1269" s="86" t="n">
        <x:v>1</x:v>
      </x:c>
      <x:c r="I1269" s="87" t="n">
        <x:v>5</x:v>
      </x:c>
    </x:row>
    <x:row r="1270">
      <x:c r="A1270" s="85" t="n">
        <x:v>1269</x:v>
      </x:c>
      <x:c r="B1270" s="86" t="n">
        <x:v>45</x:v>
      </x:c>
      <x:c r="C1270" s="95" t="n">
        <x:v>45739</x:v>
      </x:c>
      <x:c r="D1270" s="86" t="str">
        <x:v>Sábado</x:v>
      </x:c>
      <x:c r="E1270" s="86" t="n">
        <x:v>2</x:v>
      </x:c>
      <x:c r="F1270" s="99" t="n">
        <x:v>0.75</x:v>
      </x:c>
      <x:c r="G1270" s="91" t="n">
        <x:v>36.08</x:v>
      </x:c>
      <x:c r="H1270" s="86" t="n">
        <x:v>1</x:v>
      </x:c>
      <x:c r="I1270" s="87" t="n">
        <x:v>1</x:v>
      </x:c>
    </x:row>
    <x:row r="1271">
      <x:c r="A1271" s="85" t="n">
        <x:v>1270</x:v>
      </x:c>
      <x:c r="B1271" s="86" t="n">
        <x:v>364</x:v>
      </x:c>
      <x:c r="C1271" s="95" t="n">
        <x:v>45464</x:v>
      </x:c>
      <x:c r="D1271" s="86" t="str">
        <x:v>Dia útil</x:v>
      </x:c>
      <x:c r="E1271" s="86" t="n">
        <x:v>8</x:v>
      </x:c>
      <x:c r="F1271" s="99" t="n">
        <x:v>0.5</x:v>
      </x:c>
      <x:c r="G1271" s="91" t="n">
        <x:v>470.88</x:v>
      </x:c>
      <x:c r="H1271" s="86" t="n">
        <x:v>1</x:v>
      </x:c>
      <x:c r="I1271" s="87" t="n">
        <x:v>5</x:v>
      </x:c>
    </x:row>
    <x:row r="1272">
      <x:c r="A1272" s="85" t="n">
        <x:v>1271</x:v>
      </x:c>
      <x:c r="B1272" s="86" t="n">
        <x:v>14</x:v>
      </x:c>
      <x:c r="C1272" s="95" t="n">
        <x:v>45676</x:v>
      </x:c>
      <x:c r="D1272" s="86" t="str">
        <x:v>Dia útil</x:v>
      </x:c>
      <x:c r="E1272" s="86" t="n">
        <x:v>6</x:v>
      </x:c>
      <x:c r="F1272" s="99" t="n">
        <x:v>0.5</x:v>
      </x:c>
      <x:c r="G1272" s="91" t="n">
        <x:v>136.9</x:v>
      </x:c>
      <x:c r="H1272" s="86" t="n">
        <x:v>1</x:v>
      </x:c>
      <x:c r="I1272" s="87" t="n">
        <x:v>3</x:v>
      </x:c>
    </x:row>
    <x:row r="1273">
      <x:c r="A1273" s="85" t="n">
        <x:v>1272</x:v>
      </x:c>
      <x:c r="B1273" s="86" t="n">
        <x:v>68</x:v>
      </x:c>
      <x:c r="C1273" s="95" t="n">
        <x:v>45776</x:v>
      </x:c>
      <x:c r="D1273" s="86" t="str">
        <x:v>Sábado</x:v>
      </x:c>
      <x:c r="E1273" s="86" t="n">
        <x:v>4</x:v>
      </x:c>
      <x:c r="F1273" s="99" t="n">
        <x:v>0.75</x:v>
      </x:c>
      <x:c r="G1273" s="91" t="n">
        <x:v>140.07</x:v>
      </x:c>
      <x:c r="H1273" s="86" t="n">
        <x:v>1</x:v>
      </x:c>
      <x:c r="I1273" s="87" t="n">
        <x:v>4</x:v>
      </x:c>
    </x:row>
    <x:row r="1274">
      <x:c r="A1274" s="85" t="n">
        <x:v>1273</x:v>
      </x:c>
      <x:c r="B1274" s="86" t="n">
        <x:v>221</x:v>
      </x:c>
      <x:c r="C1274" s="95" t="n">
        <x:v>45956</x:v>
      </x:c>
      <x:c r="D1274" s="86" t="str">
        <x:v>Domingo/Feriado</x:v>
      </x:c>
      <x:c r="E1274" s="86" t="n">
        <x:v>1</x:v>
      </x:c>
      <x:c r="F1274" s="99" t="n">
        <x:v>1</x:v>
      </x:c>
      <x:c r="G1274" s="91" t="n">
        <x:v>22.2</x:v>
      </x:c>
      <x:c r="H1274" s="86" t="n">
        <x:v>1</x:v>
      </x:c>
      <x:c r="I1274" s="87" t="n">
        <x:v>1</x:v>
      </x:c>
    </x:row>
    <x:row r="1275">
      <x:c r="A1275" s="85" t="n">
        <x:v>1274</x:v>
      </x:c>
      <x:c r="B1275" s="86" t="n">
        <x:v>380</x:v>
      </x:c>
      <x:c r="C1275" s="95" t="n">
        <x:v>45915</x:v>
      </x:c>
      <x:c r="D1275" s="86" t="str">
        <x:v>Dia útil</x:v>
      </x:c>
      <x:c r="E1275" s="86" t="n">
        <x:v>3</x:v>
      </x:c>
      <x:c r="F1275" s="99" t="n">
        <x:v>0.5</x:v>
      </x:c>
      <x:c r="G1275" s="91" t="n">
        <x:v>65.14</x:v>
      </x:c>
      <x:c r="H1275" s="86" t="n">
        <x:v>1</x:v>
      </x:c>
      <x:c r="I1275" s="87" t="n">
        <x:v>1</x:v>
      </x:c>
    </x:row>
    <x:row r="1276">
      <x:c r="A1276" s="85" t="n">
        <x:v>1275</x:v>
      </x:c>
      <x:c r="B1276" s="86" t="n">
        <x:v>219</x:v>
      </x:c>
      <x:c r="C1276" s="95" t="n">
        <x:v>45597</x:v>
      </x:c>
      <x:c r="D1276" s="86" t="str">
        <x:v>Domingo/Feriado</x:v>
      </x:c>
      <x:c r="E1276" s="86" t="n">
        <x:v>1</x:v>
      </x:c>
      <x:c r="F1276" s="99" t="n">
        <x:v>1</x:v>
      </x:c>
      <x:c r="G1276" s="91" t="n">
        <x:v>85.77</x:v>
      </x:c>
      <x:c r="H1276" s="86" t="n">
        <x:v>1</x:v>
      </x:c>
      <x:c r="I1276" s="87" t="n">
        <x:v>5</x:v>
      </x:c>
    </x:row>
    <x:row r="1277">
      <x:c r="A1277" s="85" t="n">
        <x:v>1276</x:v>
      </x:c>
      <x:c r="B1277" s="86" t="n">
        <x:v>414</x:v>
      </x:c>
      <x:c r="C1277" s="95" t="n">
        <x:v>46010</x:v>
      </x:c>
      <x:c r="D1277" s="86" t="str">
        <x:v>Dia útil</x:v>
      </x:c>
      <x:c r="E1277" s="86" t="n">
        <x:v>3</x:v>
      </x:c>
      <x:c r="F1277" s="99" t="n">
        <x:v>0.5</x:v>
      </x:c>
      <x:c r="G1277" s="91" t="n">
        <x:v>106.98</x:v>
      </x:c>
      <x:c r="H1277" s="86" t="n">
        <x:v>0</x:v>
      </x:c>
      <x:c r="I1277" s="87" t="n">
        <x:v>10</x:v>
      </x:c>
    </x:row>
    <x:row r="1278">
      <x:c r="A1278" s="85" t="n">
        <x:v>1277</x:v>
      </x:c>
      <x:c r="B1278" s="86" t="n">
        <x:v>243</x:v>
      </x:c>
      <x:c r="C1278" s="95" t="n">
        <x:v>45932</x:v>
      </x:c>
      <x:c r="D1278" s="86" t="str">
        <x:v>Domingo/Feriado</x:v>
      </x:c>
      <x:c r="E1278" s="86" t="n">
        <x:v>4</x:v>
      </x:c>
      <x:c r="F1278" s="99" t="n">
        <x:v>1</x:v>
      </x:c>
      <x:c r="G1278" s="91" t="n">
        <x:v>194.1</x:v>
      </x:c>
      <x:c r="H1278" s="86" t="n">
        <x:v>1</x:v>
      </x:c>
      <x:c r="I1278" s="87" t="n">
        <x:v>6</x:v>
      </x:c>
    </x:row>
    <x:row r="1279">
      <x:c r="A1279" s="85" t="n">
        <x:v>1278</x:v>
      </x:c>
      <x:c r="B1279" s="86" t="n">
        <x:v>158</x:v>
      </x:c>
      <x:c r="C1279" s="95" t="n">
        <x:v>45432</x:v>
      </x:c>
      <x:c r="D1279" s="86" t="str">
        <x:v>Dia útil</x:v>
      </x:c>
      <x:c r="E1279" s="86" t="n">
        <x:v>1</x:v>
      </x:c>
      <x:c r="F1279" s="99" t="n">
        <x:v>0.5</x:v>
      </x:c>
      <x:c r="G1279" s="91" t="n">
        <x:v>43.31</x:v>
      </x:c>
      <x:c r="H1279" s="86" t="n">
        <x:v>1</x:v>
      </x:c>
      <x:c r="I1279" s="87" t="n">
        <x:v>10</x:v>
      </x:c>
    </x:row>
    <x:row r="1280">
      <x:c r="A1280" s="85" t="n">
        <x:v>1279</x:v>
      </x:c>
      <x:c r="B1280" s="86" t="n">
        <x:v>341</x:v>
      </x:c>
      <x:c r="C1280" s="95" t="n">
        <x:v>45512</x:v>
      </x:c>
      <x:c r="D1280" s="86" t="str">
        <x:v>Dia útil</x:v>
      </x:c>
      <x:c r="E1280" s="86" t="n">
        <x:v>1</x:v>
      </x:c>
      <x:c r="F1280" s="99" t="n">
        <x:v>0.5</x:v>
      </x:c>
      <x:c r="G1280" s="91" t="n">
        <x:v>19.37</x:v>
      </x:c>
      <x:c r="H1280" s="86" t="n">
        <x:v>1</x:v>
      </x:c>
      <x:c r="I1280" s="87" t="n">
        <x:v>1</x:v>
      </x:c>
    </x:row>
    <x:row r="1281">
      <x:c r="A1281" s="85" t="n">
        <x:v>1280</x:v>
      </x:c>
      <x:c r="B1281" s="86" t="n">
        <x:v>254</x:v>
      </x:c>
      <x:c r="C1281" s="95" t="n">
        <x:v>45668</x:v>
      </x:c>
      <x:c r="D1281" s="86" t="str">
        <x:v>Dia útil</x:v>
      </x:c>
      <x:c r="E1281" s="86" t="n">
        <x:v>3</x:v>
      </x:c>
      <x:c r="F1281" s="99" t="n">
        <x:v>0.5</x:v>
      </x:c>
      <x:c r="G1281" s="91" t="n">
        <x:v>57.32</x:v>
      </x:c>
      <x:c r="H1281" s="86" t="n">
        <x:v>1</x:v>
      </x:c>
      <x:c r="I1281" s="87" t="n">
        <x:v>1</x:v>
      </x:c>
    </x:row>
    <x:row r="1282">
      <x:c r="A1282" s="85" t="n">
        <x:v>1281</x:v>
      </x:c>
      <x:c r="B1282" s="86" t="n">
        <x:v>322</x:v>
      </x:c>
      <x:c r="C1282" s="95" t="n">
        <x:v>45744</x:v>
      </x:c>
      <x:c r="D1282" s="86" t="str">
        <x:v>Domingo/Feriado</x:v>
      </x:c>
      <x:c r="E1282" s="86" t="n">
        <x:v>1</x:v>
      </x:c>
      <x:c r="F1282" s="99" t="n">
        <x:v>1</x:v>
      </x:c>
      <x:c r="G1282" s="91" t="n">
        <x:v>41.67</x:v>
      </x:c>
      <x:c r="H1282" s="86" t="n">
        <x:v>1</x:v>
      </x:c>
      <x:c r="I1282" s="87" t="n">
        <x:v>7</x:v>
      </x:c>
    </x:row>
    <x:row r="1283">
      <x:c r="A1283" s="85" t="n">
        <x:v>1282</x:v>
      </x:c>
      <x:c r="B1283" s="86" t="n">
        <x:v>61</x:v>
      </x:c>
      <x:c r="C1283" s="95" t="n">
        <x:v>45693</x:v>
      </x:c>
      <x:c r="D1283" s="86" t="str">
        <x:v>Sábado</x:v>
      </x:c>
      <x:c r="E1283" s="86" t="n">
        <x:v>2</x:v>
      </x:c>
      <x:c r="F1283" s="99" t="n">
        <x:v>0.75</x:v>
      </x:c>
      <x:c r="G1283" s="91" t="n">
        <x:v>149.41</x:v>
      </x:c>
      <x:c r="H1283" s="86" t="n">
        <x:v>1</x:v>
      </x:c>
      <x:c r="I1283" s="87" t="n">
        <x:v>4</x:v>
      </x:c>
    </x:row>
    <x:row r="1284">
      <x:c r="A1284" s="85" t="n">
        <x:v>1283</x:v>
      </x:c>
      <x:c r="B1284" s="86" t="n">
        <x:v>15</x:v>
      </x:c>
      <x:c r="C1284" s="95" t="n">
        <x:v>45549</x:v>
      </x:c>
      <x:c r="D1284" s="86" t="str">
        <x:v>Dia útil</x:v>
      </x:c>
      <x:c r="E1284" s="86" t="n">
        <x:v>3</x:v>
      </x:c>
      <x:c r="F1284" s="99" t="n">
        <x:v>0.5</x:v>
      </x:c>
      <x:c r="G1284" s="91" t="n">
        <x:v>203.59</x:v>
      </x:c>
      <x:c r="H1284" s="86" t="n">
        <x:v>1</x:v>
      </x:c>
      <x:c r="I1284" s="87" t="n">
        <x:v>2</x:v>
      </x:c>
    </x:row>
    <x:row r="1285">
      <x:c r="A1285" s="85" t="n">
        <x:v>1284</x:v>
      </x:c>
      <x:c r="B1285" s="86" t="n">
        <x:v>32</x:v>
      </x:c>
      <x:c r="C1285" s="95" t="n">
        <x:v>45475</x:v>
      </x:c>
      <x:c r="D1285" s="86" t="str">
        <x:v>Sábado</x:v>
      </x:c>
      <x:c r="E1285" s="86" t="n">
        <x:v>2</x:v>
      </x:c>
      <x:c r="F1285" s="99" t="n">
        <x:v>0.75</x:v>
      </x:c>
      <x:c r="G1285" s="91" t="n">
        <x:v>105.2</x:v>
      </x:c>
      <x:c r="H1285" s="86" t="n">
        <x:v>1</x:v>
      </x:c>
      <x:c r="I1285" s="87" t="n">
        <x:v>6</x:v>
      </x:c>
    </x:row>
    <x:row r="1286">
      <x:c r="A1286" s="85" t="n">
        <x:v>1285</x:v>
      </x:c>
      <x:c r="B1286" s="86" t="n">
        <x:v>122</x:v>
      </x:c>
      <x:c r="C1286" s="95" t="n">
        <x:v>45791</x:v>
      </x:c>
      <x:c r="D1286" s="86" t="str">
        <x:v>Dia útil</x:v>
      </x:c>
      <x:c r="E1286" s="86" t="n">
        <x:v>6</x:v>
      </x:c>
      <x:c r="F1286" s="99" t="n">
        <x:v>0.5</x:v>
      </x:c>
      <x:c r="G1286" s="91" t="n">
        <x:v>92.86</x:v>
      </x:c>
      <x:c r="H1286" s="86" t="n">
        <x:v>1</x:v>
      </x:c>
      <x:c r="I1286" s="87" t="n">
        <x:v>1</x:v>
      </x:c>
    </x:row>
    <x:row r="1287">
      <x:c r="A1287" s="85" t="n">
        <x:v>1286</x:v>
      </x:c>
      <x:c r="B1287" s="86" t="n">
        <x:v>235</x:v>
      </x:c>
      <x:c r="C1287" s="95" t="n">
        <x:v>45995</x:v>
      </x:c>
      <x:c r="D1287" s="86" t="str">
        <x:v>Sábado</x:v>
      </x:c>
      <x:c r="E1287" s="86" t="n">
        <x:v>3</x:v>
      </x:c>
      <x:c r="F1287" s="99" t="n">
        <x:v>0.75</x:v>
      </x:c>
      <x:c r="G1287" s="91" t="n">
        <x:v>72.99</x:v>
      </x:c>
      <x:c r="H1287" s="86" t="n">
        <x:v>1</x:v>
      </x:c>
      <x:c r="I1287" s="87" t="n">
        <x:v>1</x:v>
      </x:c>
    </x:row>
    <x:row r="1288">
      <x:c r="A1288" s="85" t="n">
        <x:v>1287</x:v>
      </x:c>
      <x:c r="B1288" s="86" t="n">
        <x:v>40</x:v>
      </x:c>
      <x:c r="C1288" s="95" t="n">
        <x:v>45952</x:v>
      </x:c>
      <x:c r="D1288" s="86" t="str">
        <x:v>Dia útil</x:v>
      </x:c>
      <x:c r="E1288" s="86" t="n">
        <x:v>2</x:v>
      </x:c>
      <x:c r="F1288" s="99" t="n">
        <x:v>0.5</x:v>
      </x:c>
      <x:c r="G1288" s="91" t="n">
        <x:v>33.34</x:v>
      </x:c>
      <x:c r="H1288" s="86" t="n">
        <x:v>1</x:v>
      </x:c>
      <x:c r="I1288" s="87" t="n">
        <x:v>1</x:v>
      </x:c>
    </x:row>
    <x:row r="1289">
      <x:c r="A1289" s="85" t="n">
        <x:v>1288</x:v>
      </x:c>
      <x:c r="B1289" s="86" t="n">
        <x:v>245</x:v>
      </x:c>
      <x:c r="C1289" s="95" t="n">
        <x:v>45967</x:v>
      </x:c>
      <x:c r="D1289" s="86" t="str">
        <x:v>Dia útil</x:v>
      </x:c>
      <x:c r="E1289" s="86" t="n">
        <x:v>3</x:v>
      </x:c>
      <x:c r="F1289" s="99" t="n">
        <x:v>0.5</x:v>
      </x:c>
      <x:c r="G1289" s="91" t="n">
        <x:v>82.34</x:v>
      </x:c>
      <x:c r="H1289" s="86" t="n">
        <x:v>1</x:v>
      </x:c>
      <x:c r="I1289" s="87" t="n">
        <x:v>3</x:v>
      </x:c>
    </x:row>
    <x:row r="1290">
      <x:c r="A1290" s="85" t="n">
        <x:v>1289</x:v>
      </x:c>
      <x:c r="B1290" s="86" t="n">
        <x:v>45</x:v>
      </x:c>
      <x:c r="C1290" s="95" t="n">
        <x:v>45827</x:v>
      </x:c>
      <x:c r="D1290" s="86" t="str">
        <x:v>Dia útil</x:v>
      </x:c>
      <x:c r="E1290" s="86" t="n">
        <x:v>4</x:v>
      </x:c>
      <x:c r="F1290" s="99" t="n">
        <x:v>0.5</x:v>
      </x:c>
      <x:c r="G1290" s="91" t="n">
        <x:v>61.85</x:v>
      </x:c>
      <x:c r="H1290" s="86" t="n">
        <x:v>1</x:v>
      </x:c>
      <x:c r="I1290" s="87" t="n">
        <x:v>1</x:v>
      </x:c>
    </x:row>
    <x:row r="1291">
      <x:c r="A1291" s="85" t="n">
        <x:v>1290</x:v>
      </x:c>
      <x:c r="B1291" s="86" t="n">
        <x:v>163</x:v>
      </x:c>
      <x:c r="C1291" s="95" t="n">
        <x:v>45776</x:v>
      </x:c>
      <x:c r="D1291" s="86" t="str">
        <x:v>Dia útil</x:v>
      </x:c>
      <x:c r="E1291" s="86" t="n">
        <x:v>1</x:v>
      </x:c>
      <x:c r="F1291" s="99" t="n">
        <x:v>0.5</x:v>
      </x:c>
      <x:c r="G1291" s="91" t="n">
        <x:v>27.11</x:v>
      </x:c>
      <x:c r="H1291" s="86" t="n">
        <x:v>1</x:v>
      </x:c>
      <x:c r="I1291" s="87" t="n">
        <x:v>3</x:v>
      </x:c>
    </x:row>
    <x:row r="1292">
      <x:c r="A1292" s="85" t="n">
        <x:v>1291</x:v>
      </x:c>
      <x:c r="B1292" s="86" t="n">
        <x:v>258</x:v>
      </x:c>
      <x:c r="C1292" s="95" t="n">
        <x:v>45649</x:v>
      </x:c>
      <x:c r="D1292" s="86" t="str">
        <x:v>Dia útil</x:v>
      </x:c>
      <x:c r="E1292" s="86" t="n">
        <x:v>3</x:v>
      </x:c>
      <x:c r="F1292" s="99" t="n">
        <x:v>0.5</x:v>
      </x:c>
      <x:c r="G1292" s="91" t="n">
        <x:v>70.88</x:v>
      </x:c>
      <x:c r="H1292" s="86" t="n">
        <x:v>1</x:v>
      </x:c>
      <x:c r="I1292" s="87" t="n">
        <x:v>1</x:v>
      </x:c>
    </x:row>
    <x:row r="1293">
      <x:c r="A1293" s="85" t="n">
        <x:v>1292</x:v>
      </x:c>
      <x:c r="B1293" s="86" t="n">
        <x:v>81</x:v>
      </x:c>
      <x:c r="C1293" s="95" t="n">
        <x:v>45621</x:v>
      </x:c>
      <x:c r="D1293" s="86" t="str">
        <x:v>Dia útil</x:v>
      </x:c>
      <x:c r="E1293" s="86" t="n">
        <x:v>8</x:v>
      </x:c>
      <x:c r="F1293" s="99" t="n">
        <x:v>0.5</x:v>
      </x:c>
      <x:c r="G1293" s="91" t="n">
        <x:v>199.74</x:v>
      </x:c>
      <x:c r="H1293" s="86" t="n">
        <x:v>1</x:v>
      </x:c>
      <x:c r="I1293" s="87" t="n">
        <x:v>3</x:v>
      </x:c>
    </x:row>
    <x:row r="1294">
      <x:c r="A1294" s="85" t="n">
        <x:v>1293</x:v>
      </x:c>
      <x:c r="B1294" s="86" t="n">
        <x:v>52</x:v>
      </x:c>
      <x:c r="C1294" s="95" t="n">
        <x:v>45776</x:v>
      </x:c>
      <x:c r="D1294" s="86" t="str">
        <x:v>Dia útil</x:v>
      </x:c>
      <x:c r="E1294" s="86" t="n">
        <x:v>4</x:v>
      </x:c>
      <x:c r="F1294" s="99" t="n">
        <x:v>0.5</x:v>
      </x:c>
      <x:c r="G1294" s="91" t="n">
        <x:v>123.17</x:v>
      </x:c>
      <x:c r="H1294" s="86" t="n">
        <x:v>1</x:v>
      </x:c>
      <x:c r="I1294" s="87" t="n">
        <x:v>10</x:v>
      </x:c>
    </x:row>
    <x:row r="1295">
      <x:c r="A1295" s="85" t="n">
        <x:v>1294</x:v>
      </x:c>
      <x:c r="B1295" s="86" t="n">
        <x:v>72</x:v>
      </x:c>
      <x:c r="C1295" s="95" t="n">
        <x:v>45882</x:v>
      </x:c>
      <x:c r="D1295" s="86" t="str">
        <x:v>Dia útil</x:v>
      </x:c>
      <x:c r="E1295" s="86" t="n">
        <x:v>4</x:v>
      </x:c>
      <x:c r="F1295" s="99" t="n">
        <x:v>0.5</x:v>
      </x:c>
      <x:c r="G1295" s="91" t="n">
        <x:v>82.63</x:v>
      </x:c>
      <x:c r="H1295" s="86" t="n">
        <x:v>1</x:v>
      </x:c>
      <x:c r="I1295" s="87" t="n">
        <x:v>1</x:v>
      </x:c>
    </x:row>
    <x:row r="1296">
      <x:c r="A1296" s="85" t="n">
        <x:v>1295</x:v>
      </x:c>
      <x:c r="B1296" s="86" t="n">
        <x:v>73</x:v>
      </x:c>
      <x:c r="C1296" s="95" t="n">
        <x:v>46005</x:v>
      </x:c>
      <x:c r="D1296" s="86" t="str">
        <x:v>Dia útil</x:v>
      </x:c>
      <x:c r="E1296" s="86" t="n">
        <x:v>2</x:v>
      </x:c>
      <x:c r="F1296" s="99" t="n">
        <x:v>0.5</x:v>
      </x:c>
      <x:c r="G1296" s="91" t="n">
        <x:v>75.49</x:v>
      </x:c>
      <x:c r="H1296" s="86" t="n">
        <x:v>1</x:v>
      </x:c>
      <x:c r="I1296" s="87" t="n">
        <x:v>6</x:v>
      </x:c>
    </x:row>
    <x:row r="1297">
      <x:c r="A1297" s="85" t="n">
        <x:v>1296</x:v>
      </x:c>
      <x:c r="B1297" s="86" t="n">
        <x:v>255</x:v>
      </x:c>
      <x:c r="C1297" s="95" t="n">
        <x:v>45570</x:v>
      </x:c>
      <x:c r="D1297" s="86" t="str">
        <x:v>Domingo/Feriado</x:v>
      </x:c>
      <x:c r="E1297" s="86" t="n">
        <x:v>1</x:v>
      </x:c>
      <x:c r="F1297" s="99" t="n">
        <x:v>1</x:v>
      </x:c>
      <x:c r="G1297" s="91" t="n">
        <x:v>29.63</x:v>
      </x:c>
      <x:c r="H1297" s="86" t="n">
        <x:v>1</x:v>
      </x:c>
      <x:c r="I1297" s="87" t="n">
        <x:v>1</x:v>
      </x:c>
    </x:row>
    <x:row r="1298">
      <x:c r="A1298" s="85" t="n">
        <x:v>1297</x:v>
      </x:c>
      <x:c r="B1298" s="86" t="n">
        <x:v>287</x:v>
      </x:c>
      <x:c r="C1298" s="95" t="n">
        <x:v>45408</x:v>
      </x:c>
      <x:c r="D1298" s="86" t="str">
        <x:v>Domingo/Feriado</x:v>
      </x:c>
      <x:c r="E1298" s="86" t="n">
        <x:v>3</x:v>
      </x:c>
      <x:c r="F1298" s="99" t="n">
        <x:v>1</x:v>
      </x:c>
      <x:c r="G1298" s="91" t="n">
        <x:v>264.82</x:v>
      </x:c>
      <x:c r="H1298" s="86" t="n">
        <x:v>1</x:v>
      </x:c>
      <x:c r="I1298" s="87" t="n">
        <x:v>5</x:v>
      </x:c>
    </x:row>
    <x:row r="1299">
      <x:c r="A1299" s="85" t="n">
        <x:v>1298</x:v>
      </x:c>
      <x:c r="B1299" s="86" t="n">
        <x:v>214</x:v>
      </x:c>
      <x:c r="C1299" s="95" t="n">
        <x:v>46015</x:v>
      </x:c>
      <x:c r="D1299" s="86" t="str">
        <x:v>Sábado</x:v>
      </x:c>
      <x:c r="E1299" s="86" t="n">
        <x:v>4</x:v>
      </x:c>
      <x:c r="F1299" s="99" t="n">
        <x:v>0.75</x:v>
      </x:c>
      <x:c r="G1299" s="91" t="n">
        <x:v>190.22</x:v>
      </x:c>
      <x:c r="H1299" s="86" t="n">
        <x:v>1</x:v>
      </x:c>
      <x:c r="I1299" s="87" t="n">
        <x:v>8</x:v>
      </x:c>
    </x:row>
    <x:row r="1300">
      <x:c r="A1300" s="85" t="n">
        <x:v>1299</x:v>
      </x:c>
      <x:c r="B1300" s="86" t="n">
        <x:v>405</x:v>
      </x:c>
      <x:c r="C1300" s="95" t="n">
        <x:v>45748</x:v>
      </x:c>
      <x:c r="D1300" s="86" t="str">
        <x:v>Dia útil</x:v>
      </x:c>
      <x:c r="E1300" s="86" t="n">
        <x:v>6</x:v>
      </x:c>
      <x:c r="F1300" s="99" t="n">
        <x:v>0.5</x:v>
      </x:c>
      <x:c r="G1300" s="91" t="n">
        <x:v>312.98</x:v>
      </x:c>
      <x:c r="H1300" s="86" t="n">
        <x:v>1</x:v>
      </x:c>
      <x:c r="I1300" s="87" t="n">
        <x:v>10</x:v>
      </x:c>
    </x:row>
    <x:row r="1301">
      <x:c r="A1301" s="85" t="n">
        <x:v>1300</x:v>
      </x:c>
      <x:c r="B1301" s="86" t="n">
        <x:v>300</x:v>
      </x:c>
      <x:c r="C1301" s="95" t="n">
        <x:v>45940</x:v>
      </x:c>
      <x:c r="D1301" s="86" t="str">
        <x:v>Dia útil</x:v>
      </x:c>
      <x:c r="E1301" s="86" t="n">
        <x:v>1</x:v>
      </x:c>
      <x:c r="F1301" s="99" t="n">
        <x:v>0.5</x:v>
      </x:c>
      <x:c r="G1301" s="91" t="n">
        <x:v>33.93</x:v>
      </x:c>
      <x:c r="H1301" s="86" t="n">
        <x:v>1</x:v>
      </x:c>
      <x:c r="I1301" s="87" t="n">
        <x:v>8</x:v>
      </x:c>
    </x:row>
    <x:row r="1302">
      <x:c r="A1302" s="85" t="n">
        <x:v>1301</x:v>
      </x:c>
      <x:c r="B1302" s="86" t="n">
        <x:v>201</x:v>
      </x:c>
      <x:c r="C1302" s="95" t="n">
        <x:v>46009</x:v>
      </x:c>
      <x:c r="D1302" s="86" t="str">
        <x:v>Sábado</x:v>
      </x:c>
      <x:c r="E1302" s="86" t="n">
        <x:v>2</x:v>
      </x:c>
      <x:c r="F1302" s="99" t="n">
        <x:v>0.75</x:v>
      </x:c>
      <x:c r="G1302" s="91" t="n">
        <x:v>36.11</x:v>
      </x:c>
      <x:c r="H1302" s="86" t="n">
        <x:v>1</x:v>
      </x:c>
      <x:c r="I1302" s="87" t="n">
        <x:v>1</x:v>
      </x:c>
    </x:row>
    <x:row r="1303">
      <x:c r="A1303" s="85" t="n">
        <x:v>1302</x:v>
      </x:c>
      <x:c r="B1303" s="86" t="n">
        <x:v>80</x:v>
      </x:c>
      <x:c r="C1303" s="95" t="n">
        <x:v>45938</x:v>
      </x:c>
      <x:c r="D1303" s="86" t="str">
        <x:v>Domingo/Feriado</x:v>
      </x:c>
      <x:c r="E1303" s="86" t="n">
        <x:v>1</x:v>
      </x:c>
      <x:c r="F1303" s="99" t="n">
        <x:v>1</x:v>
      </x:c>
      <x:c r="G1303" s="91" t="n">
        <x:v>58.38</x:v>
      </x:c>
      <x:c r="H1303" s="86" t="n">
        <x:v>1</x:v>
      </x:c>
      <x:c r="I1303" s="87" t="n">
        <x:v>9</x:v>
      </x:c>
    </x:row>
    <x:row r="1304">
      <x:c r="A1304" s="85" t="n">
        <x:v>1303</x:v>
      </x:c>
      <x:c r="B1304" s="86" t="n">
        <x:v>53</x:v>
      </x:c>
      <x:c r="C1304" s="95" t="n">
        <x:v>46001</x:v>
      </x:c>
      <x:c r="D1304" s="86" t="str">
        <x:v>Sábado</x:v>
      </x:c>
      <x:c r="E1304" s="86" t="n">
        <x:v>1</x:v>
      </x:c>
      <x:c r="F1304" s="99" t="n">
        <x:v>0.75</x:v>
      </x:c>
      <x:c r="G1304" s="91" t="n">
        <x:v>36.82</x:v>
      </x:c>
      <x:c r="H1304" s="86" t="n">
        <x:v>1</x:v>
      </x:c>
      <x:c r="I1304" s="87" t="n">
        <x:v>7</x:v>
      </x:c>
    </x:row>
    <x:row r="1305">
      <x:c r="A1305" s="85" t="n">
        <x:v>1304</x:v>
      </x:c>
      <x:c r="B1305" s="86" t="n">
        <x:v>144</x:v>
      </x:c>
      <x:c r="C1305" s="95" t="n">
        <x:v>45937</x:v>
      </x:c>
      <x:c r="D1305" s="86" t="str">
        <x:v>Dia útil</x:v>
      </x:c>
      <x:c r="E1305" s="86" t="n">
        <x:v>6</x:v>
      </x:c>
      <x:c r="F1305" s="99" t="n">
        <x:v>0.5</x:v>
      </x:c>
      <x:c r="G1305" s="91" t="n">
        <x:v>250.96</x:v>
      </x:c>
      <x:c r="H1305" s="86" t="n">
        <x:v>0</x:v>
      </x:c>
      <x:c r="I1305" s="87" t="n">
        <x:v>4</x:v>
      </x:c>
    </x:row>
    <x:row r="1306">
      <x:c r="A1306" s="85" t="n">
        <x:v>1305</x:v>
      </x:c>
      <x:c r="B1306" s="86" t="n">
        <x:v>146</x:v>
      </x:c>
      <x:c r="C1306" s="95" t="n">
        <x:v>45992</x:v>
      </x:c>
      <x:c r="D1306" s="86" t="str">
        <x:v>Dia útil</x:v>
      </x:c>
      <x:c r="E1306" s="86" t="n">
        <x:v>8</x:v>
      </x:c>
      <x:c r="F1306" s="99" t="n">
        <x:v>0.5</x:v>
      </x:c>
      <x:c r="G1306" s="91" t="n">
        <x:v>508.1</x:v>
      </x:c>
      <x:c r="H1306" s="86" t="n">
        <x:v>1</x:v>
      </x:c>
      <x:c r="I1306" s="87" t="n">
        <x:v>9</x:v>
      </x:c>
    </x:row>
    <x:row r="1307">
      <x:c r="A1307" s="85" t="n">
        <x:v>1306</x:v>
      </x:c>
      <x:c r="B1307" s="86" t="n">
        <x:v>349</x:v>
      </x:c>
      <x:c r="C1307" s="95" t="n">
        <x:v>45793</x:v>
      </x:c>
      <x:c r="D1307" s="86" t="str">
        <x:v>Dia útil</x:v>
      </x:c>
      <x:c r="E1307" s="86" t="n">
        <x:v>3</x:v>
      </x:c>
      <x:c r="F1307" s="99" t="n">
        <x:v>0.5</x:v>
      </x:c>
      <x:c r="G1307" s="91" t="n">
        <x:v>131.49</x:v>
      </x:c>
      <x:c r="H1307" s="86" t="n">
        <x:v>1</x:v>
      </x:c>
      <x:c r="I1307" s="87" t="n">
        <x:v>9</x:v>
      </x:c>
    </x:row>
    <x:row r="1308">
      <x:c r="A1308" s="85" t="n">
        <x:v>1307</x:v>
      </x:c>
      <x:c r="B1308" s="86" t="n">
        <x:v>234</x:v>
      </x:c>
      <x:c r="C1308" s="95" t="n">
        <x:v>45918</x:v>
      </x:c>
      <x:c r="D1308" s="86" t="str">
        <x:v>Dia útil</x:v>
      </x:c>
      <x:c r="E1308" s="86" t="n">
        <x:v>4</x:v>
      </x:c>
      <x:c r="F1308" s="99" t="n">
        <x:v>0.5</x:v>
      </x:c>
      <x:c r="G1308" s="91" t="n">
        <x:v>66.43</x:v>
      </x:c>
      <x:c r="H1308" s="86" t="n">
        <x:v>1</x:v>
      </x:c>
      <x:c r="I1308" s="87" t="n">
        <x:v>1</x:v>
      </x:c>
    </x:row>
    <x:row r="1309">
      <x:c r="A1309" s="85" t="n">
        <x:v>1308</x:v>
      </x:c>
      <x:c r="B1309" s="86" t="n">
        <x:v>414</x:v>
      </x:c>
      <x:c r="C1309" s="95" t="n">
        <x:v>45405</x:v>
      </x:c>
      <x:c r="D1309" s="86" t="str">
        <x:v>Domingo/Feriado</x:v>
      </x:c>
      <x:c r="E1309" s="86" t="n">
        <x:v>3</x:v>
      </x:c>
      <x:c r="F1309" s="99" t="n">
        <x:v>1</x:v>
      </x:c>
      <x:c r="G1309" s="91" t="n">
        <x:v>142.65</x:v>
      </x:c>
      <x:c r="H1309" s="86" t="n">
        <x:v>1</x:v>
      </x:c>
      <x:c r="I1309" s="87" t="n">
        <x:v>10</x:v>
      </x:c>
    </x:row>
    <x:row r="1310">
      <x:c r="A1310" s="85" t="n">
        <x:v>1309</x:v>
      </x:c>
      <x:c r="B1310" s="86" t="n">
        <x:v>206</x:v>
      </x:c>
      <x:c r="C1310" s="95" t="n">
        <x:v>45743</x:v>
      </x:c>
      <x:c r="D1310" s="86" t="str">
        <x:v>Dia útil</x:v>
      </x:c>
      <x:c r="E1310" s="86" t="n">
        <x:v>1</x:v>
      </x:c>
      <x:c r="F1310" s="99" t="n">
        <x:v>0.5</x:v>
      </x:c>
      <x:c r="G1310" s="91" t="n">
        <x:v>37.49</x:v>
      </x:c>
      <x:c r="H1310" s="86" t="n">
        <x:v>1</x:v>
      </x:c>
      <x:c r="I1310" s="87" t="n">
        <x:v>6</x:v>
      </x:c>
    </x:row>
    <x:row r="1311">
      <x:c r="A1311" s="85" t="n">
        <x:v>1310</x:v>
      </x:c>
      <x:c r="B1311" s="86" t="n">
        <x:v>205</x:v>
      </x:c>
      <x:c r="C1311" s="95" t="n">
        <x:v>45952</x:v>
      </x:c>
      <x:c r="D1311" s="86" t="str">
        <x:v>Domingo/Feriado</x:v>
      </x:c>
      <x:c r="E1311" s="86" t="n">
        <x:v>6</x:v>
      </x:c>
      <x:c r="F1311" s="99" t="n">
        <x:v>1</x:v>
      </x:c>
      <x:c r="G1311" s="91" t="n">
        <x:v>233.7</x:v>
      </x:c>
      <x:c r="H1311" s="86" t="n">
        <x:v>1</x:v>
      </x:c>
      <x:c r="I1311" s="87" t="n">
        <x:v>4</x:v>
      </x:c>
    </x:row>
    <x:row r="1312">
      <x:c r="A1312" s="85" t="n">
        <x:v>1311</x:v>
      </x:c>
      <x:c r="B1312" s="86" t="n">
        <x:v>151</x:v>
      </x:c>
      <x:c r="C1312" s="95" t="n">
        <x:v>45926</x:v>
      </x:c>
      <x:c r="D1312" s="86" t="str">
        <x:v>Dia útil</x:v>
      </x:c>
      <x:c r="E1312" s="86" t="n">
        <x:v>3</x:v>
      </x:c>
      <x:c r="F1312" s="99" t="n">
        <x:v>0.5</x:v>
      </x:c>
      <x:c r="G1312" s="91" t="n">
        <x:v>97.45</x:v>
      </x:c>
      <x:c r="H1312" s="86" t="n">
        <x:v>1</x:v>
      </x:c>
      <x:c r="I1312" s="87" t="n">
        <x:v>2</x:v>
      </x:c>
    </x:row>
    <x:row r="1313">
      <x:c r="A1313" s="85" t="n">
        <x:v>1312</x:v>
      </x:c>
      <x:c r="B1313" s="86" t="n">
        <x:v>298</x:v>
      </x:c>
      <x:c r="C1313" s="95" t="n">
        <x:v>45416</x:v>
      </x:c>
      <x:c r="D1313" s="86" t="str">
        <x:v>Dia útil</x:v>
      </x:c>
      <x:c r="E1313" s="86" t="n">
        <x:v>8</x:v>
      </x:c>
      <x:c r="F1313" s="99" t="n">
        <x:v>0.5</x:v>
      </x:c>
      <x:c r="G1313" s="91" t="n">
        <x:v>162.31</x:v>
      </x:c>
      <x:c r="H1313" s="86" t="n">
        <x:v>1</x:v>
      </x:c>
      <x:c r="I1313" s="87" t="n">
        <x:v>8</x:v>
      </x:c>
    </x:row>
    <x:row r="1314">
      <x:c r="A1314" s="85" t="n">
        <x:v>1313</x:v>
      </x:c>
      <x:c r="B1314" s="86" t="n">
        <x:v>22</x:v>
      </x:c>
      <x:c r="C1314" s="95" t="n">
        <x:v>45761</x:v>
      </x:c>
      <x:c r="D1314" s="86" t="str">
        <x:v>Dia útil</x:v>
      </x:c>
      <x:c r="E1314" s="86" t="n">
        <x:v>3</x:v>
      </x:c>
      <x:c r="F1314" s="99" t="n">
        <x:v>0.5</x:v>
      </x:c>
      <x:c r="G1314" s="91" t="n">
        <x:v>186.11</x:v>
      </x:c>
      <x:c r="H1314" s="86" t="n">
        <x:v>1</x:v>
      </x:c>
      <x:c r="I1314" s="87" t="n">
        <x:v>9</x:v>
      </x:c>
    </x:row>
    <x:row r="1315">
      <x:c r="A1315" s="85" t="n">
        <x:v>1314</x:v>
      </x:c>
      <x:c r="B1315" s="86" t="n">
        <x:v>193</x:v>
      </x:c>
      <x:c r="C1315" s="95" t="n">
        <x:v>45901</x:v>
      </x:c>
      <x:c r="D1315" s="86" t="str">
        <x:v>Dia útil</x:v>
      </x:c>
      <x:c r="E1315" s="86" t="n">
        <x:v>1</x:v>
      </x:c>
      <x:c r="F1315" s="99" t="n">
        <x:v>0.5</x:v>
      </x:c>
      <x:c r="G1315" s="91" t="n">
        <x:v>41.74</x:v>
      </x:c>
      <x:c r="H1315" s="86" t="n">
        <x:v>1</x:v>
      </x:c>
      <x:c r="I1315" s="87" t="n">
        <x:v>6</x:v>
      </x:c>
    </x:row>
    <x:row r="1316">
      <x:c r="A1316" s="85" t="n">
        <x:v>1315</x:v>
      </x:c>
      <x:c r="B1316" s="86" t="n">
        <x:v>144</x:v>
      </x:c>
      <x:c r="C1316" s="95" t="n">
        <x:v>45916</x:v>
      </x:c>
      <x:c r="D1316" s="86" t="str">
        <x:v>Dia útil</x:v>
      </x:c>
      <x:c r="E1316" s="86" t="n">
        <x:v>3</x:v>
      </x:c>
      <x:c r="F1316" s="99" t="n">
        <x:v>0.5</x:v>
      </x:c>
      <x:c r="G1316" s="91" t="n">
        <x:v>125.48</x:v>
      </x:c>
      <x:c r="H1316" s="86" t="n">
        <x:v>1</x:v>
      </x:c>
      <x:c r="I1316" s="87" t="n">
        <x:v>4</x:v>
      </x:c>
    </x:row>
    <x:row r="1317">
      <x:c r="A1317" s="85" t="n">
        <x:v>1316</x:v>
      </x:c>
      <x:c r="B1317" s="86" t="n">
        <x:v>15</x:v>
      </x:c>
      <x:c r="C1317" s="95" t="n">
        <x:v>45628</x:v>
      </x:c>
      <x:c r="D1317" s="86" t="str">
        <x:v>Domingo/Feriado</x:v>
      </x:c>
      <x:c r="E1317" s="86" t="n">
        <x:v>1</x:v>
      </x:c>
      <x:c r="F1317" s="99" t="n">
        <x:v>1</x:v>
      </x:c>
      <x:c r="G1317" s="91" t="n">
        <x:v>90.49</x:v>
      </x:c>
      <x:c r="H1317" s="86" t="n">
        <x:v>1</x:v>
      </x:c>
      <x:c r="I1317" s="87" t="n">
        <x:v>2</x:v>
      </x:c>
    </x:row>
    <x:row r="1318">
      <x:c r="A1318" s="85" t="n">
        <x:v>1317</x:v>
      </x:c>
      <x:c r="B1318" s="86" t="n">
        <x:v>69</x:v>
      </x:c>
      <x:c r="C1318" s="95" t="n">
        <x:v>45476</x:v>
      </x:c>
      <x:c r="D1318" s="86" t="str">
        <x:v>Domingo/Feriado</x:v>
      </x:c>
      <x:c r="E1318" s="86" t="n">
        <x:v>1</x:v>
      </x:c>
      <x:c r="F1318" s="99" t="n">
        <x:v>1</x:v>
      </x:c>
      <x:c r="G1318" s="91" t="n">
        <x:v>64.6</x:v>
      </x:c>
      <x:c r="H1318" s="86" t="n">
        <x:v>1</x:v>
      </x:c>
      <x:c r="I1318" s="87" t="n">
        <x:v>10</x:v>
      </x:c>
    </x:row>
    <x:row r="1319">
      <x:c r="A1319" s="85" t="n">
        <x:v>1318</x:v>
      </x:c>
      <x:c r="B1319" s="86" t="n">
        <x:v>7</x:v>
      </x:c>
      <x:c r="C1319" s="95" t="n">
        <x:v>45825</x:v>
      </x:c>
      <x:c r="D1319" s="86" t="str">
        <x:v>Dia útil</x:v>
      </x:c>
      <x:c r="E1319" s="86" t="n">
        <x:v>2</x:v>
      </x:c>
      <x:c r="F1319" s="99" t="n">
        <x:v>0.5</x:v>
      </x:c>
      <x:c r="G1319" s="91" t="n">
        <x:v>36.14</x:v>
      </x:c>
      <x:c r="H1319" s="86" t="n">
        <x:v>1</x:v>
      </x:c>
      <x:c r="I1319" s="87" t="n">
        <x:v>1</x:v>
      </x:c>
    </x:row>
    <x:row r="1320">
      <x:c r="A1320" s="85" t="n">
        <x:v>1319</x:v>
      </x:c>
      <x:c r="B1320" s="86" t="n">
        <x:v>60</x:v>
      </x:c>
      <x:c r="C1320" s="95" t="n">
        <x:v>45366</x:v>
      </x:c>
      <x:c r="D1320" s="86" t="str">
        <x:v>Dia útil</x:v>
      </x:c>
      <x:c r="E1320" s="86" t="n">
        <x:v>4</x:v>
      </x:c>
      <x:c r="F1320" s="99" t="n">
        <x:v>0.5</x:v>
      </x:c>
      <x:c r="G1320" s="91" t="n">
        <x:v>279.63</x:v>
      </x:c>
      <x:c r="H1320" s="86" t="n">
        <x:v>1</x:v>
      </x:c>
      <x:c r="I1320" s="87" t="n">
        <x:v>5</x:v>
      </x:c>
    </x:row>
    <x:row r="1321">
      <x:c r="A1321" s="85" t="n">
        <x:v>1320</x:v>
      </x:c>
      <x:c r="B1321" s="86" t="n">
        <x:v>325</x:v>
      </x:c>
      <x:c r="C1321" s="95" t="n">
        <x:v>45712</x:v>
      </x:c>
      <x:c r="D1321" s="86" t="str">
        <x:v>Dia útil</x:v>
      </x:c>
      <x:c r="E1321" s="86" t="n">
        <x:v>1</x:v>
      </x:c>
      <x:c r="F1321" s="99" t="n">
        <x:v>0.5</x:v>
      </x:c>
      <x:c r="G1321" s="91" t="n">
        <x:v>16.24</x:v>
      </x:c>
      <x:c r="H1321" s="86" t="n">
        <x:v>1</x:v>
      </x:c>
      <x:c r="I1321" s="87" t="n">
        <x:v>1</x:v>
      </x:c>
    </x:row>
    <x:row r="1322">
      <x:c r="A1322" s="85" t="n">
        <x:v>1321</x:v>
      </x:c>
      <x:c r="B1322" s="86" t="n">
        <x:v>1</x:v>
      </x:c>
      <x:c r="C1322" s="95" t="n">
        <x:v>45619</x:v>
      </x:c>
      <x:c r="D1322" s="86" t="str">
        <x:v>Dia útil</x:v>
      </x:c>
      <x:c r="E1322" s="86" t="n">
        <x:v>8</x:v>
      </x:c>
      <x:c r="F1322" s="99" t="n">
        <x:v>0.5</x:v>
      </x:c>
      <x:c r="G1322" s="91" t="n">
        <x:v>263.04</x:v>
      </x:c>
      <x:c r="H1322" s="86" t="n">
        <x:v>1</x:v>
      </x:c>
      <x:c r="I1322" s="87" t="n">
        <x:v>2</x:v>
      </x:c>
    </x:row>
    <x:row r="1323">
      <x:c r="A1323" s="85" t="n">
        <x:v>1322</x:v>
      </x:c>
      <x:c r="B1323" s="86" t="n">
        <x:v>150</x:v>
      </x:c>
      <x:c r="C1323" s="95" t="n">
        <x:v>45898</x:v>
      </x:c>
      <x:c r="D1323" s="86" t="str">
        <x:v>Sábado</x:v>
      </x:c>
      <x:c r="E1323" s="86" t="n">
        <x:v>3</x:v>
      </x:c>
      <x:c r="F1323" s="99" t="n">
        <x:v>0.75</x:v>
      </x:c>
      <x:c r="G1323" s="91" t="n">
        <x:v>82.88</x:v>
      </x:c>
      <x:c r="H1323" s="86" t="n">
        <x:v>1</x:v>
      </x:c>
      <x:c r="I1323" s="87" t="n">
        <x:v>1</x:v>
      </x:c>
    </x:row>
    <x:row r="1324">
      <x:c r="A1324" s="85" t="n">
        <x:v>1323</x:v>
      </x:c>
      <x:c r="B1324" s="86" t="n">
        <x:v>283</x:v>
      </x:c>
      <x:c r="C1324" s="95" t="n">
        <x:v>45885</x:v>
      </x:c>
      <x:c r="D1324" s="86" t="str">
        <x:v>Dia útil</x:v>
      </x:c>
      <x:c r="E1324" s="86" t="n">
        <x:v>4</x:v>
      </x:c>
      <x:c r="F1324" s="99" t="n">
        <x:v>0.5</x:v>
      </x:c>
      <x:c r="G1324" s="91" t="n">
        <x:v>91.93</x:v>
      </x:c>
      <x:c r="H1324" s="86" t="n">
        <x:v>1</x:v>
      </x:c>
      <x:c r="I1324" s="87" t="n">
        <x:v>1</x:v>
      </x:c>
    </x:row>
    <x:row r="1325">
      <x:c r="A1325" s="85" t="n">
        <x:v>1324</x:v>
      </x:c>
      <x:c r="B1325" s="86" t="n">
        <x:v>263</x:v>
      </x:c>
      <x:c r="C1325" s="95" t="n">
        <x:v>45486</x:v>
      </x:c>
      <x:c r="D1325" s="86" t="str">
        <x:v>Dia útil</x:v>
      </x:c>
      <x:c r="E1325" s="86" t="n">
        <x:v>2</x:v>
      </x:c>
      <x:c r="F1325" s="99" t="n">
        <x:v>0.5</x:v>
      </x:c>
      <x:c r="G1325" s="91" t="n">
        <x:v>76.77</x:v>
      </x:c>
      <x:c r="H1325" s="86" t="n">
        <x:v>1</x:v>
      </x:c>
      <x:c r="I1325" s="87" t="n">
        <x:v>10</x:v>
      </x:c>
    </x:row>
    <x:row r="1326">
      <x:c r="A1326" s="85" t="n">
        <x:v>1325</x:v>
      </x:c>
      <x:c r="B1326" s="86" t="n">
        <x:v>60</x:v>
      </x:c>
      <x:c r="C1326" s="95" t="n">
        <x:v>45657</x:v>
      </x:c>
      <x:c r="D1326" s="86" t="str">
        <x:v>Sábado</x:v>
      </x:c>
      <x:c r="E1326" s="86" t="n">
        <x:v>3</x:v>
      </x:c>
      <x:c r="F1326" s="99" t="n">
        <x:v>0.75</x:v>
      </x:c>
      <x:c r="G1326" s="91" t="n">
        <x:v>244.68</x:v>
      </x:c>
      <x:c r="H1326" s="86" t="n">
        <x:v>1</x:v>
      </x:c>
      <x:c r="I1326" s="87" t="n">
        <x:v>5</x:v>
      </x:c>
    </x:row>
    <x:row r="1327">
      <x:c r="A1327" s="85" t="n">
        <x:v>1326</x:v>
      </x:c>
      <x:c r="B1327" s="86" t="n">
        <x:v>5</x:v>
      </x:c>
      <x:c r="C1327" s="95" t="n">
        <x:v>45924</x:v>
      </x:c>
      <x:c r="D1327" s="86" t="str">
        <x:v>Sábado</x:v>
      </x:c>
      <x:c r="E1327" s="86" t="n">
        <x:v>4</x:v>
      </x:c>
      <x:c r="F1327" s="99" t="n">
        <x:v>0.75</x:v>
      </x:c>
      <x:c r="G1327" s="91" t="n">
        <x:v>428.87</x:v>
      </x:c>
      <x:c r="H1327" s="86" t="n">
        <x:v>1</x:v>
      </x:c>
      <x:c r="I1327" s="87" t="n">
        <x:v>7</x:v>
      </x:c>
    </x:row>
    <x:row r="1328">
      <x:c r="A1328" s="85" t="n">
        <x:v>1327</x:v>
      </x:c>
      <x:c r="B1328" s="86" t="n">
        <x:v>314</x:v>
      </x:c>
      <x:c r="C1328" s="95" t="n">
        <x:v>45900</x:v>
      </x:c>
      <x:c r="D1328" s="86" t="str">
        <x:v>Dia útil</x:v>
      </x:c>
      <x:c r="E1328" s="86" t="n">
        <x:v>4</x:v>
      </x:c>
      <x:c r="F1328" s="99" t="n">
        <x:v>0.5</x:v>
      </x:c>
      <x:c r="G1328" s="91" t="n">
        <x:v>127.27</x:v>
      </x:c>
      <x:c r="H1328" s="86" t="n">
        <x:v>1</x:v>
      </x:c>
      <x:c r="I1328" s="87" t="n">
        <x:v>8</x:v>
      </x:c>
    </x:row>
    <x:row r="1329">
      <x:c r="A1329" s="85" t="n">
        <x:v>1328</x:v>
      </x:c>
      <x:c r="B1329" s="86" t="n">
        <x:v>66</x:v>
      </x:c>
      <x:c r="C1329" s="95" t="n">
        <x:v>45432</x:v>
      </x:c>
      <x:c r="D1329" s="86" t="str">
        <x:v>Dia útil</x:v>
      </x:c>
      <x:c r="E1329" s="86" t="n">
        <x:v>2</x:v>
      </x:c>
      <x:c r="F1329" s="99" t="n">
        <x:v>0.5</x:v>
      </x:c>
      <x:c r="G1329" s="91" t="n">
        <x:v>40.48</x:v>
      </x:c>
      <x:c r="H1329" s="86" t="n">
        <x:v>1</x:v>
      </x:c>
      <x:c r="I1329" s="87" t="n">
        <x:v>1</x:v>
      </x:c>
    </x:row>
    <x:row r="1330">
      <x:c r="A1330" s="85" t="n">
        <x:v>1329</x:v>
      </x:c>
      <x:c r="B1330" s="86" t="n">
        <x:v>82</x:v>
      </x:c>
      <x:c r="C1330" s="95" t="n">
        <x:v>45494</x:v>
      </x:c>
      <x:c r="D1330" s="86" t="str">
        <x:v>Dia útil</x:v>
      </x:c>
      <x:c r="E1330" s="86" t="n">
        <x:v>6</x:v>
      </x:c>
      <x:c r="F1330" s="99" t="n">
        <x:v>0.5</x:v>
      </x:c>
      <x:c r="G1330" s="91" t="n">
        <x:v>402.8</x:v>
      </x:c>
      <x:c r="H1330" s="86" t="n">
        <x:v>1</x:v>
      </x:c>
      <x:c r="I1330" s="87" t="n">
        <x:v>4</x:v>
      </x:c>
    </x:row>
    <x:row r="1331">
      <x:c r="A1331" s="85" t="n">
        <x:v>1330</x:v>
      </x:c>
      <x:c r="B1331" s="86" t="n">
        <x:v>90</x:v>
      </x:c>
      <x:c r="C1331" s="95" t="n">
        <x:v>45755</x:v>
      </x:c>
      <x:c r="D1331" s="86" t="str">
        <x:v>Dia útil</x:v>
      </x:c>
      <x:c r="E1331" s="86" t="n">
        <x:v>3</x:v>
      </x:c>
      <x:c r="F1331" s="99" t="n">
        <x:v>0.5</x:v>
      </x:c>
      <x:c r="G1331" s="91" t="n">
        <x:v>108.93</x:v>
      </x:c>
      <x:c r="H1331" s="86" t="n">
        <x:v>1</x:v>
      </x:c>
      <x:c r="I1331" s="87" t="n">
        <x:v>6</x:v>
      </x:c>
    </x:row>
    <x:row r="1332">
      <x:c r="A1332" s="85" t="n">
        <x:v>1331</x:v>
      </x:c>
      <x:c r="B1332" s="86" t="n">
        <x:v>121</x:v>
      </x:c>
      <x:c r="C1332" s="95" t="n">
        <x:v>45830</x:v>
      </x:c>
      <x:c r="D1332" s="86" t="str">
        <x:v>Sábado</x:v>
      </x:c>
      <x:c r="E1332" s="86" t="n">
        <x:v>4</x:v>
      </x:c>
      <x:c r="F1332" s="99" t="n">
        <x:v>0.75</x:v>
      </x:c>
      <x:c r="G1332" s="91" t="n">
        <x:v>151.23</x:v>
      </x:c>
      <x:c r="H1332" s="86" t="n">
        <x:v>1</x:v>
      </x:c>
      <x:c r="I1332" s="87" t="n">
        <x:v>4</x:v>
      </x:c>
    </x:row>
    <x:row r="1333">
      <x:c r="A1333" s="85" t="n">
        <x:v>1332</x:v>
      </x:c>
      <x:c r="B1333" s="86" t="n">
        <x:v>229</x:v>
      </x:c>
      <x:c r="C1333" s="95" t="n">
        <x:v>45460</x:v>
      </x:c>
      <x:c r="D1333" s="86" t="str">
        <x:v>Dia útil</x:v>
      </x:c>
      <x:c r="E1333" s="86" t="n">
        <x:v>1</x:v>
      </x:c>
      <x:c r="F1333" s="99" t="n">
        <x:v>0.5</x:v>
      </x:c>
      <x:c r="G1333" s="91" t="n">
        <x:v>33.67</x:v>
      </x:c>
      <x:c r="H1333" s="86" t="n">
        <x:v>1</x:v>
      </x:c>
      <x:c r="I1333" s="87" t="n">
        <x:v>10</x:v>
      </x:c>
    </x:row>
    <x:row r="1334">
      <x:c r="A1334" s="85" t="n">
        <x:v>1333</x:v>
      </x:c>
      <x:c r="B1334" s="86" t="n">
        <x:v>6</x:v>
      </x:c>
      <x:c r="C1334" s="95" t="n">
        <x:v>45586</x:v>
      </x:c>
      <x:c r="D1334" s="86" t="str">
        <x:v>Domingo/Feriado</x:v>
      </x:c>
      <x:c r="E1334" s="86" t="n">
        <x:v>6</x:v>
      </x:c>
      <x:c r="F1334" s="99" t="n">
        <x:v>1</x:v>
      </x:c>
      <x:c r="G1334" s="91" t="n">
        <x:v>199.5</x:v>
      </x:c>
      <x:c r="H1334" s="86" t="n">
        <x:v>1</x:v>
      </x:c>
      <x:c r="I1334" s="87" t="n">
        <x:v>3</x:v>
      </x:c>
    </x:row>
    <x:row r="1335">
      <x:c r="A1335" s="85" t="n">
        <x:v>1334</x:v>
      </x:c>
      <x:c r="B1335" s="86" t="n">
        <x:v>347</x:v>
      </x:c>
      <x:c r="C1335" s="95" t="n">
        <x:v>45964</x:v>
      </x:c>
      <x:c r="D1335" s="86" t="str">
        <x:v>Domingo/Feriado</x:v>
      </x:c>
      <x:c r="E1335" s="86" t="n">
        <x:v>8</x:v>
      </x:c>
      <x:c r="F1335" s="99" t="n">
        <x:v>1</x:v>
      </x:c>
      <x:c r="G1335" s="91" t="n">
        <x:v>335.73</x:v>
      </x:c>
      <x:c r="H1335" s="86" t="n">
        <x:v>1</x:v>
      </x:c>
      <x:c r="I1335" s="87" t="n">
        <x:v>7</x:v>
      </x:c>
    </x:row>
    <x:row r="1336">
      <x:c r="A1336" s="85" t="n">
        <x:v>1335</x:v>
      </x:c>
      <x:c r="B1336" s="86" t="n">
        <x:v>332</x:v>
      </x:c>
      <x:c r="C1336" s="95" t="n">
        <x:v>45884</x:v>
      </x:c>
      <x:c r="D1336" s="86" t="str">
        <x:v>Dia útil</x:v>
      </x:c>
      <x:c r="E1336" s="86" t="n">
        <x:v>4</x:v>
      </x:c>
      <x:c r="F1336" s="99" t="n">
        <x:v>0.5</x:v>
      </x:c>
      <x:c r="G1336" s="91" t="n">
        <x:v>223.82</x:v>
      </x:c>
      <x:c r="H1336" s="86" t="n">
        <x:v>1</x:v>
      </x:c>
      <x:c r="I1336" s="87" t="n">
        <x:v>5</x:v>
      </x:c>
    </x:row>
    <x:row r="1337">
      <x:c r="A1337" s="85" t="n">
        <x:v>1336</x:v>
      </x:c>
      <x:c r="B1337" s="86" t="n">
        <x:v>134</x:v>
      </x:c>
      <x:c r="C1337" s="95" t="n">
        <x:v>45854</x:v>
      </x:c>
      <x:c r="D1337" s="86" t="str">
        <x:v>Sábado</x:v>
      </x:c>
      <x:c r="E1337" s="86" t="n">
        <x:v>4</x:v>
      </x:c>
      <x:c r="F1337" s="99" t="n">
        <x:v>0.75</x:v>
      </x:c>
      <x:c r="G1337" s="91" t="n">
        <x:v>245.46</x:v>
      </x:c>
      <x:c r="H1337" s="86" t="n">
        <x:v>1</x:v>
      </x:c>
      <x:c r="I1337" s="87" t="n">
        <x:v>5</x:v>
      </x:c>
    </x:row>
    <x:row r="1338">
      <x:c r="A1338" s="85" t="n">
        <x:v>1337</x:v>
      </x:c>
      <x:c r="B1338" s="86" t="n">
        <x:v>113</x:v>
      </x:c>
      <x:c r="C1338" s="95" t="n">
        <x:v>45817</x:v>
      </x:c>
      <x:c r="D1338" s="86" t="str">
        <x:v>Sábado</x:v>
      </x:c>
      <x:c r="E1338" s="86" t="n">
        <x:v>3</x:v>
      </x:c>
      <x:c r="F1338" s="99" t="n">
        <x:v>0.75</x:v>
      </x:c>
      <x:c r="G1338" s="91" t="n">
        <x:v>78.21</x:v>
      </x:c>
      <x:c r="H1338" s="86" t="n">
        <x:v>1</x:v>
      </x:c>
      <x:c r="I1338" s="87" t="n">
        <x:v>1</x:v>
      </x:c>
    </x:row>
    <x:row r="1339">
      <x:c r="A1339" s="85" t="n">
        <x:v>1338</x:v>
      </x:c>
      <x:c r="B1339" s="86" t="n">
        <x:v>371</x:v>
      </x:c>
      <x:c r="C1339" s="95" t="n">
        <x:v>45302</x:v>
      </x:c>
      <x:c r="D1339" s="86" t="str">
        <x:v>Dia útil</x:v>
      </x:c>
      <x:c r="E1339" s="86" t="n">
        <x:v>8</x:v>
      </x:c>
      <x:c r="F1339" s="99" t="n">
        <x:v>0.5</x:v>
      </x:c>
      <x:c r="G1339" s="91" t="n">
        <x:v>527.19</x:v>
      </x:c>
      <x:c r="H1339" s="86" t="n">
        <x:v>1</x:v>
      </x:c>
      <x:c r="I1339" s="87" t="n">
        <x:v>1</x:v>
      </x:c>
    </x:row>
    <x:row r="1340">
      <x:c r="A1340" s="85" t="n">
        <x:v>1339</x:v>
      </x:c>
      <x:c r="B1340" s="86" t="n">
        <x:v>6</x:v>
      </x:c>
      <x:c r="C1340" s="95" t="n">
        <x:v>45860</x:v>
      </x:c>
      <x:c r="D1340" s="86" t="str">
        <x:v>Dia útil</x:v>
      </x:c>
      <x:c r="E1340" s="86" t="n">
        <x:v>3</x:v>
      </x:c>
      <x:c r="F1340" s="99" t="n">
        <x:v>0.5</x:v>
      </x:c>
      <x:c r="G1340" s="91" t="n">
        <x:v>74.81</x:v>
      </x:c>
      <x:c r="H1340" s="86" t="n">
        <x:v>1</x:v>
      </x:c>
      <x:c r="I1340" s="87" t="n">
        <x:v>3</x:v>
      </x:c>
    </x:row>
    <x:row r="1341">
      <x:c r="A1341" s="85" t="n">
        <x:v>1340</x:v>
      </x:c>
      <x:c r="B1341" s="86" t="n">
        <x:v>281</x:v>
      </x:c>
      <x:c r="C1341" s="95" t="n">
        <x:v>45653</x:v>
      </x:c>
      <x:c r="D1341" s="86" t="str">
        <x:v>Dia útil</x:v>
      </x:c>
      <x:c r="E1341" s="86" t="n">
        <x:v>6</x:v>
      </x:c>
      <x:c r="F1341" s="99" t="n">
        <x:v>0.5</x:v>
      </x:c>
      <x:c r="G1341" s="91" t="n">
        <x:v>93.62</x:v>
      </x:c>
      <x:c r="H1341" s="86" t="n">
        <x:v>1</x:v>
      </x:c>
      <x:c r="I1341" s="87" t="n">
        <x:v>1</x:v>
      </x:c>
    </x:row>
    <x:row r="1342">
      <x:c r="A1342" s="85" t="n">
        <x:v>1341</x:v>
      </x:c>
      <x:c r="B1342" s="86" t="n">
        <x:v>333</x:v>
      </x:c>
      <x:c r="C1342" s="95" t="n">
        <x:v>45374</x:v>
      </x:c>
      <x:c r="D1342" s="86" t="str">
        <x:v>Sábado</x:v>
      </x:c>
      <x:c r="E1342" s="86" t="n">
        <x:v>3</x:v>
      </x:c>
      <x:c r="F1342" s="99" t="n">
        <x:v>0.75</x:v>
      </x:c>
      <x:c r="G1342" s="91" t="n">
        <x:v>200.47</x:v>
      </x:c>
      <x:c r="H1342" s="86" t="n">
        <x:v>1</x:v>
      </x:c>
      <x:c r="I1342" s="87" t="n">
        <x:v>6</x:v>
      </x:c>
    </x:row>
    <x:row r="1343">
      <x:c r="A1343" s="85" t="n">
        <x:v>1342</x:v>
      </x:c>
      <x:c r="B1343" s="86" t="n">
        <x:v>98</x:v>
      </x:c>
      <x:c r="C1343" s="95" t="n">
        <x:v>45631</x:v>
      </x:c>
      <x:c r="D1343" s="86" t="str">
        <x:v>Dia útil</x:v>
      </x:c>
      <x:c r="E1343" s="86" t="n">
        <x:v>1</x:v>
      </x:c>
      <x:c r="F1343" s="99" t="n">
        <x:v>0.5</x:v>
      </x:c>
      <x:c r="G1343" s="91" t="n">
        <x:v>57.74</x:v>
      </x:c>
      <x:c r="H1343" s="86" t="n">
        <x:v>1</x:v>
      </x:c>
      <x:c r="I1343" s="87" t="n">
        <x:v>1</x:v>
      </x:c>
    </x:row>
    <x:row r="1344">
      <x:c r="A1344" s="85" t="n">
        <x:v>1343</x:v>
      </x:c>
      <x:c r="B1344" s="86" t="n">
        <x:v>131</x:v>
      </x:c>
      <x:c r="C1344" s="95" t="n">
        <x:v>45960</x:v>
      </x:c>
      <x:c r="D1344" s="86" t="str">
        <x:v>Dia útil</x:v>
      </x:c>
      <x:c r="E1344" s="86" t="n">
        <x:v>8</x:v>
      </x:c>
      <x:c r="F1344" s="99" t="n">
        <x:v>0.5</x:v>
      </x:c>
      <x:c r="G1344" s="91" t="n">
        <x:v>300.52</x:v>
      </x:c>
      <x:c r="H1344" s="86" t="n">
        <x:v>1</x:v>
      </x:c>
      <x:c r="I1344" s="87" t="n">
        <x:v>8</x:v>
      </x:c>
    </x:row>
    <x:row r="1345">
      <x:c r="A1345" s="85" t="n">
        <x:v>1344</x:v>
      </x:c>
      <x:c r="B1345" s="86" t="n">
        <x:v>162</x:v>
      </x:c>
      <x:c r="C1345" s="95" t="n">
        <x:v>45744</x:v>
      </x:c>
      <x:c r="D1345" s="86" t="str">
        <x:v>Dia útil</x:v>
      </x:c>
      <x:c r="E1345" s="86" t="n">
        <x:v>6</x:v>
      </x:c>
      <x:c r="F1345" s="99" t="n">
        <x:v>0.5</x:v>
      </x:c>
      <x:c r="G1345" s="91" t="n">
        <x:v>315.68</x:v>
      </x:c>
      <x:c r="H1345" s="86" t="n">
        <x:v>1</x:v>
      </x:c>
      <x:c r="I1345" s="87" t="n">
        <x:v>10</x:v>
      </x:c>
    </x:row>
    <x:row r="1346">
      <x:c r="A1346" s="85" t="n">
        <x:v>1345</x:v>
      </x:c>
      <x:c r="B1346" s="86" t="n">
        <x:v>132</x:v>
      </x:c>
      <x:c r="C1346" s="95" t="n">
        <x:v>45943</x:v>
      </x:c>
      <x:c r="D1346" s="86" t="str">
        <x:v>Sábado</x:v>
      </x:c>
      <x:c r="E1346" s="86" t="n">
        <x:v>8</x:v>
      </x:c>
      <x:c r="F1346" s="99" t="n">
        <x:v>0.75</x:v>
      </x:c>
      <x:c r="G1346" s="91" t="n">
        <x:v>370</x:v>
      </x:c>
      <x:c r="H1346" s="86" t="n">
        <x:v>1</x:v>
      </x:c>
      <x:c r="I1346" s="87" t="n">
        <x:v>4</x:v>
      </x:c>
    </x:row>
    <x:row r="1347">
      <x:c r="A1347" s="85" t="n">
        <x:v>1346</x:v>
      </x:c>
      <x:c r="B1347" s="86" t="n">
        <x:v>165</x:v>
      </x:c>
      <x:c r="C1347" s="95" t="n">
        <x:v>46012</x:v>
      </x:c>
      <x:c r="D1347" s="86" t="str">
        <x:v>Domingo/Feriado</x:v>
      </x:c>
      <x:c r="E1347" s="86" t="n">
        <x:v>6</x:v>
      </x:c>
      <x:c r="F1347" s="99" t="n">
        <x:v>1</x:v>
      </x:c>
      <x:c r="G1347" s="91" t="n">
        <x:v>262.69</x:v>
      </x:c>
      <x:c r="H1347" s="86" t="n">
        <x:v>1</x:v>
      </x:c>
      <x:c r="I1347" s="87" t="n">
        <x:v>4</x:v>
      </x:c>
    </x:row>
    <x:row r="1348">
      <x:c r="A1348" s="85" t="n">
        <x:v>1347</x:v>
      </x:c>
      <x:c r="B1348" s="86" t="n">
        <x:v>255</x:v>
      </x:c>
      <x:c r="C1348" s="95" t="n">
        <x:v>45851</x:v>
      </x:c>
      <x:c r="D1348" s="86" t="str">
        <x:v>Domingo/Feriado</x:v>
      </x:c>
      <x:c r="E1348" s="86" t="n">
        <x:v>6</x:v>
      </x:c>
      <x:c r="F1348" s="99" t="n">
        <x:v>1</x:v>
      </x:c>
      <x:c r="G1348" s="91" t="n">
        <x:v>177.81</x:v>
      </x:c>
      <x:c r="H1348" s="86" t="n">
        <x:v>1</x:v>
      </x:c>
      <x:c r="I1348" s="87" t="n">
        <x:v>1</x:v>
      </x:c>
    </x:row>
    <x:row r="1349">
      <x:c r="A1349" s="85" t="n">
        <x:v>1348</x:v>
      </x:c>
      <x:c r="B1349" s="86" t="n">
        <x:v>348</x:v>
      </x:c>
      <x:c r="C1349" s="95" t="n">
        <x:v>45622</x:v>
      </x:c>
      <x:c r="D1349" s="86" t="str">
        <x:v>Domingo/Feriado</x:v>
      </x:c>
      <x:c r="E1349" s="86" t="n">
        <x:v>3</x:v>
      </x:c>
      <x:c r="F1349" s="99" t="n">
        <x:v>1</x:v>
      </x:c>
      <x:c r="G1349" s="91" t="n">
        <x:v>131.61</x:v>
      </x:c>
      <x:c r="H1349" s="86" t="n">
        <x:v>1</x:v>
      </x:c>
      <x:c r="I1349" s="87" t="n">
        <x:v>7</x:v>
      </x:c>
    </x:row>
    <x:row r="1350">
      <x:c r="A1350" s="85" t="n">
        <x:v>1349</x:v>
      </x:c>
      <x:c r="B1350" s="86" t="n">
        <x:v>94</x:v>
      </x:c>
      <x:c r="C1350" s="95" t="n">
        <x:v>45512</x:v>
      </x:c>
      <x:c r="D1350" s="86" t="str">
        <x:v>Dia útil</x:v>
      </x:c>
      <x:c r="E1350" s="86" t="n">
        <x:v>1</x:v>
      </x:c>
      <x:c r="F1350" s="99" t="n">
        <x:v>0.5</x:v>
      </x:c>
      <x:c r="G1350" s="91" t="n">
        <x:v>104.28</x:v>
      </x:c>
      <x:c r="H1350" s="86" t="n">
        <x:v>1</x:v>
      </x:c>
      <x:c r="I1350" s="87" t="n">
        <x:v>5</x:v>
      </x:c>
    </x:row>
    <x:row r="1351">
      <x:c r="A1351" s="85" t="n">
        <x:v>1350</x:v>
      </x:c>
      <x:c r="B1351" s="86" t="n">
        <x:v>273</x:v>
      </x:c>
      <x:c r="C1351" s="95" t="n">
        <x:v>45660</x:v>
      </x:c>
      <x:c r="D1351" s="86" t="str">
        <x:v>Dia útil</x:v>
      </x:c>
      <x:c r="E1351" s="86" t="n">
        <x:v>3</x:v>
      </x:c>
      <x:c r="F1351" s="99" t="n">
        <x:v>0.5</x:v>
      </x:c>
      <x:c r="G1351" s="91" t="n">
        <x:v>132.86</x:v>
      </x:c>
      <x:c r="H1351" s="86" t="n">
        <x:v>1</x:v>
      </x:c>
      <x:c r="I1351" s="87" t="n">
        <x:v>4</x:v>
      </x:c>
    </x:row>
    <x:row r="1352">
      <x:c r="A1352" s="85" t="n">
        <x:v>1351</x:v>
      </x:c>
      <x:c r="B1352" s="86" t="n">
        <x:v>131</x:v>
      </x:c>
      <x:c r="C1352" s="95" t="n">
        <x:v>45847</x:v>
      </x:c>
      <x:c r="D1352" s="86" t="str">
        <x:v>Dia útil</x:v>
      </x:c>
      <x:c r="E1352" s="86" t="n">
        <x:v>2</x:v>
      </x:c>
      <x:c r="F1352" s="99" t="n">
        <x:v>0.5</x:v>
      </x:c>
      <x:c r="G1352" s="91" t="n">
        <x:v>75.13</x:v>
      </x:c>
      <x:c r="H1352" s="86" t="n">
        <x:v>1</x:v>
      </x:c>
      <x:c r="I1352" s="87" t="n">
        <x:v>8</x:v>
      </x:c>
    </x:row>
    <x:row r="1353">
      <x:c r="A1353" s="85" t="n">
        <x:v>1352</x:v>
      </x:c>
      <x:c r="B1353" s="86" t="n">
        <x:v>241</x:v>
      </x:c>
      <x:c r="C1353" s="95" t="n">
        <x:v>45855</x:v>
      </x:c>
      <x:c r="D1353" s="86" t="str">
        <x:v>Dia útil</x:v>
      </x:c>
      <x:c r="E1353" s="86" t="n">
        <x:v>1</x:v>
      </x:c>
      <x:c r="F1353" s="99" t="n">
        <x:v>0.5</x:v>
      </x:c>
      <x:c r="G1353" s="91" t="n">
        <x:v>16.8</x:v>
      </x:c>
      <x:c r="H1353" s="86" t="n">
        <x:v>1</x:v>
      </x:c>
      <x:c r="I1353" s="87" t="n">
        <x:v>1</x:v>
      </x:c>
    </x:row>
    <x:row r="1354">
      <x:c r="A1354" s="85" t="n">
        <x:v>1353</x:v>
      </x:c>
      <x:c r="B1354" s="86" t="n">
        <x:v>231</x:v>
      </x:c>
      <x:c r="C1354" s="95" t="n">
        <x:v>45621</x:v>
      </x:c>
      <x:c r="D1354" s="86" t="str">
        <x:v>Sábado</x:v>
      </x:c>
      <x:c r="E1354" s="86" t="n">
        <x:v>1</x:v>
      </x:c>
      <x:c r="F1354" s="99" t="n">
        <x:v>0.75</x:v>
      </x:c>
      <x:c r="G1354" s="91" t="n">
        <x:v>47.54</x:v>
      </x:c>
      <x:c r="H1354" s="86" t="n">
        <x:v>1</x:v>
      </x:c>
      <x:c r="I1354" s="87" t="n">
        <x:v>7</x:v>
      </x:c>
    </x:row>
    <x:row r="1355">
      <x:c r="A1355" s="85" t="n">
        <x:v>1354</x:v>
      </x:c>
      <x:c r="B1355" s="86" t="n">
        <x:v>334</x:v>
      </x:c>
      <x:c r="C1355" s="95" t="n">
        <x:v>45555</x:v>
      </x:c>
      <x:c r="D1355" s="86" t="str">
        <x:v>Dia útil</x:v>
      </x:c>
      <x:c r="E1355" s="86" t="n">
        <x:v>4</x:v>
      </x:c>
      <x:c r="F1355" s="99" t="n">
        <x:v>0.5</x:v>
      </x:c>
      <x:c r="G1355" s="91" t="n">
        <x:v>200.42</x:v>
      </x:c>
      <x:c r="H1355" s="86" t="n">
        <x:v>1</x:v>
      </x:c>
      <x:c r="I1355" s="87" t="n">
        <x:v>5</x:v>
      </x:c>
    </x:row>
    <x:row r="1356">
      <x:c r="A1356" s="85" t="n">
        <x:v>1355</x:v>
      </x:c>
      <x:c r="B1356" s="86" t="n">
        <x:v>43</x:v>
      </x:c>
      <x:c r="C1356" s="95" t="n">
        <x:v>45858</x:v>
      </x:c>
      <x:c r="D1356" s="86" t="str">
        <x:v>Dia útil</x:v>
      </x:c>
      <x:c r="E1356" s="86" t="n">
        <x:v>4</x:v>
      </x:c>
      <x:c r="F1356" s="99" t="n">
        <x:v>0.5</x:v>
      </x:c>
      <x:c r="G1356" s="91" t="n">
        <x:v>125.83</x:v>
      </x:c>
      <x:c r="H1356" s="86" t="n">
        <x:v>1</x:v>
      </x:c>
      <x:c r="I1356" s="87" t="n">
        <x:v>2</x:v>
      </x:c>
    </x:row>
    <x:row r="1357">
      <x:c r="A1357" s="85" t="n">
        <x:v>1356</x:v>
      </x:c>
      <x:c r="B1357" s="86" t="n">
        <x:v>211</x:v>
      </x:c>
      <x:c r="C1357" s="95" t="n">
        <x:v>45843</x:v>
      </x:c>
      <x:c r="D1357" s="86" t="str">
        <x:v>Sábado</x:v>
      </x:c>
      <x:c r="E1357" s="86" t="n">
        <x:v>2</x:v>
      </x:c>
      <x:c r="F1357" s="99" t="n">
        <x:v>0.75</x:v>
      </x:c>
      <x:c r="G1357" s="91" t="n">
        <x:v>36.15</x:v>
      </x:c>
      <x:c r="H1357" s="86" t="n">
        <x:v>1</x:v>
      </x:c>
      <x:c r="I1357" s="87" t="n">
        <x:v>1</x:v>
      </x:c>
    </x:row>
    <x:row r="1358">
      <x:c r="A1358" s="85" t="n">
        <x:v>1357</x:v>
      </x:c>
      <x:c r="B1358" s="86" t="n">
        <x:v>404</x:v>
      </x:c>
      <x:c r="C1358" s="95" t="n">
        <x:v>45357</x:v>
      </x:c>
      <x:c r="D1358" s="86" t="str">
        <x:v>Sábado</x:v>
      </x:c>
      <x:c r="E1358" s="86" t="n">
        <x:v>1</x:v>
      </x:c>
      <x:c r="F1358" s="99" t="n">
        <x:v>0.75</x:v>
      </x:c>
      <x:c r="G1358" s="91" t="n">
        <x:v>66.68</x:v>
      </x:c>
      <x:c r="H1358" s="86" t="n">
        <x:v>0</x:v>
      </x:c>
      <x:c r="I1358" s="87" t="n">
        <x:v>1</x:v>
      </x:c>
    </x:row>
    <x:row r="1359">
      <x:c r="A1359" s="85" t="n">
        <x:v>1358</x:v>
      </x:c>
      <x:c r="B1359" s="86" t="n">
        <x:v>216</x:v>
      </x:c>
      <x:c r="C1359" s="95" t="n">
        <x:v>45677</x:v>
      </x:c>
      <x:c r="D1359" s="86" t="str">
        <x:v>Domingo/Feriado</x:v>
      </x:c>
      <x:c r="E1359" s="86" t="n">
        <x:v>6</x:v>
      </x:c>
      <x:c r="F1359" s="99" t="n">
        <x:v>1</x:v>
      </x:c>
      <x:c r="G1359" s="91" t="n">
        <x:v>352.24</x:v>
      </x:c>
      <x:c r="H1359" s="86" t="n">
        <x:v>1</x:v>
      </x:c>
      <x:c r="I1359" s="87" t="n">
        <x:v>8</x:v>
      </x:c>
    </x:row>
    <x:row r="1360">
      <x:c r="A1360" s="85" t="n">
        <x:v>1359</x:v>
      </x:c>
      <x:c r="B1360" s="86" t="n">
        <x:v>354</x:v>
      </x:c>
      <x:c r="C1360" s="95" t="n">
        <x:v>45836</x:v>
      </x:c>
      <x:c r="D1360" s="86" t="str">
        <x:v>Domingo/Feriado</x:v>
      </x:c>
      <x:c r="E1360" s="86" t="n">
        <x:v>4</x:v>
      </x:c>
      <x:c r="F1360" s="99" t="n">
        <x:v>1</x:v>
      </x:c>
      <x:c r="G1360" s="91" t="n">
        <x:v>545.81</x:v>
      </x:c>
      <x:c r="H1360" s="86" t="n">
        <x:v>1</x:v>
      </x:c>
      <x:c r="I1360" s="87" t="n">
        <x:v>9</x:v>
      </x:c>
    </x:row>
    <x:row r="1361">
      <x:c r="A1361" s="85" t="n">
        <x:v>1360</x:v>
      </x:c>
      <x:c r="B1361" s="86" t="n">
        <x:v>64</x:v>
      </x:c>
      <x:c r="C1361" s="95" t="n">
        <x:v>45488</x:v>
      </x:c>
      <x:c r="D1361" s="86" t="str">
        <x:v>Sábado</x:v>
      </x:c>
      <x:c r="E1361" s="86" t="n">
        <x:v>6</x:v>
      </x:c>
      <x:c r="F1361" s="99" t="n">
        <x:v>0.75</x:v>
      </x:c>
      <x:c r="G1361" s="91" t="n">
        <x:v>746.66</x:v>
      </x:c>
      <x:c r="H1361" s="86" t="n">
        <x:v>1</x:v>
      </x:c>
      <x:c r="I1361" s="87" t="n">
        <x:v>8</x:v>
      </x:c>
    </x:row>
    <x:row r="1362">
      <x:c r="A1362" s="85" t="n">
        <x:v>1361</x:v>
      </x:c>
      <x:c r="B1362" s="86" t="n">
        <x:v>309</x:v>
      </x:c>
      <x:c r="C1362" s="95" t="n">
        <x:v>45900</x:v>
      </x:c>
      <x:c r="D1362" s="86" t="str">
        <x:v>Sábado</x:v>
      </x:c>
      <x:c r="E1362" s="86" t="n">
        <x:v>1</x:v>
      </x:c>
      <x:c r="F1362" s="99" t="n">
        <x:v>0.75</x:v>
      </x:c>
      <x:c r="G1362" s="91" t="n">
        <x:v>27.32</x:v>
      </x:c>
      <x:c r="H1362" s="86" t="n">
        <x:v>1</x:v>
      </x:c>
      <x:c r="I1362" s="87" t="n">
        <x:v>10</x:v>
      </x:c>
    </x:row>
    <x:row r="1363">
      <x:c r="A1363" s="85" t="n">
        <x:v>1362</x:v>
      </x:c>
      <x:c r="B1363" s="86" t="n">
        <x:v>202</x:v>
      </x:c>
      <x:c r="C1363" s="95" t="n">
        <x:v>45963</x:v>
      </x:c>
      <x:c r="D1363" s="86" t="str">
        <x:v>Dia útil</x:v>
      </x:c>
      <x:c r="E1363" s="86" t="n">
        <x:v>8</x:v>
      </x:c>
      <x:c r="F1363" s="99" t="n">
        <x:v>0.5</x:v>
      </x:c>
      <x:c r="G1363" s="91" t="n">
        <x:v>422.4</x:v>
      </x:c>
      <x:c r="H1363" s="86" t="n">
        <x:v>1</x:v>
      </x:c>
      <x:c r="I1363" s="87" t="n">
        <x:v>1</x:v>
      </x:c>
    </x:row>
    <x:row r="1364">
      <x:c r="A1364" s="85" t="n">
        <x:v>1363</x:v>
      </x:c>
      <x:c r="B1364" s="86" t="n">
        <x:v>105</x:v>
      </x:c>
      <x:c r="C1364" s="95" t="n">
        <x:v>45732</x:v>
      </x:c>
      <x:c r="D1364" s="86" t="str">
        <x:v>Dia útil</x:v>
      </x:c>
      <x:c r="E1364" s="86" t="n">
        <x:v>6</x:v>
      </x:c>
      <x:c r="F1364" s="99" t="n">
        <x:v>0.5</x:v>
      </x:c>
      <x:c r="G1364" s="91" t="n">
        <x:v>166.63</x:v>
      </x:c>
      <x:c r="H1364" s="86" t="n">
        <x:v>1</x:v>
      </x:c>
      <x:c r="I1364" s="87" t="n">
        <x:v>2</x:v>
      </x:c>
    </x:row>
    <x:row r="1365">
      <x:c r="A1365" s="85" t="n">
        <x:v>1364</x:v>
      </x:c>
      <x:c r="B1365" s="86" t="n">
        <x:v>414</x:v>
      </x:c>
      <x:c r="C1365" s="95" t="n">
        <x:v>45608</x:v>
      </x:c>
      <x:c r="D1365" s="86" t="str">
        <x:v>Sábado</x:v>
      </x:c>
      <x:c r="E1365" s="86" t="n">
        <x:v>2</x:v>
      </x:c>
      <x:c r="F1365" s="99" t="n">
        <x:v>0.75</x:v>
      </x:c>
      <x:c r="G1365" s="91" t="n">
        <x:v>83.21</x:v>
      </x:c>
      <x:c r="H1365" s="86" t="n">
        <x:v>1</x:v>
      </x:c>
      <x:c r="I1365" s="87" t="n">
        <x:v>10</x:v>
      </x:c>
    </x:row>
    <x:row r="1366">
      <x:c r="A1366" s="85" t="n">
        <x:v>1365</x:v>
      </x:c>
      <x:c r="B1366" s="86" t="n">
        <x:v>393</x:v>
      </x:c>
      <x:c r="C1366" s="95" t="n">
        <x:v>45402</x:v>
      </x:c>
      <x:c r="D1366" s="86" t="str">
        <x:v>Dia útil</x:v>
      </x:c>
      <x:c r="E1366" s="86" t="n">
        <x:v>1</x:v>
      </x:c>
      <x:c r="F1366" s="99" t="n">
        <x:v>0.5</x:v>
      </x:c>
      <x:c r="G1366" s="91" t="n">
        <x:v>17.65</x:v>
      </x:c>
      <x:c r="H1366" s="86" t="n">
        <x:v>1</x:v>
      </x:c>
      <x:c r="I1366" s="87" t="n">
        <x:v>1</x:v>
      </x:c>
    </x:row>
    <x:row r="1367">
      <x:c r="A1367" s="85" t="n">
        <x:v>1366</x:v>
      </x:c>
      <x:c r="B1367" s="86" t="n">
        <x:v>258</x:v>
      </x:c>
      <x:c r="C1367" s="95" t="n">
        <x:v>45746</x:v>
      </x:c>
      <x:c r="D1367" s="86" t="str">
        <x:v>Dia útil</x:v>
      </x:c>
      <x:c r="E1367" s="86" t="n">
        <x:v>6</x:v>
      </x:c>
      <x:c r="F1367" s="99" t="n">
        <x:v>0.5</x:v>
      </x:c>
      <x:c r="G1367" s="91" t="n">
        <x:v>141.76</x:v>
      </x:c>
      <x:c r="H1367" s="86" t="n">
        <x:v>1</x:v>
      </x:c>
      <x:c r="I1367" s="87" t="n">
        <x:v>1</x:v>
      </x:c>
    </x:row>
    <x:row r="1368">
      <x:c r="A1368" s="85" t="n">
        <x:v>1367</x:v>
      </x:c>
      <x:c r="B1368" s="86" t="n">
        <x:v>376</x:v>
      </x:c>
      <x:c r="C1368" s="95" t="n">
        <x:v>45936</x:v>
      </x:c>
      <x:c r="D1368" s="86" t="str">
        <x:v>Dia útil</x:v>
      </x:c>
      <x:c r="E1368" s="86" t="n">
        <x:v>1</x:v>
      </x:c>
      <x:c r="F1368" s="99" t="n">
        <x:v>0.5</x:v>
      </x:c>
      <x:c r="G1368" s="91" t="n">
        <x:v>63.83</x:v>
      </x:c>
      <x:c r="H1368" s="86" t="n">
        <x:v>1</x:v>
      </x:c>
      <x:c r="I1368" s="87" t="n">
        <x:v>4</x:v>
      </x:c>
    </x:row>
    <x:row r="1369">
      <x:c r="A1369" s="85" t="n">
        <x:v>1368</x:v>
      </x:c>
      <x:c r="B1369" s="86" t="n">
        <x:v>181</x:v>
      </x:c>
      <x:c r="C1369" s="95" t="n">
        <x:v>45951</x:v>
      </x:c>
      <x:c r="D1369" s="86" t="str">
        <x:v>Sábado</x:v>
      </x:c>
      <x:c r="E1369" s="86" t="n">
        <x:v>8</x:v>
      </x:c>
      <x:c r="F1369" s="99" t="n">
        <x:v>0.75</x:v>
      </x:c>
      <x:c r="G1369" s="91" t="n">
        <x:v>539.09</x:v>
      </x:c>
      <x:c r="H1369" s="86" t="n">
        <x:v>1</x:v>
      </x:c>
      <x:c r="I1369" s="87" t="n">
        <x:v>6</x:v>
      </x:c>
    </x:row>
    <x:row r="1370">
      <x:c r="A1370" s="85" t="n">
        <x:v>1369</x:v>
      </x:c>
      <x:c r="B1370" s="86" t="n">
        <x:v>74</x:v>
      </x:c>
      <x:c r="C1370" s="95" t="n">
        <x:v>45890</x:v>
      </x:c>
      <x:c r="D1370" s="86" t="str">
        <x:v>Dia útil</x:v>
      </x:c>
      <x:c r="E1370" s="86" t="n">
        <x:v>1</x:v>
      </x:c>
      <x:c r="F1370" s="99" t="n">
        <x:v>0.5</x:v>
      </x:c>
      <x:c r="G1370" s="91" t="n">
        <x:v>16.29</x:v>
      </x:c>
      <x:c r="H1370" s="86" t="n">
        <x:v>1</x:v>
      </x:c>
      <x:c r="I1370" s="87" t="n">
        <x:v>1</x:v>
      </x:c>
    </x:row>
    <x:row r="1371">
      <x:c r="A1371" s="85" t="n">
        <x:v>1370</x:v>
      </x:c>
      <x:c r="B1371" s="86" t="n">
        <x:v>15</x:v>
      </x:c>
      <x:c r="C1371" s="95" t="n">
        <x:v>45443</x:v>
      </x:c>
      <x:c r="D1371" s="86" t="str">
        <x:v>Dia útil</x:v>
      </x:c>
      <x:c r="E1371" s="86" t="n">
        <x:v>4</x:v>
      </x:c>
      <x:c r="F1371" s="99" t="n">
        <x:v>0.5</x:v>
      </x:c>
      <x:c r="G1371" s="91" t="n">
        <x:v>271.46</x:v>
      </x:c>
      <x:c r="H1371" s="86" t="n">
        <x:v>1</x:v>
      </x:c>
      <x:c r="I1371" s="87" t="n">
        <x:v>2</x:v>
      </x:c>
    </x:row>
    <x:row r="1372">
      <x:c r="A1372" s="85" t="n">
        <x:v>1371</x:v>
      </x:c>
      <x:c r="B1372" s="86" t="n">
        <x:v>5</x:v>
      </x:c>
      <x:c r="C1372" s="95" t="n">
        <x:v>45890</x:v>
      </x:c>
      <x:c r="D1372" s="86" t="str">
        <x:v>Dia útil</x:v>
      </x:c>
      <x:c r="E1372" s="86" t="n">
        <x:v>4</x:v>
      </x:c>
      <x:c r="F1372" s="99" t="n">
        <x:v>0.5</x:v>
      </x:c>
      <x:c r="G1372" s="91" t="n">
        <x:v>367.6</x:v>
      </x:c>
      <x:c r="H1372" s="86" t="n">
        <x:v>1</x:v>
      </x:c>
      <x:c r="I1372" s="87" t="n">
        <x:v>7</x:v>
      </x:c>
    </x:row>
    <x:row r="1373">
      <x:c r="A1373" s="85" t="n">
        <x:v>1372</x:v>
      </x:c>
      <x:c r="B1373" s="86" t="n">
        <x:v>42</x:v>
      </x:c>
      <x:c r="C1373" s="95" t="n">
        <x:v>46011</x:v>
      </x:c>
      <x:c r="D1373" s="86" t="str">
        <x:v>Dia útil</x:v>
      </x:c>
      <x:c r="E1373" s="86" t="n">
        <x:v>3</x:v>
      </x:c>
      <x:c r="F1373" s="99" t="n">
        <x:v>0.5</x:v>
      </x:c>
      <x:c r="G1373" s="91" t="n">
        <x:v>98.54</x:v>
      </x:c>
      <x:c r="H1373" s="86" t="n">
        <x:v>1</x:v>
      </x:c>
      <x:c r="I1373" s="87" t="n">
        <x:v>2</x:v>
      </x:c>
    </x:row>
    <x:row r="1374">
      <x:c r="A1374" s="85" t="n">
        <x:v>1373</x:v>
      </x:c>
      <x:c r="B1374" s="86" t="n">
        <x:v>346</x:v>
      </x:c>
      <x:c r="C1374" s="95" t="n">
        <x:v>45530</x:v>
      </x:c>
      <x:c r="D1374" s="86" t="str">
        <x:v>Dia útil</x:v>
      </x:c>
      <x:c r="E1374" s="86" t="n">
        <x:v>2</x:v>
      </x:c>
      <x:c r="F1374" s="99" t="n">
        <x:v>0.5</x:v>
      </x:c>
      <x:c r="G1374" s="91" t="n">
        <x:v>87.41</x:v>
      </x:c>
      <x:c r="H1374" s="86" t="n">
        <x:v>1</x:v>
      </x:c>
      <x:c r="I1374" s="87" t="n">
        <x:v>9</x:v>
      </x:c>
    </x:row>
    <x:row r="1375">
      <x:c r="A1375" s="85" t="n">
        <x:v>1374</x:v>
      </x:c>
      <x:c r="B1375" s="86" t="n">
        <x:v>236</x:v>
      </x:c>
      <x:c r="C1375" s="95" t="n">
        <x:v>45795</x:v>
      </x:c>
      <x:c r="D1375" s="86" t="str">
        <x:v>Dia útil</x:v>
      </x:c>
      <x:c r="E1375" s="86" t="n">
        <x:v>8</x:v>
      </x:c>
      <x:c r="F1375" s="99" t="n">
        <x:v>0.5</x:v>
      </x:c>
      <x:c r="G1375" s="91" t="n">
        <x:v>445.86</x:v>
      </x:c>
      <x:c r="H1375" s="86" t="n">
        <x:v>1</x:v>
      </x:c>
      <x:c r="I1375" s="87" t="n">
        <x:v>5</x:v>
      </x:c>
    </x:row>
    <x:row r="1376">
      <x:c r="A1376" s="85" t="n">
        <x:v>1375</x:v>
      </x:c>
      <x:c r="B1376" s="86" t="n">
        <x:v>270</x:v>
      </x:c>
      <x:c r="C1376" s="95" t="n">
        <x:v>45699</x:v>
      </x:c>
      <x:c r="D1376" s="86" t="str">
        <x:v>Dia útil</x:v>
      </x:c>
      <x:c r="E1376" s="86" t="n">
        <x:v>6</x:v>
      </x:c>
      <x:c r="F1376" s="99" t="n">
        <x:v>0.5</x:v>
      </x:c>
      <x:c r="G1376" s="91" t="n">
        <x:v>125.78</x:v>
      </x:c>
      <x:c r="H1376" s="86" t="n">
        <x:v>1</x:v>
      </x:c>
      <x:c r="I1376" s="87" t="n">
        <x:v>1</x:v>
      </x:c>
    </x:row>
    <x:row r="1377">
      <x:c r="A1377" s="85" t="n">
        <x:v>1376</x:v>
      </x:c>
      <x:c r="B1377" s="86" t="n">
        <x:v>265</x:v>
      </x:c>
      <x:c r="C1377" s="95" t="n">
        <x:v>45402</x:v>
      </x:c>
      <x:c r="D1377" s="86" t="str">
        <x:v>Dia útil</x:v>
      </x:c>
      <x:c r="E1377" s="86" t="n">
        <x:v>1</x:v>
      </x:c>
      <x:c r="F1377" s="99" t="n">
        <x:v>0.5</x:v>
      </x:c>
      <x:c r="G1377" s="91" t="n">
        <x:v>20.51</x:v>
      </x:c>
      <x:c r="H1377" s="86" t="n">
        <x:v>1</x:v>
      </x:c>
      <x:c r="I1377" s="87" t="n">
        <x:v>1</x:v>
      </x:c>
    </x:row>
    <x:row r="1378">
      <x:c r="A1378" s="85" t="n">
        <x:v>1377</x:v>
      </x:c>
      <x:c r="B1378" s="86" t="n">
        <x:v>64</x:v>
      </x:c>
      <x:c r="C1378" s="95" t="n">
        <x:v>45476</x:v>
      </x:c>
      <x:c r="D1378" s="86" t="str">
        <x:v>Dia útil</x:v>
      </x:c>
      <x:c r="E1378" s="86" t="n">
        <x:v>2</x:v>
      </x:c>
      <x:c r="F1378" s="99" t="n">
        <x:v>0.5</x:v>
      </x:c>
      <x:c r="G1378" s="91" t="n">
        <x:v>213.33</x:v>
      </x:c>
      <x:c r="H1378" s="86" t="n">
        <x:v>1</x:v>
      </x:c>
      <x:c r="I1378" s="87" t="n">
        <x:v>8</x:v>
      </x:c>
    </x:row>
    <x:row r="1379">
      <x:c r="A1379" s="85" t="n">
        <x:v>1378</x:v>
      </x:c>
      <x:c r="B1379" s="86" t="n">
        <x:v>88</x:v>
      </x:c>
      <x:c r="C1379" s="95" t="n">
        <x:v>45768</x:v>
      </x:c>
      <x:c r="D1379" s="86" t="str">
        <x:v>Sábado</x:v>
      </x:c>
      <x:c r="E1379" s="86" t="n">
        <x:v>2</x:v>
      </x:c>
      <x:c r="F1379" s="99" t="n">
        <x:v>0.75</x:v>
      </x:c>
      <x:c r="G1379" s="91" t="n">
        <x:v>48.48</x:v>
      </x:c>
      <x:c r="H1379" s="86" t="n">
        <x:v>1</x:v>
      </x:c>
      <x:c r="I1379" s="87" t="n">
        <x:v>1</x:v>
      </x:c>
    </x:row>
    <x:row r="1380">
      <x:c r="A1380" s="85" t="n">
        <x:v>1379</x:v>
      </x:c>
      <x:c r="B1380" s="86" t="n">
        <x:v>133</x:v>
      </x:c>
      <x:c r="C1380" s="95" t="n">
        <x:v>46002</x:v>
      </x:c>
      <x:c r="D1380" s="86" t="str">
        <x:v>Dia útil</x:v>
      </x:c>
      <x:c r="E1380" s="86" t="n">
        <x:v>6</x:v>
      </x:c>
      <x:c r="F1380" s="99" t="n">
        <x:v>0.5</x:v>
      </x:c>
      <x:c r="G1380" s="91" t="n">
        <x:v>337.46</x:v>
      </x:c>
      <x:c r="H1380" s="86" t="n">
        <x:v>1</x:v>
      </x:c>
      <x:c r="I1380" s="87" t="n">
        <x:v>6</x:v>
      </x:c>
    </x:row>
    <x:row r="1381">
      <x:c r="A1381" s="85" t="n">
        <x:v>1380</x:v>
      </x:c>
      <x:c r="B1381" s="86" t="n">
        <x:v>153</x:v>
      </x:c>
      <x:c r="C1381" s="95" t="n">
        <x:v>45611</x:v>
      </x:c>
      <x:c r="D1381" s="86" t="str">
        <x:v>Domingo/Feriado</x:v>
      </x:c>
      <x:c r="E1381" s="86" t="n">
        <x:v>3</x:v>
      </x:c>
      <x:c r="F1381" s="99" t="n">
        <x:v>1</x:v>
      </x:c>
      <x:c r="G1381" s="91" t="n">
        <x:v>148.39</x:v>
      </x:c>
      <x:c r="H1381" s="86" t="n">
        <x:v>1</x:v>
      </x:c>
      <x:c r="I1381" s="87" t="n">
        <x:v>4</x:v>
      </x:c>
    </x:row>
    <x:row r="1382">
      <x:c r="A1382" s="85" t="n">
        <x:v>1381</x:v>
      </x:c>
      <x:c r="B1382" s="86" t="n">
        <x:v>256</x:v>
      </x:c>
      <x:c r="C1382" s="95" t="n">
        <x:v>45991</x:v>
      </x:c>
      <x:c r="D1382" s="86" t="str">
        <x:v>Dia útil</x:v>
      </x:c>
      <x:c r="E1382" s="86" t="n">
        <x:v>8</x:v>
      </x:c>
      <x:c r="F1382" s="99" t="n">
        <x:v>0.5</x:v>
      </x:c>
      <x:c r="G1382" s="91" t="n">
        <x:v>146.26</x:v>
      </x:c>
      <x:c r="H1382" s="86" t="n">
        <x:v>0</x:v>
      </x:c>
      <x:c r="I1382" s="87" t="n">
        <x:v>1</x:v>
      </x:c>
    </x:row>
    <x:row r="1383">
      <x:c r="A1383" s="85" t="n">
        <x:v>1382</x:v>
      </x:c>
      <x:c r="B1383" s="86" t="n">
        <x:v>47</x:v>
      </x:c>
      <x:c r="C1383" s="95" t="n">
        <x:v>45634</x:v>
      </x:c>
      <x:c r="D1383" s="86" t="str">
        <x:v>Dia útil</x:v>
      </x:c>
      <x:c r="E1383" s="86" t="n">
        <x:v>6</x:v>
      </x:c>
      <x:c r="F1383" s="99" t="n">
        <x:v>0.5</x:v>
      </x:c>
      <x:c r="G1383" s="91" t="n">
        <x:v>127.37</x:v>
      </x:c>
      <x:c r="H1383" s="86" t="n">
        <x:v>1</x:v>
      </x:c>
      <x:c r="I1383" s="87" t="n">
        <x:v>1</x:v>
      </x:c>
    </x:row>
    <x:row r="1384">
      <x:c r="A1384" s="85" t="n">
        <x:v>1383</x:v>
      </x:c>
      <x:c r="B1384" s="86" t="n">
        <x:v>413</x:v>
      </x:c>
      <x:c r="C1384" s="95" t="n">
        <x:v>45980</x:v>
      </x:c>
      <x:c r="D1384" s="86" t="str">
        <x:v>Dia útil</x:v>
      </x:c>
      <x:c r="E1384" s="86" t="n">
        <x:v>1</x:v>
      </x:c>
      <x:c r="F1384" s="99" t="n">
        <x:v>0.5</x:v>
      </x:c>
      <x:c r="G1384" s="91" t="n">
        <x:v>15.83</x:v>
      </x:c>
      <x:c r="H1384" s="86" t="n">
        <x:v>1</x:v>
      </x:c>
      <x:c r="I1384" s="87" t="n">
        <x:v>1</x:v>
      </x:c>
    </x:row>
    <x:row r="1385">
      <x:c r="A1385" s="85" t="n">
        <x:v>1384</x:v>
      </x:c>
      <x:c r="B1385" s="86" t="n">
        <x:v>1</x:v>
      </x:c>
      <x:c r="C1385" s="95" t="n">
        <x:v>45775</x:v>
      </x:c>
      <x:c r="D1385" s="86" t="str">
        <x:v>Dia útil</x:v>
      </x:c>
      <x:c r="E1385" s="86" t="n">
        <x:v>3</x:v>
      </x:c>
      <x:c r="F1385" s="99" t="n">
        <x:v>0.5</x:v>
      </x:c>
      <x:c r="G1385" s="91" t="n">
        <x:v>98.64</x:v>
      </x:c>
      <x:c r="H1385" s="86" t="n">
        <x:v>1</x:v>
      </x:c>
      <x:c r="I1385" s="87" t="n">
        <x:v>2</x:v>
      </x:c>
    </x:row>
    <x:row r="1386">
      <x:c r="A1386" s="85" t="n">
        <x:v>1385</x:v>
      </x:c>
      <x:c r="B1386" s="86" t="n">
        <x:v>246</x:v>
      </x:c>
      <x:c r="C1386" s="95" t="n">
        <x:v>45970</x:v>
      </x:c>
      <x:c r="D1386" s="86" t="str">
        <x:v>Domingo/Feriado</x:v>
      </x:c>
      <x:c r="E1386" s="86" t="n">
        <x:v>2</x:v>
      </x:c>
      <x:c r="F1386" s="99" t="n">
        <x:v>1</x:v>
      </x:c>
      <x:c r="G1386" s="91" t="n">
        <x:v>135.04</x:v>
      </x:c>
      <x:c r="H1386" s="86" t="n">
        <x:v>1</x:v>
      </x:c>
      <x:c r="I1386" s="87" t="n">
        <x:v>8</x:v>
      </x:c>
    </x:row>
    <x:row r="1387">
      <x:c r="A1387" s="85" t="n">
        <x:v>1386</x:v>
      </x:c>
      <x:c r="B1387" s="86" t="n">
        <x:v>419</x:v>
      </x:c>
      <x:c r="C1387" s="95" t="n">
        <x:v>45848</x:v>
      </x:c>
      <x:c r="D1387" s="86" t="str">
        <x:v>Dia útil</x:v>
      </x:c>
      <x:c r="E1387" s="86" t="n">
        <x:v>4</x:v>
      </x:c>
      <x:c r="F1387" s="99" t="n">
        <x:v>0.5</x:v>
      </x:c>
      <x:c r="G1387" s="91" t="n">
        <x:v>91.37</x:v>
      </x:c>
      <x:c r="H1387" s="86" t="n">
        <x:v>1</x:v>
      </x:c>
      <x:c r="I1387" s="87" t="n">
        <x:v>1</x:v>
      </x:c>
    </x:row>
    <x:row r="1388">
      <x:c r="A1388" s="85" t="n">
        <x:v>1387</x:v>
      </x:c>
      <x:c r="B1388" s="86" t="n">
        <x:v>65</x:v>
      </x:c>
      <x:c r="C1388" s="95" t="n">
        <x:v>46005</x:v>
      </x:c>
      <x:c r="D1388" s="86" t="str">
        <x:v>Dia útil</x:v>
      </x:c>
      <x:c r="E1388" s="86" t="n">
        <x:v>4</x:v>
      </x:c>
      <x:c r="F1388" s="99" t="n">
        <x:v>0.5</x:v>
      </x:c>
      <x:c r="G1388" s="91" t="n">
        <x:v>436.21</x:v>
      </x:c>
      <x:c r="H1388" s="86" t="n">
        <x:v>1</x:v>
      </x:c>
      <x:c r="I1388" s="87" t="n">
        <x:v>6</x:v>
      </x:c>
    </x:row>
    <x:row r="1389">
      <x:c r="A1389" s="85" t="n">
        <x:v>1388</x:v>
      </x:c>
      <x:c r="B1389" s="86" t="n">
        <x:v>46</x:v>
      </x:c>
      <x:c r="C1389" s="95" t="n">
        <x:v>45900</x:v>
      </x:c>
      <x:c r="D1389" s="86" t="str">
        <x:v>Dia útil</x:v>
      </x:c>
      <x:c r="E1389" s="86" t="n">
        <x:v>3</x:v>
      </x:c>
      <x:c r="F1389" s="99" t="n">
        <x:v>0.5</x:v>
      </x:c>
      <x:c r="G1389" s="91" t="n">
        <x:v>59.11</x:v>
      </x:c>
      <x:c r="H1389" s="86" t="n">
        <x:v>1</x:v>
      </x:c>
      <x:c r="I1389" s="87" t="n">
        <x:v>1</x:v>
      </x:c>
    </x:row>
    <x:row r="1390">
      <x:c r="A1390" s="85" t="n">
        <x:v>1389</x:v>
      </x:c>
      <x:c r="B1390" s="86" t="n">
        <x:v>29</x:v>
      </x:c>
      <x:c r="C1390" s="95" t="n">
        <x:v>45937</x:v>
      </x:c>
      <x:c r="D1390" s="86" t="str">
        <x:v>Dia útil</x:v>
      </x:c>
      <x:c r="E1390" s="86" t="n">
        <x:v>1</x:v>
      </x:c>
      <x:c r="F1390" s="99" t="n">
        <x:v>0.5</x:v>
      </x:c>
      <x:c r="G1390" s="91" t="n">
        <x:v>42.4</x:v>
      </x:c>
      <x:c r="H1390" s="86" t="n">
        <x:v>1</x:v>
      </x:c>
      <x:c r="I1390" s="87" t="n">
        <x:v>7</x:v>
      </x:c>
    </x:row>
    <x:row r="1391">
      <x:c r="A1391" s="85" t="n">
        <x:v>1390</x:v>
      </x:c>
      <x:c r="B1391" s="86" t="n">
        <x:v>334</x:v>
      </x:c>
      <x:c r="C1391" s="95" t="n">
        <x:v>45601</x:v>
      </x:c>
      <x:c r="D1391" s="86" t="str">
        <x:v>Dia útil</x:v>
      </x:c>
      <x:c r="E1391" s="86" t="n">
        <x:v>8</x:v>
      </x:c>
      <x:c r="F1391" s="99" t="n">
        <x:v>0.5</x:v>
      </x:c>
      <x:c r="G1391" s="91" t="n">
        <x:v>400.84</x:v>
      </x:c>
      <x:c r="H1391" s="86" t="n">
        <x:v>1</x:v>
      </x:c>
      <x:c r="I1391" s="87" t="n">
        <x:v>5</x:v>
      </x:c>
    </x:row>
    <x:row r="1392">
      <x:c r="A1392" s="85" t="n">
        <x:v>1391</x:v>
      </x:c>
      <x:c r="B1392" s="86" t="n">
        <x:v>322</x:v>
      </x:c>
      <x:c r="C1392" s="95" t="n">
        <x:v>45333</x:v>
      </x:c>
      <x:c r="D1392" s="86" t="str">
        <x:v>Sábado</x:v>
      </x:c>
      <x:c r="E1392" s="86" t="n">
        <x:v>8</x:v>
      </x:c>
      <x:c r="F1392" s="99" t="n">
        <x:v>0.75</x:v>
      </x:c>
      <x:c r="G1392" s="91" t="n">
        <x:v>291.69</x:v>
      </x:c>
      <x:c r="H1392" s="86" t="n">
        <x:v>1</x:v>
      </x:c>
      <x:c r="I1392" s="87" t="n">
        <x:v>7</x:v>
      </x:c>
    </x:row>
    <x:row r="1393">
      <x:c r="A1393" s="85" t="n">
        <x:v>1392</x:v>
      </x:c>
      <x:c r="B1393" s="86" t="n">
        <x:v>154</x:v>
      </x:c>
      <x:c r="C1393" s="95" t="n">
        <x:v>45741</x:v>
      </x:c>
      <x:c r="D1393" s="86" t="str">
        <x:v>Dia útil</x:v>
      </x:c>
      <x:c r="E1393" s="86" t="n">
        <x:v>8</x:v>
      </x:c>
      <x:c r="F1393" s="99" t="n">
        <x:v>0.5</x:v>
      </x:c>
      <x:c r="G1393" s="91" t="n">
        <x:v>297.5</x:v>
      </x:c>
      <x:c r="H1393" s="86" t="n">
        <x:v>1</x:v>
      </x:c>
      <x:c r="I1393" s="87" t="n">
        <x:v>7</x:v>
      </x:c>
    </x:row>
    <x:row r="1394">
      <x:c r="A1394" s="85" t="n">
        <x:v>1393</x:v>
      </x:c>
      <x:c r="B1394" s="86" t="n">
        <x:v>263</x:v>
      </x:c>
      <x:c r="C1394" s="95" t="n">
        <x:v>45697</x:v>
      </x:c>
      <x:c r="D1394" s="86" t="str">
        <x:v>Dia útil</x:v>
      </x:c>
      <x:c r="E1394" s="86" t="n">
        <x:v>1</x:v>
      </x:c>
      <x:c r="F1394" s="99" t="n">
        <x:v>0.5</x:v>
      </x:c>
      <x:c r="G1394" s="91" t="n">
        <x:v>38.38</x:v>
      </x:c>
      <x:c r="H1394" s="86" t="n">
        <x:v>1</x:v>
      </x:c>
      <x:c r="I1394" s="87" t="n">
        <x:v>10</x:v>
      </x:c>
    </x:row>
    <x:row r="1395">
      <x:c r="A1395" s="85" t="n">
        <x:v>1394</x:v>
      </x:c>
      <x:c r="B1395" s="86" t="n">
        <x:v>167</x:v>
      </x:c>
      <x:c r="C1395" s="95" t="n">
        <x:v>45918</x:v>
      </x:c>
      <x:c r="D1395" s="86" t="str">
        <x:v>Dia útil</x:v>
      </x:c>
      <x:c r="E1395" s="86" t="n">
        <x:v>1</x:v>
      </x:c>
      <x:c r="F1395" s="99" t="n">
        <x:v>0.5</x:v>
      </x:c>
      <x:c r="G1395" s="91" t="n">
        <x:v>25.68</x:v>
      </x:c>
      <x:c r="H1395" s="86" t="n">
        <x:v>1</x:v>
      </x:c>
      <x:c r="I1395" s="87" t="n">
        <x:v>10</x:v>
      </x:c>
    </x:row>
    <x:row r="1396">
      <x:c r="A1396" s="85" t="n">
        <x:v>1395</x:v>
      </x:c>
      <x:c r="B1396" s="86" t="n">
        <x:v>200</x:v>
      </x:c>
      <x:c r="C1396" s="95" t="n">
        <x:v>45650</x:v>
      </x:c>
      <x:c r="D1396" s="86" t="str">
        <x:v>Dia útil</x:v>
      </x:c>
      <x:c r="E1396" s="86" t="n">
        <x:v>8</x:v>
      </x:c>
      <x:c r="F1396" s="99" t="n">
        <x:v>0.5</x:v>
      </x:c>
      <x:c r="G1396" s="91" t="n">
        <x:v>349.23</x:v>
      </x:c>
      <x:c r="H1396" s="86" t="n">
        <x:v>1</x:v>
      </x:c>
      <x:c r="I1396" s="87" t="n">
        <x:v>8</x:v>
      </x:c>
    </x:row>
    <x:row r="1397">
      <x:c r="A1397" s="85" t="n">
        <x:v>1396</x:v>
      </x:c>
      <x:c r="B1397" s="86" t="n">
        <x:v>395</x:v>
      </x:c>
      <x:c r="C1397" s="95" t="n">
        <x:v>45926</x:v>
      </x:c>
      <x:c r="D1397" s="86" t="str">
        <x:v>Sábado</x:v>
      </x:c>
      <x:c r="E1397" s="86" t="n">
        <x:v>3</x:v>
      </x:c>
      <x:c r="F1397" s="99" t="n">
        <x:v>0.75</x:v>
      </x:c>
      <x:c r="G1397" s="91" t="n">
        <x:v>141.91</x:v>
      </x:c>
      <x:c r="H1397" s="86" t="n">
        <x:v>1</x:v>
      </x:c>
      <x:c r="I1397" s="87" t="n">
        <x:v>4</x:v>
      </x:c>
    </x:row>
    <x:row r="1398">
      <x:c r="A1398" s="85" t="n">
        <x:v>1397</x:v>
      </x:c>
      <x:c r="B1398" s="86" t="n">
        <x:v>48</x:v>
      </x:c>
      <x:c r="C1398" s="95" t="n">
        <x:v>45637</x:v>
      </x:c>
      <x:c r="D1398" s="86" t="str">
        <x:v>Dia útil</x:v>
      </x:c>
      <x:c r="E1398" s="86" t="n">
        <x:v>2</x:v>
      </x:c>
      <x:c r="F1398" s="99" t="n">
        <x:v>0.5</x:v>
      </x:c>
      <x:c r="G1398" s="91" t="n">
        <x:v>93.19</x:v>
      </x:c>
      <x:c r="H1398" s="86" t="n">
        <x:v>1</x:v>
      </x:c>
      <x:c r="I1398" s="87" t="n">
        <x:v>8</x:v>
      </x:c>
    </x:row>
    <x:row r="1399">
      <x:c r="A1399" s="85" t="n">
        <x:v>1398</x:v>
      </x:c>
      <x:c r="B1399" s="86" t="n">
        <x:v>237</x:v>
      </x:c>
      <x:c r="C1399" s="95" t="n">
        <x:v>45949</x:v>
      </x:c>
      <x:c r="D1399" s="86" t="str">
        <x:v>Dia útil</x:v>
      </x:c>
      <x:c r="E1399" s="86" t="n">
        <x:v>4</x:v>
      </x:c>
      <x:c r="F1399" s="99" t="n">
        <x:v>0.5</x:v>
      </x:c>
      <x:c r="G1399" s="91" t="n">
        <x:v>253.63</x:v>
      </x:c>
      <x:c r="H1399" s="86" t="n">
        <x:v>1</x:v>
      </x:c>
      <x:c r="I1399" s="87" t="n">
        <x:v>4</x:v>
      </x:c>
    </x:row>
    <x:row r="1400">
      <x:c r="A1400" s="85" t="n">
        <x:v>1399</x:v>
      </x:c>
      <x:c r="B1400" s="86" t="n">
        <x:v>88</x:v>
      </x:c>
      <x:c r="C1400" s="95" t="n">
        <x:v>45760</x:v>
      </x:c>
      <x:c r="D1400" s="86" t="str">
        <x:v>Dia útil</x:v>
      </x:c>
      <x:c r="E1400" s="86" t="n">
        <x:v>8</x:v>
      </x:c>
      <x:c r="F1400" s="99" t="n">
        <x:v>0.5</x:v>
      </x:c>
      <x:c r="G1400" s="91" t="n">
        <x:v>166.23</x:v>
      </x:c>
      <x:c r="H1400" s="86" t="n">
        <x:v>1</x:v>
      </x:c>
      <x:c r="I1400" s="87" t="n">
        <x:v>1</x:v>
      </x:c>
    </x:row>
    <x:row r="1401">
      <x:c r="A1401" s="85" t="n">
        <x:v>1400</x:v>
      </x:c>
      <x:c r="B1401" s="86" t="n">
        <x:v>215</x:v>
      </x:c>
      <x:c r="C1401" s="95" t="n">
        <x:v>45822</x:v>
      </x:c>
      <x:c r="D1401" s="86" t="str">
        <x:v>Dia útil</x:v>
      </x:c>
      <x:c r="E1401" s="86" t="n">
        <x:v>8</x:v>
      </x:c>
      <x:c r="F1401" s="99" t="n">
        <x:v>0.5</x:v>
      </x:c>
      <x:c r="G1401" s="91" t="n">
        <x:v>318.69</x:v>
      </x:c>
      <x:c r="H1401" s="86" t="n">
        <x:v>1</x:v>
      </x:c>
      <x:c r="I1401" s="87" t="n">
        <x:v>6</x:v>
      </x:c>
    </x:row>
    <x:row r="1402">
      <x:c r="A1402" s="85" t="n">
        <x:v>1401</x:v>
      </x:c>
      <x:c r="B1402" s="86" t="n">
        <x:v>352</x:v>
      </x:c>
      <x:c r="C1402" s="95" t="n">
        <x:v>45770</x:v>
      </x:c>
      <x:c r="D1402" s="86" t="str">
        <x:v>Sábado</x:v>
      </x:c>
      <x:c r="E1402" s="86" t="n">
        <x:v>8</x:v>
      </x:c>
      <x:c r="F1402" s="99" t="n">
        <x:v>0.75</x:v>
      </x:c>
      <x:c r="G1402" s="91" t="n">
        <x:v>312.39</x:v>
      </x:c>
      <x:c r="H1402" s="86" t="n">
        <x:v>1</x:v>
      </x:c>
      <x:c r="I1402" s="87" t="n">
        <x:v>6</x:v>
      </x:c>
    </x:row>
    <x:row r="1403">
      <x:c r="A1403" s="85" t="n">
        <x:v>1402</x:v>
      </x:c>
      <x:c r="B1403" s="86" t="n">
        <x:v>14</x:v>
      </x:c>
      <x:c r="C1403" s="95" t="n">
        <x:v>45703</x:v>
      </x:c>
      <x:c r="D1403" s="86" t="str">
        <x:v>Dia útil</x:v>
      </x:c>
      <x:c r="E1403" s="86" t="n">
        <x:v>8</x:v>
      </x:c>
      <x:c r="F1403" s="99" t="n">
        <x:v>0.5</x:v>
      </x:c>
      <x:c r="G1403" s="91" t="n">
        <x:v>182.54</x:v>
      </x:c>
      <x:c r="H1403" s="86" t="n">
        <x:v>1</x:v>
      </x:c>
      <x:c r="I1403" s="87" t="n">
        <x:v>3</x:v>
      </x:c>
    </x:row>
    <x:row r="1404">
      <x:c r="A1404" s="85" t="n">
        <x:v>1403</x:v>
      </x:c>
      <x:c r="B1404" s="86" t="n">
        <x:v>385</x:v>
      </x:c>
      <x:c r="C1404" s="95" t="n">
        <x:v>45916</x:v>
      </x:c>
      <x:c r="D1404" s="86" t="str">
        <x:v>Dia útil</x:v>
      </x:c>
      <x:c r="E1404" s="86" t="n">
        <x:v>8</x:v>
      </x:c>
      <x:c r="F1404" s="99" t="n">
        <x:v>0.5</x:v>
      </x:c>
      <x:c r="G1404" s="91" t="n">
        <x:v>180.11</x:v>
      </x:c>
      <x:c r="H1404" s="86" t="n">
        <x:v>1</x:v>
      </x:c>
      <x:c r="I1404" s="87" t="n">
        <x:v>3</x:v>
      </x:c>
    </x:row>
    <x:row r="1405">
      <x:c r="A1405" s="85" t="n">
        <x:v>1404</x:v>
      </x:c>
      <x:c r="B1405" s="86" t="n">
        <x:v>349</x:v>
      </x:c>
      <x:c r="C1405" s="95" t="n">
        <x:v>45550</x:v>
      </x:c>
      <x:c r="D1405" s="86" t="str">
        <x:v>Dia útil</x:v>
      </x:c>
      <x:c r="E1405" s="86" t="n">
        <x:v>8</x:v>
      </x:c>
      <x:c r="F1405" s="99" t="n">
        <x:v>0.5</x:v>
      </x:c>
      <x:c r="G1405" s="91" t="n">
        <x:v>350.64</x:v>
      </x:c>
      <x:c r="H1405" s="86" t="n">
        <x:v>1</x:v>
      </x:c>
      <x:c r="I1405" s="87" t="n">
        <x:v>9</x:v>
      </x:c>
    </x:row>
    <x:row r="1406">
      <x:c r="A1406" s="85" t="n">
        <x:v>1405</x:v>
      </x:c>
      <x:c r="B1406" s="86" t="n">
        <x:v>121</x:v>
      </x:c>
      <x:c r="C1406" s="95" t="n">
        <x:v>45802</x:v>
      </x:c>
      <x:c r="D1406" s="86" t="str">
        <x:v>Dia útil</x:v>
      </x:c>
      <x:c r="E1406" s="86" t="n">
        <x:v>8</x:v>
      </x:c>
      <x:c r="F1406" s="99" t="n">
        <x:v>0.5</x:v>
      </x:c>
      <x:c r="G1406" s="91" t="n">
        <x:v>259.25</x:v>
      </x:c>
      <x:c r="H1406" s="86" t="n">
        <x:v>1</x:v>
      </x:c>
      <x:c r="I1406" s="87" t="n">
        <x:v>4</x:v>
      </x:c>
    </x:row>
    <x:row r="1407">
      <x:c r="A1407" s="85" t="n">
        <x:v>1406</x:v>
      </x:c>
      <x:c r="B1407" s="86" t="n">
        <x:v>344</x:v>
      </x:c>
      <x:c r="C1407" s="95" t="n">
        <x:v>45664</x:v>
      </x:c>
      <x:c r="D1407" s="86" t="str">
        <x:v>Dia útil</x:v>
      </x:c>
      <x:c r="E1407" s="86" t="n">
        <x:v>3</x:v>
      </x:c>
      <x:c r="F1407" s="99" t="n">
        <x:v>0.5</x:v>
      </x:c>
      <x:c r="G1407" s="91" t="n">
        <x:v>52.19</x:v>
      </x:c>
      <x:c r="H1407" s="86" t="n">
        <x:v>1</x:v>
      </x:c>
      <x:c r="I1407" s="87" t="n">
        <x:v>1</x:v>
      </x:c>
    </x:row>
    <x:row r="1408">
      <x:c r="A1408" s="85" t="n">
        <x:v>1407</x:v>
      </x:c>
      <x:c r="B1408" s="86" t="n">
        <x:v>46</x:v>
      </x:c>
      <x:c r="C1408" s="95" t="n">
        <x:v>45851</x:v>
      </x:c>
      <x:c r="D1408" s="86" t="str">
        <x:v>Dia útil</x:v>
      </x:c>
      <x:c r="E1408" s="86" t="n">
        <x:v>6</x:v>
      </x:c>
      <x:c r="F1408" s="99" t="n">
        <x:v>0.5</x:v>
      </x:c>
      <x:c r="G1408" s="91" t="n">
        <x:v>118.21</x:v>
      </x:c>
      <x:c r="H1408" s="86" t="n">
        <x:v>1</x:v>
      </x:c>
      <x:c r="I1408" s="87" t="n">
        <x:v>1</x:v>
      </x:c>
    </x:row>
    <x:row r="1409">
      <x:c r="A1409" s="85" t="n">
        <x:v>1408</x:v>
      </x:c>
      <x:c r="B1409" s="86" t="n">
        <x:v>325</x:v>
      </x:c>
      <x:c r="C1409" s="95" t="n">
        <x:v>45761</x:v>
      </x:c>
      <x:c r="D1409" s="86" t="str">
        <x:v>Dia útil</x:v>
      </x:c>
      <x:c r="E1409" s="86" t="n">
        <x:v>2</x:v>
      </x:c>
      <x:c r="F1409" s="99" t="n">
        <x:v>0.5</x:v>
      </x:c>
      <x:c r="G1409" s="91" t="n">
        <x:v>32.49</x:v>
      </x:c>
      <x:c r="H1409" s="86" t="n">
        <x:v>1</x:v>
      </x:c>
      <x:c r="I1409" s="87" t="n">
        <x:v>1</x:v>
      </x:c>
    </x:row>
    <x:row r="1410">
      <x:c r="A1410" s="85" t="n">
        <x:v>1409</x:v>
      </x:c>
      <x:c r="B1410" s="86" t="n">
        <x:v>413</x:v>
      </x:c>
      <x:c r="C1410" s="95" t="n">
        <x:v>45951</x:v>
      </x:c>
      <x:c r="D1410" s="86" t="str">
        <x:v>Sábado</x:v>
      </x:c>
      <x:c r="E1410" s="86" t="n">
        <x:v>1</x:v>
      </x:c>
      <x:c r="F1410" s="99" t="n">
        <x:v>0.75</x:v>
      </x:c>
      <x:c r="G1410" s="91" t="n">
        <x:v>18.46</x:v>
      </x:c>
      <x:c r="H1410" s="86" t="n">
        <x:v>1</x:v>
      </x:c>
      <x:c r="I1410" s="87" t="n">
        <x:v>1</x:v>
      </x:c>
    </x:row>
    <x:row r="1411">
      <x:c r="A1411" s="85" t="n">
        <x:v>1410</x:v>
      </x:c>
      <x:c r="B1411" s="86" t="n">
        <x:v>159</x:v>
      </x:c>
      <x:c r="C1411" s="95" t="n">
        <x:v>45333</x:v>
      </x:c>
      <x:c r="D1411" s="86" t="str">
        <x:v>Dia útil</x:v>
      </x:c>
      <x:c r="E1411" s="86" t="n">
        <x:v>8</x:v>
      </x:c>
      <x:c r="F1411" s="99" t="n">
        <x:v>0.5</x:v>
      </x:c>
      <x:c r="G1411" s="91" t="n">
        <x:v>384.86</x:v>
      </x:c>
      <x:c r="H1411" s="86" t="n">
        <x:v>1</x:v>
      </x:c>
      <x:c r="I1411" s="87" t="n">
        <x:v>10</x:v>
      </x:c>
    </x:row>
    <x:row r="1412">
      <x:c r="A1412" s="85" t="n">
        <x:v>1411</x:v>
      </x:c>
      <x:c r="B1412" s="86" t="n">
        <x:v>114</x:v>
      </x:c>
      <x:c r="C1412" s="95" t="n">
        <x:v>45771</x:v>
      </x:c>
      <x:c r="D1412" s="86" t="str">
        <x:v>Domingo/Feriado</x:v>
      </x:c>
      <x:c r="E1412" s="86" t="n">
        <x:v>8</x:v>
      </x:c>
      <x:c r="F1412" s="99" t="n">
        <x:v>1</x:v>
      </x:c>
      <x:c r="G1412" s="91" t="n">
        <x:v>356.33</x:v>
      </x:c>
      <x:c r="H1412" s="86" t="n">
        <x:v>1</x:v>
      </x:c>
      <x:c r="I1412" s="87" t="n">
        <x:v>7</x:v>
      </x:c>
    </x:row>
    <x:row r="1413">
      <x:c r="A1413" s="85" t="n">
        <x:v>1412</x:v>
      </x:c>
      <x:c r="B1413" s="86" t="n">
        <x:v>119</x:v>
      </x:c>
      <x:c r="C1413" s="95" t="n">
        <x:v>45940</x:v>
      </x:c>
      <x:c r="D1413" s="86" t="str">
        <x:v>Domingo/Feriado</x:v>
      </x:c>
      <x:c r="E1413" s="86" t="n">
        <x:v>2</x:v>
      </x:c>
      <x:c r="F1413" s="99" t="n">
        <x:v>1</x:v>
      </x:c>
      <x:c r="G1413" s="91" t="n">
        <x:v>105.13</x:v>
      </x:c>
      <x:c r="H1413" s="86" t="n">
        <x:v>1</x:v>
      </x:c>
      <x:c r="I1413" s="87" t="n">
        <x:v>8</x:v>
      </x:c>
    </x:row>
    <x:row r="1414">
      <x:c r="A1414" s="85" t="n">
        <x:v>1413</x:v>
      </x:c>
      <x:c r="B1414" s="86" t="n">
        <x:v>362</x:v>
      </x:c>
      <x:c r="C1414" s="95" t="n">
        <x:v>45733</x:v>
      </x:c>
      <x:c r="D1414" s="86" t="str">
        <x:v>Sábado</x:v>
      </x:c>
      <x:c r="E1414" s="86" t="n">
        <x:v>3</x:v>
      </x:c>
      <x:c r="F1414" s="99" t="n">
        <x:v>0.75</x:v>
      </x:c>
      <x:c r="G1414" s="91" t="n">
        <x:v>118.41</x:v>
      </x:c>
      <x:c r="H1414" s="86" t="n">
        <x:v>1</x:v>
      </x:c>
      <x:c r="I1414" s="87" t="n">
        <x:v>10</x:v>
      </x:c>
    </x:row>
    <x:row r="1415">
      <x:c r="A1415" s="85" t="n">
        <x:v>1414</x:v>
      </x:c>
      <x:c r="B1415" s="86" t="n">
        <x:v>378</x:v>
      </x:c>
      <x:c r="C1415" s="95" t="n">
        <x:v>45937</x:v>
      </x:c>
      <x:c r="D1415" s="86" t="str">
        <x:v>Sábado</x:v>
      </x:c>
      <x:c r="E1415" s="86" t="n">
        <x:v>3</x:v>
      </x:c>
      <x:c r="F1415" s="99" t="n">
        <x:v>0.75</x:v>
      </x:c>
      <x:c r="G1415" s="91" t="n">
        <x:v>234.32</x:v>
      </x:c>
      <x:c r="H1415" s="86" t="n">
        <x:v>1</x:v>
      </x:c>
      <x:c r="I1415" s="87" t="n">
        <x:v>5</x:v>
      </x:c>
    </x:row>
    <x:row r="1416">
      <x:c r="A1416" s="85" t="n">
        <x:v>1415</x:v>
      </x:c>
      <x:c r="B1416" s="86" t="n">
        <x:v>402</x:v>
      </x:c>
      <x:c r="C1416" s="95" t="n">
        <x:v>45517</x:v>
      </x:c>
      <x:c r="D1416" s="86" t="str">
        <x:v>Dia útil</x:v>
      </x:c>
      <x:c r="E1416" s="86" t="n">
        <x:v>1</x:v>
      </x:c>
      <x:c r="F1416" s="99" t="n">
        <x:v>0.5</x:v>
      </x:c>
      <x:c r="G1416" s="91" t="n">
        <x:v>23.92</x:v>
      </x:c>
      <x:c r="H1416" s="86" t="n">
        <x:v>1</x:v>
      </x:c>
      <x:c r="I1416" s="87" t="n">
        <x:v>1</x:v>
      </x:c>
    </x:row>
    <x:row r="1417">
      <x:c r="A1417" s="85" t="n">
        <x:v>1416</x:v>
      </x:c>
      <x:c r="B1417" s="86" t="n">
        <x:v>153</x:v>
      </x:c>
      <x:c r="C1417" s="95" t="n">
        <x:v>45502</x:v>
      </x:c>
      <x:c r="D1417" s="86" t="str">
        <x:v>Dia útil</x:v>
      </x:c>
      <x:c r="E1417" s="86" t="n">
        <x:v>8</x:v>
      </x:c>
      <x:c r="F1417" s="99" t="n">
        <x:v>0.5</x:v>
      </x:c>
      <x:c r="G1417" s="91" t="n">
        <x:v>296.78</x:v>
      </x:c>
      <x:c r="H1417" s="86" t="n">
        <x:v>1</x:v>
      </x:c>
      <x:c r="I1417" s="87" t="n">
        <x:v>4</x:v>
      </x:c>
    </x:row>
    <x:row r="1418">
      <x:c r="A1418" s="85" t="n">
        <x:v>1417</x:v>
      </x:c>
      <x:c r="B1418" s="86" t="n">
        <x:v>247</x:v>
      </x:c>
      <x:c r="C1418" s="95" t="n">
        <x:v>45961</x:v>
      </x:c>
      <x:c r="D1418" s="86" t="str">
        <x:v>Domingo/Feriado</x:v>
      </x:c>
      <x:c r="E1418" s="86" t="n">
        <x:v>6</x:v>
      </x:c>
      <x:c r="F1418" s="99" t="n">
        <x:v>1</x:v>
      </x:c>
      <x:c r="G1418" s="91" t="n">
        <x:v>183.85</x:v>
      </x:c>
      <x:c r="H1418" s="86" t="n">
        <x:v>1</x:v>
      </x:c>
      <x:c r="I1418" s="87" t="n">
        <x:v>3</x:v>
      </x:c>
    </x:row>
    <x:row r="1419">
      <x:c r="A1419" s="85" t="n">
        <x:v>1418</x:v>
      </x:c>
      <x:c r="B1419" s="86" t="n">
        <x:v>155</x:v>
      </x:c>
      <x:c r="C1419" s="95" t="n">
        <x:v>45464</x:v>
      </x:c>
      <x:c r="D1419" s="86" t="str">
        <x:v>Domingo/Feriado</x:v>
      </x:c>
      <x:c r="E1419" s="86" t="n">
        <x:v>4</x:v>
      </x:c>
      <x:c r="F1419" s="99" t="n">
        <x:v>1</x:v>
      </x:c>
      <x:c r="G1419" s="91" t="n">
        <x:v>106.54</x:v>
      </x:c>
      <x:c r="H1419" s="86" t="n">
        <x:v>1</x:v>
      </x:c>
      <x:c r="I1419" s="87" t="n">
        <x:v>1</x:v>
      </x:c>
    </x:row>
    <x:row r="1420">
      <x:c r="A1420" s="85" t="n">
        <x:v>1419</x:v>
      </x:c>
      <x:c r="B1420" s="86" t="n">
        <x:v>268</x:v>
      </x:c>
      <x:c r="C1420" s="95" t="n">
        <x:v>45779</x:v>
      </x:c>
      <x:c r="D1420" s="86" t="str">
        <x:v>Dia útil</x:v>
      </x:c>
      <x:c r="E1420" s="86" t="n">
        <x:v>8</x:v>
      </x:c>
      <x:c r="F1420" s="99" t="n">
        <x:v>0.5</x:v>
      </x:c>
      <x:c r="G1420" s="91" t="n">
        <x:v>233.81</x:v>
      </x:c>
      <x:c r="H1420" s="86" t="n">
        <x:v>1</x:v>
      </x:c>
      <x:c r="I1420" s="87" t="n">
        <x:v>4</x:v>
      </x:c>
    </x:row>
    <x:row r="1421">
      <x:c r="A1421" s="85" t="n">
        <x:v>1420</x:v>
      </x:c>
      <x:c r="B1421" s="86" t="n">
        <x:v>199</x:v>
      </x:c>
      <x:c r="C1421" s="95" t="n">
        <x:v>45595</x:v>
      </x:c>
      <x:c r="D1421" s="86" t="str">
        <x:v>Dia útil</x:v>
      </x:c>
      <x:c r="E1421" s="86" t="n">
        <x:v>3</x:v>
      </x:c>
      <x:c r="F1421" s="99" t="n">
        <x:v>0.5</x:v>
      </x:c>
      <x:c r="G1421" s="91" t="n">
        <x:v>119.92</x:v>
      </x:c>
      <x:c r="H1421" s="86" t="n">
        <x:v>1</x:v>
      </x:c>
      <x:c r="I1421" s="87" t="n">
        <x:v>9</x:v>
      </x:c>
    </x:row>
    <x:row r="1422">
      <x:c r="A1422" s="85" t="n">
        <x:v>1421</x:v>
      </x:c>
      <x:c r="B1422" s="86" t="n">
        <x:v>288</x:v>
      </x:c>
      <x:c r="C1422" s="95" t="n">
        <x:v>45466</x:v>
      </x:c>
      <x:c r="D1422" s="86" t="str">
        <x:v>Sábado</x:v>
      </x:c>
      <x:c r="E1422" s="86" t="n">
        <x:v>1</x:v>
      </x:c>
      <x:c r="F1422" s="99" t="n">
        <x:v>0.75</x:v>
      </x:c>
      <x:c r="G1422" s="91" t="n">
        <x:v>71.74</x:v>
      </x:c>
      <x:c r="H1422" s="86" t="n">
        <x:v>1</x:v>
      </x:c>
      <x:c r="I1422" s="87" t="n">
        <x:v>5</x:v>
      </x:c>
    </x:row>
    <x:row r="1423">
      <x:c r="A1423" s="85" t="n">
        <x:v>1422</x:v>
      </x:c>
      <x:c r="B1423" s="86" t="n">
        <x:v>255</x:v>
      </x:c>
      <x:c r="C1423" s="95" t="n">
        <x:v>45784</x:v>
      </x:c>
      <x:c r="D1423" s="86" t="str">
        <x:v>Dia útil</x:v>
      </x:c>
      <x:c r="E1423" s="86" t="n">
        <x:v>3</x:v>
      </x:c>
      <x:c r="F1423" s="99" t="n">
        <x:v>0.5</x:v>
      </x:c>
      <x:c r="G1423" s="91" t="n">
        <x:v>66.68</x:v>
      </x:c>
      <x:c r="H1423" s="86" t="n">
        <x:v>1</x:v>
      </x:c>
      <x:c r="I1423" s="87" t="n">
        <x:v>1</x:v>
      </x:c>
    </x:row>
    <x:row r="1424">
      <x:c r="A1424" s="85" t="n">
        <x:v>1423</x:v>
      </x:c>
      <x:c r="B1424" s="86" t="n">
        <x:v>61</x:v>
      </x:c>
      <x:c r="C1424" s="95" t="n">
        <x:v>45989</x:v>
      </x:c>
      <x:c r="D1424" s="86" t="str">
        <x:v>Dia útil</x:v>
      </x:c>
      <x:c r="E1424" s="86" t="n">
        <x:v>2</x:v>
      </x:c>
      <x:c r="F1424" s="99" t="n">
        <x:v>0.5</x:v>
      </x:c>
      <x:c r="G1424" s="91" t="n">
        <x:v>128.06</x:v>
      </x:c>
      <x:c r="H1424" s="86" t="n">
        <x:v>1</x:v>
      </x:c>
      <x:c r="I1424" s="87" t="n">
        <x:v>4</x:v>
      </x:c>
    </x:row>
    <x:row r="1425">
      <x:c r="A1425" s="85" t="n">
        <x:v>1424</x:v>
      </x:c>
      <x:c r="B1425" s="86" t="n">
        <x:v>163</x:v>
      </x:c>
      <x:c r="C1425" s="95" t="n">
        <x:v>45906</x:v>
      </x:c>
      <x:c r="D1425" s="86" t="str">
        <x:v>Dia útil</x:v>
      </x:c>
      <x:c r="E1425" s="86" t="n">
        <x:v>1</x:v>
      </x:c>
      <x:c r="F1425" s="99" t="n">
        <x:v>0.5</x:v>
      </x:c>
      <x:c r="G1425" s="91" t="n">
        <x:v>27.11</x:v>
      </x:c>
      <x:c r="H1425" s="86" t="n">
        <x:v>1</x:v>
      </x:c>
      <x:c r="I1425" s="87" t="n">
        <x:v>3</x:v>
      </x:c>
    </x:row>
    <x:row r="1426">
      <x:c r="A1426" s="85" t="n">
        <x:v>1425</x:v>
      </x:c>
      <x:c r="B1426" s="86" t="n">
        <x:v>272</x:v>
      </x:c>
      <x:c r="C1426" s="95" t="n">
        <x:v>45548</x:v>
      </x:c>
      <x:c r="D1426" s="86" t="str">
        <x:v>Dia útil</x:v>
      </x:c>
      <x:c r="E1426" s="86" t="n">
        <x:v>2</x:v>
      </x:c>
      <x:c r="F1426" s="99" t="n">
        <x:v>0.5</x:v>
      </x:c>
      <x:c r="G1426" s="91" t="n">
        <x:v>87.6</x:v>
      </x:c>
      <x:c r="H1426" s="86" t="n">
        <x:v>1</x:v>
      </x:c>
      <x:c r="I1426" s="87" t="n">
        <x:v>10</x:v>
      </x:c>
    </x:row>
    <x:row r="1427">
      <x:c r="A1427" s="85" t="n">
        <x:v>1426</x:v>
      </x:c>
      <x:c r="B1427" s="86" t="n">
        <x:v>175</x:v>
      </x:c>
      <x:c r="C1427" s="95" t="n">
        <x:v>45883</x:v>
      </x:c>
      <x:c r="D1427" s="86" t="str">
        <x:v>Dia útil</x:v>
      </x:c>
      <x:c r="E1427" s="86" t="n">
        <x:v>4</x:v>
      </x:c>
      <x:c r="F1427" s="99" t="n">
        <x:v>0.5</x:v>
      </x:c>
      <x:c r="G1427" s="91" t="n">
        <x:v>217.72</x:v>
      </x:c>
      <x:c r="H1427" s="86" t="n">
        <x:v>1</x:v>
      </x:c>
      <x:c r="I1427" s="87" t="n">
        <x:v>9</x:v>
      </x:c>
    </x:row>
    <x:row r="1428">
      <x:c r="A1428" s="85" t="n">
        <x:v>1427</x:v>
      </x:c>
      <x:c r="B1428" s="86" t="n">
        <x:v>279</x:v>
      </x:c>
      <x:c r="C1428" s="95" t="n">
        <x:v>45753</x:v>
      </x:c>
      <x:c r="D1428" s="86" t="str">
        <x:v>Dia útil</x:v>
      </x:c>
      <x:c r="E1428" s="86" t="n">
        <x:v>8</x:v>
      </x:c>
      <x:c r="F1428" s="99" t="n">
        <x:v>0.5</x:v>
      </x:c>
      <x:c r="G1428" s="91" t="n">
        <x:v>450.84</x:v>
      </x:c>
      <x:c r="H1428" s="86" t="n">
        <x:v>1</x:v>
      </x:c>
      <x:c r="I1428" s="87" t="n">
        <x:v>6</x:v>
      </x:c>
    </x:row>
    <x:row r="1429">
      <x:c r="A1429" s="85" t="n">
        <x:v>1428</x:v>
      </x:c>
      <x:c r="B1429" s="86" t="n">
        <x:v>369</x:v>
      </x:c>
      <x:c r="C1429" s="95" t="n">
        <x:v>45919</x:v>
      </x:c>
      <x:c r="D1429" s="86" t="str">
        <x:v>Dia útil</x:v>
      </x:c>
      <x:c r="E1429" s="86" t="n">
        <x:v>1</x:v>
      </x:c>
      <x:c r="F1429" s="99" t="n">
        <x:v>0.5</x:v>
      </x:c>
      <x:c r="G1429" s="91" t="n">
        <x:v>23.94</x:v>
      </x:c>
      <x:c r="H1429" s="86" t="n">
        <x:v>1</x:v>
      </x:c>
      <x:c r="I1429" s="87" t="n">
        <x:v>1</x:v>
      </x:c>
    </x:row>
    <x:row r="1430">
      <x:c r="A1430" s="85" t="n">
        <x:v>1429</x:v>
      </x:c>
      <x:c r="B1430" s="86" t="n">
        <x:v>32</x:v>
      </x:c>
      <x:c r="C1430" s="95" t="n">
        <x:v>45898</x:v>
      </x:c>
      <x:c r="D1430" s="86" t="str">
        <x:v>Domingo/Feriado</x:v>
      </x:c>
      <x:c r="E1430" s="86" t="n">
        <x:v>4</x:v>
      </x:c>
      <x:c r="F1430" s="99" t="n">
        <x:v>1</x:v>
      </x:c>
      <x:c r="G1430" s="91" t="n">
        <x:v>240.45</x:v>
      </x:c>
      <x:c r="H1430" s="86" t="n">
        <x:v>1</x:v>
      </x:c>
      <x:c r="I1430" s="87" t="n">
        <x:v>6</x:v>
      </x:c>
    </x:row>
    <x:row r="1431">
      <x:c r="A1431" s="85" t="n">
        <x:v>1430</x:v>
      </x:c>
      <x:c r="B1431" s="86" t="n">
        <x:v>232</x:v>
      </x:c>
      <x:c r="C1431" s="95" t="n">
        <x:v>45300</x:v>
      </x:c>
      <x:c r="D1431" s="86" t="str">
        <x:v>Domingo/Feriado</x:v>
      </x:c>
      <x:c r="E1431" s="86" t="n">
        <x:v>2</x:v>
      </x:c>
      <x:c r="F1431" s="99" t="n">
        <x:v>1</x:v>
      </x:c>
      <x:c r="G1431" s="91" t="n">
        <x:v>61.07</x:v>
      </x:c>
      <x:c r="H1431" s="86" t="n">
        <x:v>1</x:v>
      </x:c>
      <x:c r="I1431" s="87" t="n">
        <x:v>1</x:v>
      </x:c>
    </x:row>
    <x:row r="1432">
      <x:c r="A1432" s="85" t="n">
        <x:v>1431</x:v>
      </x:c>
      <x:c r="B1432" s="86" t="n">
        <x:v>23</x:v>
      </x:c>
      <x:c r="C1432" s="95" t="n">
        <x:v>45753</x:v>
      </x:c>
      <x:c r="D1432" s="86" t="str">
        <x:v>Sábado</x:v>
      </x:c>
      <x:c r="E1432" s="86" t="n">
        <x:v>1</x:v>
      </x:c>
      <x:c r="F1432" s="99" t="n">
        <x:v>0.75</x:v>
      </x:c>
      <x:c r="G1432" s="91" t="n">
        <x:v>77.73</x:v>
      </x:c>
      <x:c r="H1432" s="86" t="n">
        <x:v>0</x:v>
      </x:c>
      <x:c r="I1432" s="87" t="n">
        <x:v>5</x:v>
      </x:c>
    </x:row>
    <x:row r="1433">
      <x:c r="A1433" s="85" t="n">
        <x:v>1432</x:v>
      </x:c>
      <x:c r="B1433" s="86" t="n">
        <x:v>24</x:v>
      </x:c>
      <x:c r="C1433" s="95" t="n">
        <x:v>45352</x:v>
      </x:c>
      <x:c r="D1433" s="86" t="str">
        <x:v>Sábado</x:v>
      </x:c>
      <x:c r="E1433" s="86" t="n">
        <x:v>6</x:v>
      </x:c>
      <x:c r="F1433" s="99" t="n">
        <x:v>0.75</x:v>
      </x:c>
      <x:c r="G1433" s="91" t="n">
        <x:v>165.59</x:v>
      </x:c>
      <x:c r="H1433" s="86" t="n">
        <x:v>1</x:v>
      </x:c>
      <x:c r="I1433" s="87" t="n">
        <x:v>10</x:v>
      </x:c>
    </x:row>
    <x:row r="1434">
      <x:c r="A1434" s="85" t="n">
        <x:v>1433</x:v>
      </x:c>
      <x:c r="B1434" s="86" t="n">
        <x:v>396</x:v>
      </x:c>
      <x:c r="C1434" s="95" t="n">
        <x:v>45854</x:v>
      </x:c>
      <x:c r="D1434" s="86" t="str">
        <x:v>Sábado</x:v>
      </x:c>
      <x:c r="E1434" s="86" t="n">
        <x:v>6</x:v>
      </x:c>
      <x:c r="F1434" s="99" t="n">
        <x:v>0.75</x:v>
      </x:c>
      <x:c r="G1434" s="91" t="n">
        <x:v>356.91</x:v>
      </x:c>
      <x:c r="H1434" s="86" t="n">
        <x:v>1</x:v>
      </x:c>
      <x:c r="I1434" s="87" t="n">
        <x:v>1</x:v>
      </x:c>
    </x:row>
    <x:row r="1435">
      <x:c r="A1435" s="85" t="n">
        <x:v>1434</x:v>
      </x:c>
      <x:c r="B1435" s="86" t="n">
        <x:v>192</x:v>
      </x:c>
      <x:c r="C1435" s="95" t="n">
        <x:v>45743</x:v>
      </x:c>
      <x:c r="D1435" s="86" t="str">
        <x:v>Dia útil</x:v>
      </x:c>
      <x:c r="E1435" s="86" t="n">
        <x:v>2</x:v>
      </x:c>
      <x:c r="F1435" s="99" t="n">
        <x:v>0.5</x:v>
      </x:c>
      <x:c r="G1435" s="91" t="n">
        <x:v>109.87</x:v>
      </x:c>
      <x:c r="H1435" s="86" t="n">
        <x:v>1</x:v>
      </x:c>
      <x:c r="I1435" s="87" t="n">
        <x:v>9</x:v>
      </x:c>
    </x:row>
    <x:row r="1436">
      <x:c r="A1436" s="85" t="n">
        <x:v>1435</x:v>
      </x:c>
      <x:c r="B1436" s="86" t="n">
        <x:v>87</x:v>
      </x:c>
      <x:c r="C1436" s="95" t="n">
        <x:v>46018</x:v>
      </x:c>
      <x:c r="D1436" s="86" t="str">
        <x:v>Dia útil</x:v>
      </x:c>
      <x:c r="E1436" s="86" t="n">
        <x:v>2</x:v>
      </x:c>
      <x:c r="F1436" s="99" t="n">
        <x:v>0.5</x:v>
      </x:c>
      <x:c r="G1436" s="91" t="n">
        <x:v>54.25</x:v>
      </x:c>
      <x:c r="H1436" s="86" t="n">
        <x:v>1</x:v>
      </x:c>
      <x:c r="I1436" s="87" t="n">
        <x:v>2</x:v>
      </x:c>
    </x:row>
    <x:row r="1437">
      <x:c r="A1437" s="85" t="n">
        <x:v>1436</x:v>
      </x:c>
      <x:c r="B1437" s="86" t="n">
        <x:v>48</x:v>
      </x:c>
      <x:c r="C1437" s="95" t="n">
        <x:v>45385</x:v>
      </x:c>
      <x:c r="D1437" s="86" t="str">
        <x:v>Dia útil</x:v>
      </x:c>
      <x:c r="E1437" s="86" t="n">
        <x:v>2</x:v>
      </x:c>
      <x:c r="F1437" s="99" t="n">
        <x:v>0.5</x:v>
      </x:c>
      <x:c r="G1437" s="91" t="n">
        <x:v>93.19</x:v>
      </x:c>
      <x:c r="H1437" s="86" t="n">
        <x:v>1</x:v>
      </x:c>
      <x:c r="I1437" s="87" t="n">
        <x:v>8</x:v>
      </x:c>
    </x:row>
    <x:row r="1438">
      <x:c r="A1438" s="85" t="n">
        <x:v>1437</x:v>
      </x:c>
      <x:c r="B1438" s="86" t="n">
        <x:v>208</x:v>
      </x:c>
      <x:c r="C1438" s="95" t="n">
        <x:v>45731</x:v>
      </x:c>
      <x:c r="D1438" s="86" t="str">
        <x:v>Dia útil</x:v>
      </x:c>
      <x:c r="E1438" s="86" t="n">
        <x:v>6</x:v>
      </x:c>
      <x:c r="F1438" s="99" t="n">
        <x:v>0.5</x:v>
      </x:c>
      <x:c r="G1438" s="91" t="n">
        <x:v>368.16</x:v>
      </x:c>
      <x:c r="H1438" s="86" t="n">
        <x:v>1</x:v>
      </x:c>
      <x:c r="I1438" s="87" t="n">
        <x:v>9</x:v>
      </x:c>
    </x:row>
    <x:row r="1439">
      <x:c r="A1439" s="85" t="n">
        <x:v>1438</x:v>
      </x:c>
      <x:c r="B1439" s="86" t="n">
        <x:v>335</x:v>
      </x:c>
      <x:c r="C1439" s="95" t="n">
        <x:v>45978</x:v>
      </x:c>
      <x:c r="D1439" s="86" t="str">
        <x:v>Dia útil</x:v>
      </x:c>
      <x:c r="E1439" s="86" t="n">
        <x:v>3</x:v>
      </x:c>
      <x:c r="F1439" s="99" t="n">
        <x:v>0.5</x:v>
      </x:c>
      <x:c r="G1439" s="91" t="n">
        <x:v>140.89</x:v>
      </x:c>
      <x:c r="H1439" s="86" t="n">
        <x:v>1</x:v>
      </x:c>
      <x:c r="I1439" s="87" t="n">
        <x:v>7</x:v>
      </x:c>
    </x:row>
    <x:row r="1440">
      <x:c r="A1440" s="85" t="n">
        <x:v>1439</x:v>
      </x:c>
      <x:c r="B1440" s="86" t="n">
        <x:v>153</x:v>
      </x:c>
      <x:c r="C1440" s="95" t="n">
        <x:v>45976</x:v>
      </x:c>
      <x:c r="D1440" s="86" t="str">
        <x:v>Dia útil</x:v>
      </x:c>
      <x:c r="E1440" s="86" t="n">
        <x:v>2</x:v>
      </x:c>
      <x:c r="F1440" s="99" t="n">
        <x:v>0.5</x:v>
      </x:c>
      <x:c r="G1440" s="91" t="n">
        <x:v>74.19</x:v>
      </x:c>
      <x:c r="H1440" s="86" t="n">
        <x:v>1</x:v>
      </x:c>
      <x:c r="I1440" s="87" t="n">
        <x:v>4</x:v>
      </x:c>
    </x:row>
    <x:row r="1441">
      <x:c r="A1441" s="88" t="n">
        <x:v>1440</x:v>
      </x:c>
      <x:c r="B1441" s="89" t="n">
        <x:v>234</x:v>
      </x:c>
      <x:c r="C1441" s="96" t="n">
        <x:v>45649</x:v>
      </x:c>
      <x:c r="D1441" s="89" t="str">
        <x:v>Domingo/Feriado</x:v>
      </x:c>
      <x:c r="E1441" s="89" t="n">
        <x:v>2</x:v>
      </x:c>
      <x:c r="F1441" s="100" t="n">
        <x:v>1</x:v>
      </x:c>
      <x:c r="G1441" s="92" t="n">
        <x:v>44.29</x:v>
      </x:c>
      <x:c r="H1441" s="89" t="n">
        <x:v>1</x:v>
      </x:c>
      <x:c r="I1441" s="90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8" hidden="0" customWidth="1"/>
    <x:col min="3" max="3" width="13.779999732971191" hidden="0" customWidth="1"/>
    <x:col min="4" max="4" width="11.220000267028809" hidden="0" customWidth="1"/>
    <x:col min="5" max="5" width="9.109999656677246" hidden="0" customWidth="1"/>
    <x:col min="6" max="6" width="13" hidden="0" customWidth="1"/>
  </x:cols>
  <x:sheetData>
    <x:row r="1">
      <x:c r="A1" s="82" t="str">
        <x:v>id_treinamento</x:v>
      </x:c>
      <x:c r="B1" s="83" t="str">
        <x:v>treinamento</x:v>
      </x:c>
      <x:c r="C1" s="83" t="str">
        <x:v>categoria</x:v>
      </x:c>
      <x:c r="D1" s="83" t="str">
        <x:v>carga_horaria</x:v>
      </x:c>
      <x:c r="E1" s="83" t="str">
        <x:v>obrigatorio</x:v>
      </x:c>
      <x:c r="F1" s="84" t="str">
        <x:v>validade_meses</x:v>
      </x:c>
    </x:row>
    <x:row r="2">
      <x:c r="A2" s="85" t="n">
        <x:v>1</x:v>
      </x:c>
      <x:c r="B2" s="86" t="str">
        <x:v>Integração Corporativa</x:v>
      </x:c>
      <x:c r="C2" s="86" t="str">
        <x:v>Onboarding</x:v>
      </x:c>
      <x:c r="D2" s="86" t="n">
        <x:v>8</x:v>
      </x:c>
      <x:c r="E2" s="86" t="n">
        <x:v>1</x:v>
      </x:c>
      <x:c r="F2" s="87"/>
    </x:row>
    <x:row r="3">
      <x:c r="A3" s="85" t="n">
        <x:v>2</x:v>
      </x:c>
      <x:c r="B3" s="86" t="str">
        <x:v>Segurança do Trabalho</x:v>
      </x:c>
      <x:c r="C3" s="86" t="str">
        <x:v>Compliance</x:v>
      </x:c>
      <x:c r="D3" s="86" t="n">
        <x:v>8</x:v>
      </x:c>
      <x:c r="E3" s="86" t="n">
        <x:v>1</x:v>
      </x:c>
      <x:c r="F3" s="87" t="n">
        <x:v>12</x:v>
      </x:c>
    </x:row>
    <x:row r="4">
      <x:c r="A4" s="85" t="n">
        <x:v>3</x:v>
      </x:c>
      <x:c r="B4" s="86" t="str">
        <x:v>LGPD e Segurança da Informação</x:v>
      </x:c>
      <x:c r="C4" s="86" t="str">
        <x:v>Compliance</x:v>
      </x:c>
      <x:c r="D4" s="86" t="n">
        <x:v>4</x:v>
      </x:c>
      <x:c r="E4" s="86" t="n">
        <x:v>1</x:v>
      </x:c>
      <x:c r="F4" s="87" t="n">
        <x:v>12</x:v>
      </x:c>
    </x:row>
    <x:row r="5">
      <x:c r="A5" s="85" t="n">
        <x:v>4</x:v>
      </x:c>
      <x:c r="B5" s="86" t="str">
        <x:v>Excel para Análise de Dados</x:v>
      </x:c>
      <x:c r="C5" s="86" t="str">
        <x:v>Técnico</x:v>
      </x:c>
      <x:c r="D5" s="86" t="n">
        <x:v>16</x:v>
      </x:c>
      <x:c r="E5" s="86" t="n">
        <x:v>0</x:v>
      </x:c>
      <x:c r="F5" s="87"/>
    </x:row>
    <x:row r="6">
      <x:c r="A6" s="85" t="n">
        <x:v>5</x:v>
      </x:c>
      <x:c r="B6" s="86" t="str">
        <x:v>Liderança e Feedback</x:v>
      </x:c>
      <x:c r="C6" s="86" t="str">
        <x:v>Liderança</x:v>
      </x:c>
      <x:c r="D6" s="86" t="n">
        <x:v>12</x:v>
      </x:c>
      <x:c r="E6" s="86" t="n">
        <x:v>0</x:v>
      </x:c>
      <x:c r="F6" s="87"/>
    </x:row>
    <x:row r="7">
      <x:c r="A7" s="85" t="n">
        <x:v>6</x:v>
      </x:c>
      <x:c r="B7" s="86" t="str">
        <x:v>Lean Manufacturing</x:v>
      </x:c>
      <x:c r="C7" s="86" t="str">
        <x:v>Melhoria Contínua</x:v>
      </x:c>
      <x:c r="D7" s="86" t="n">
        <x:v>20</x:v>
      </x:c>
      <x:c r="E7" s="86" t="n">
        <x:v>0</x:v>
      </x:c>
      <x:c r="F7" s="87"/>
    </x:row>
    <x:row r="8">
      <x:c r="A8" s="85" t="n">
        <x:v>7</x:v>
      </x:c>
      <x:c r="B8" s="86" t="str">
        <x:v>Qualidade e 8D</x:v>
      </x:c>
      <x:c r="C8" s="86" t="str">
        <x:v>Qualidade</x:v>
      </x:c>
      <x:c r="D8" s="86" t="n">
        <x:v>16</x:v>
      </x:c>
      <x:c r="E8" s="86" t="n">
        <x:v>0</x:v>
      </x:c>
      <x:c r="F8" s="87"/>
    </x:row>
    <x:row r="9">
      <x:c r="A9" s="85" t="n">
        <x:v>8</x:v>
      </x:c>
      <x:c r="B9" s="86" t="str">
        <x:v>Power BI</x:v>
      </x:c>
      <x:c r="C9" s="86" t="str">
        <x:v>Dados</x:v>
      </x:c>
      <x:c r="D9" s="86" t="n">
        <x:v>24</x:v>
      </x:c>
      <x:c r="E9" s="86" t="n">
        <x:v>0</x:v>
      </x:c>
      <x:c r="F9" s="87"/>
    </x:row>
    <x:row r="10">
      <x:c r="A10" s="85" t="n">
        <x:v>9</x:v>
      </x:c>
      <x:c r="B10" s="86" t="str">
        <x:v>Gestão de Projetos</x:v>
      </x:c>
      <x:c r="C10" s="86" t="str">
        <x:v>Gestão</x:v>
      </x:c>
      <x:c r="D10" s="86" t="n">
        <x:v>20</x:v>
      </x:c>
      <x:c r="E10" s="86" t="n">
        <x:v>0</x:v>
      </x:c>
      <x:c r="F10" s="87"/>
    </x:row>
    <x:row r="11">
      <x:c r="A11" s="88" t="n">
        <x:v>10</x:v>
      </x:c>
      <x:c r="B11" s="89" t="str">
        <x:v>Operação Segura de Máquinas</x:v>
      </x:c>
      <x:c r="C11" s="89" t="str">
        <x:v>Segurança</x:v>
      </x:c>
      <x:c r="D11" s="89" t="n">
        <x:v>12</x:v>
      </x:c>
      <x:c r="E11" s="89" t="n">
        <x:v>1</x:v>
      </x:c>
      <x:c r="F11" s="90" t="n">
        <x:v>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220000267028809" hidden="0" customWidth="1"/>
    <x:col min="3" max="3" width="12.220000267028809" hidden="0" customWidth="1"/>
    <x:col min="4" max="4" width="9" hidden="0" customWidth="1"/>
    <x:col min="5" max="5" width="12.779999732971191" hidden="0" customWidth="1"/>
    <x:col min="6" max="6" width="15.5600004196167" hidden="0" customWidth="1"/>
    <x:col min="7" max="7" width="3.890000104904175" hidden="0" customWidth="1"/>
    <x:col min="8" max="8" width="15.109999656677246" hidden="0" customWidth="1"/>
  </x:cols>
  <x:sheetData>
    <x:row r="1">
      <x:c r="A1" s="82" t="str">
        <x:v>id_participacao</x:v>
      </x:c>
      <x:c r="B1" s="83" t="str">
        <x:v>id_colaborador</x:v>
      </x:c>
      <x:c r="C1" s="83" t="str">
        <x:v>id_treinamento</x:v>
      </x:c>
      <x:c r="D1" s="83" t="str">
        <x:v>data_inicio</x:v>
      </x:c>
      <x:c r="E1" s="83" t="str">
        <x:v>data_conclusao</x:v>
      </x:c>
      <x:c r="F1" s="83" t="str">
        <x:v>status_treinamento</x:v>
      </x:c>
      <x:c r="G1" s="83" t="str">
        <x:v>nota</x:v>
      </x:c>
      <x:c r="H1" s="84" t="str">
        <x:v>custo_treinamento</x:v>
      </x:c>
    </x:row>
    <x:row r="2">
      <x:c r="A2" s="85" t="n">
        <x:v>1</x:v>
      </x:c>
      <x:c r="B2" s="86" t="n">
        <x:v>42</x:v>
      </x:c>
      <x:c r="C2" s="86" t="n">
        <x:v>10</x:v>
      </x:c>
      <x:c r="D2" s="95" t="n">
        <x:v>45995</x:v>
      </x:c>
      <x:c r="E2" s="95" t="n">
        <x:v>45995</x:v>
      </x:c>
      <x:c r="F2" s="86" t="str">
        <x:v>Concluído</x:v>
      </x:c>
      <x:c r="G2" s="86" t="n">
        <x:v>7.3</x:v>
      </x:c>
      <x:c r="H2" s="93" t="n">
        <x:v>622.4</x:v>
      </x:c>
    </x:row>
    <x:row r="3">
      <x:c r="A3" s="85" t="n">
        <x:v>2</x:v>
      </x:c>
      <x:c r="B3" s="86" t="n">
        <x:v>117</x:v>
      </x:c>
      <x:c r="C3" s="86" t="n">
        <x:v>4</x:v>
      </x:c>
      <x:c r="D3" s="95" t="n">
        <x:v>45769</x:v>
      </x:c>
      <x:c r="E3" s="95" t="n">
        <x:v>45775</x:v>
      </x:c>
      <x:c r="F3" s="86" t="str">
        <x:v>Concluído</x:v>
      </x:c>
      <x:c r="G3" s="86" t="n">
        <x:v>9.9</x:v>
      </x:c>
      <x:c r="H3" s="93" t="n">
        <x:v>409.3</x:v>
      </x:c>
    </x:row>
    <x:row r="4">
      <x:c r="A4" s="85" t="n">
        <x:v>3</x:v>
      </x:c>
      <x:c r="B4" s="86" t="n">
        <x:v>243</x:v>
      </x:c>
      <x:c r="C4" s="86" t="n">
        <x:v>10</x:v>
      </x:c>
      <x:c r="D4" s="95" t="n">
        <x:v>45701</x:v>
      </x:c>
      <x:c r="E4" s="95"/>
      <x:c r="F4" s="86" t="str">
        <x:v>Em andamento</x:v>
      </x:c>
      <x:c r="G4" s="86"/>
      <x:c r="H4" s="93" t="n">
        <x:v>497.12</x:v>
      </x:c>
    </x:row>
    <x:row r="5">
      <x:c r="A5" s="85" t="n">
        <x:v>4</x:v>
      </x:c>
      <x:c r="B5" s="86" t="n">
        <x:v>2</x:v>
      </x:c>
      <x:c r="C5" s="86" t="n">
        <x:v>2</x:v>
      </x:c>
      <x:c r="D5" s="95" t="n">
        <x:v>45542</x:v>
      </x:c>
      <x:c r="E5" s="95"/>
      <x:c r="F5" s="86" t="str">
        <x:v>Em andamento</x:v>
      </x:c>
      <x:c r="G5" s="86"/>
      <x:c r="H5" s="93" t="n">
        <x:v>732.79</x:v>
      </x:c>
    </x:row>
    <x:row r="6">
      <x:c r="A6" s="85" t="n">
        <x:v>5</x:v>
      </x:c>
      <x:c r="B6" s="86" t="n">
        <x:v>67</x:v>
      </x:c>
      <x:c r="C6" s="86" t="n">
        <x:v>9</x:v>
      </x:c>
      <x:c r="D6" s="95" t="n">
        <x:v>45714</x:v>
      </x:c>
      <x:c r="E6" s="95" t="n">
        <x:v>45716</x:v>
      </x:c>
      <x:c r="F6" s="86" t="str">
        <x:v>Concluído</x:v>
      </x:c>
      <x:c r="G6" s="86" t="n">
        <x:v>7.7</x:v>
      </x:c>
      <x:c r="H6" s="93" t="n">
        <x:v>526.71</x:v>
      </x:c>
    </x:row>
    <x:row r="7">
      <x:c r="A7" s="85" t="n">
        <x:v>6</x:v>
      </x:c>
      <x:c r="B7" s="86" t="n">
        <x:v>309</x:v>
      </x:c>
      <x:c r="C7" s="86" t="n">
        <x:v>1</x:v>
      </x:c>
      <x:c r="D7" s="95" t="n">
        <x:v>45975</x:v>
      </x:c>
      <x:c r="E7" s="95"/>
      <x:c r="F7" s="86" t="str">
        <x:v>Em andamento</x:v>
      </x:c>
      <x:c r="G7" s="86"/>
      <x:c r="H7" s="93" t="n">
        <x:v>764.08</x:v>
      </x:c>
    </x:row>
    <x:row r="8">
      <x:c r="A8" s="85" t="n">
        <x:v>7</x:v>
      </x:c>
      <x:c r="B8" s="86" t="n">
        <x:v>124</x:v>
      </x:c>
      <x:c r="C8" s="86" t="n">
        <x:v>7</x:v>
      </x:c>
      <x:c r="D8" s="95" t="n">
        <x:v>45650</x:v>
      </x:c>
      <x:c r="E8" s="95" t="n">
        <x:v>45652</x:v>
      </x:c>
      <x:c r="F8" s="86" t="str">
        <x:v>Concluído</x:v>
      </x:c>
      <x:c r="G8" s="86" t="n">
        <x:v>6.1</x:v>
      </x:c>
      <x:c r="H8" s="93" t="n">
        <x:v>374.77</x:v>
      </x:c>
    </x:row>
    <x:row r="9">
      <x:c r="A9" s="85" t="n">
        <x:v>8</x:v>
      </x:c>
      <x:c r="B9" s="86" t="n">
        <x:v>40</x:v>
      </x:c>
      <x:c r="C9" s="86" t="n">
        <x:v>9</x:v>
      </x:c>
      <x:c r="D9" s="95" t="n">
        <x:v>45936</x:v>
      </x:c>
      <x:c r="E9" s="95" t="n">
        <x:v>45941</x:v>
      </x:c>
      <x:c r="F9" s="86" t="str">
        <x:v>Concluído</x:v>
      </x:c>
      <x:c r="G9" s="86" t="n">
        <x:v>6.8</x:v>
      </x:c>
      <x:c r="H9" s="93" t="n">
        <x:v>816.2</x:v>
      </x:c>
    </x:row>
    <x:row r="10">
      <x:c r="A10" s="85" t="n">
        <x:v>9</x:v>
      </x:c>
      <x:c r="B10" s="86" t="n">
        <x:v>161</x:v>
      </x:c>
      <x:c r="C10" s="86" t="n">
        <x:v>9</x:v>
      </x:c>
      <x:c r="D10" s="95" t="n">
        <x:v>45677</x:v>
      </x:c>
      <x:c r="E10" s="95"/>
      <x:c r="F10" s="86" t="str">
        <x:v>Não iniciado</x:v>
      </x:c>
      <x:c r="G10" s="86"/>
      <x:c r="H10" s="93" t="n">
        <x:v>355.4</x:v>
      </x:c>
    </x:row>
    <x:row r="11">
      <x:c r="A11" s="85" t="n">
        <x:v>10</x:v>
      </x:c>
      <x:c r="B11" s="86" t="n">
        <x:v>287</x:v>
      </x:c>
      <x:c r="C11" s="86" t="n">
        <x:v>9</x:v>
      </x:c>
      <x:c r="D11" s="95" t="n">
        <x:v>45397</x:v>
      </x:c>
      <x:c r="E11" s="95" t="n">
        <x:v>45399</x:v>
      </x:c>
      <x:c r="F11" s="86" t="str">
        <x:v>Reprovado</x:v>
      </x:c>
      <x:c r="G11" s="86" t="n">
        <x:v>7.9</x:v>
      </x:c>
      <x:c r="H11" s="93" t="n">
        <x:v>366.73</x:v>
      </x:c>
    </x:row>
    <x:row r="12">
      <x:c r="A12" s="85" t="n">
        <x:v>11</x:v>
      </x:c>
      <x:c r="B12" s="86" t="n">
        <x:v>112</x:v>
      </x:c>
      <x:c r="C12" s="86" t="n">
        <x:v>3</x:v>
      </x:c>
      <x:c r="D12" s="95" t="n">
        <x:v>46020</x:v>
      </x:c>
      <x:c r="E12" s="95" t="n">
        <x:v>46027</x:v>
      </x:c>
      <x:c r="F12" s="86" t="str">
        <x:v>Concluído</x:v>
      </x:c>
      <x:c r="G12" s="86" t="n">
        <x:v>5.7</x:v>
      </x:c>
      <x:c r="H12" s="93" t="n">
        <x:v>556.22</x:v>
      </x:c>
    </x:row>
    <x:row r="13">
      <x:c r="A13" s="85" t="n">
        <x:v>12</x:v>
      </x:c>
      <x:c r="B13" s="86" t="n">
        <x:v>154</x:v>
      </x:c>
      <x:c r="C13" s="86" t="n">
        <x:v>5</x:v>
      </x:c>
      <x:c r="D13" s="95" t="n">
        <x:v>45520</x:v>
      </x:c>
      <x:c r="E13" s="95" t="n">
        <x:v>45540</x:v>
      </x:c>
      <x:c r="F13" s="86" t="str">
        <x:v>Concluído</x:v>
      </x:c>
      <x:c r="G13" s="86" t="n">
        <x:v>6.8</x:v>
      </x:c>
      <x:c r="H13" s="93" t="n">
        <x:v>344.87</x:v>
      </x:c>
    </x:row>
    <x:row r="14">
      <x:c r="A14" s="85" t="n">
        <x:v>13</x:v>
      </x:c>
      <x:c r="B14" s="86" t="n">
        <x:v>207</x:v>
      </x:c>
      <x:c r="C14" s="86" t="n">
        <x:v>8</x:v>
      </x:c>
      <x:c r="D14" s="95" t="n">
        <x:v>45554</x:v>
      </x:c>
      <x:c r="E14" s="95" t="n">
        <x:v>45554</x:v>
      </x:c>
      <x:c r="F14" s="86" t="str">
        <x:v>Reprovado</x:v>
      </x:c>
      <x:c r="G14" s="86" t="n">
        <x:v>9.2</x:v>
      </x:c>
      <x:c r="H14" s="93" t="n">
        <x:v>585.22</x:v>
      </x:c>
    </x:row>
    <x:row r="15">
      <x:c r="A15" s="85" t="n">
        <x:v>14</x:v>
      </x:c>
      <x:c r="B15" s="86" t="n">
        <x:v>10</x:v>
      </x:c>
      <x:c r="C15" s="86" t="n">
        <x:v>2</x:v>
      </x:c>
      <x:c r="D15" s="95" t="n">
        <x:v>45722</x:v>
      </x:c>
      <x:c r="E15" s="95" t="n">
        <x:v>45730</x:v>
      </x:c>
      <x:c r="F15" s="86" t="str">
        <x:v>Concluído</x:v>
      </x:c>
      <x:c r="G15" s="86" t="n">
        <x:v>6.4</x:v>
      </x:c>
      <x:c r="H15" s="93" t="n">
        <x:v>692.53</x:v>
      </x:c>
    </x:row>
    <x:row r="16">
      <x:c r="A16" s="85" t="n">
        <x:v>15</x:v>
      </x:c>
      <x:c r="B16" s="86" t="n">
        <x:v>104</x:v>
      </x:c>
      <x:c r="C16" s="86" t="n">
        <x:v>6</x:v>
      </x:c>
      <x:c r="D16" s="95" t="n">
        <x:v>45745</x:v>
      </x:c>
      <x:c r="E16" s="95" t="n">
        <x:v>45754</x:v>
      </x:c>
      <x:c r="F16" s="86" t="str">
        <x:v>Concluído</x:v>
      </x:c>
      <x:c r="G16" s="86" t="n">
        <x:v>6.8</x:v>
      </x:c>
      <x:c r="H16" s="93" t="n">
        <x:v>472.2</x:v>
      </x:c>
    </x:row>
    <x:row r="17">
      <x:c r="A17" s="85" t="n">
        <x:v>16</x:v>
      </x:c>
      <x:c r="B17" s="86" t="n">
        <x:v>120</x:v>
      </x:c>
      <x:c r="C17" s="86" t="n">
        <x:v>7</x:v>
      </x:c>
      <x:c r="D17" s="95" t="n">
        <x:v>45773</x:v>
      </x:c>
      <x:c r="E17" s="95" t="n">
        <x:v>45785</x:v>
      </x:c>
      <x:c r="F17" s="86" t="str">
        <x:v>Concluído</x:v>
      </x:c>
      <x:c r="G17" s="86" t="n">
        <x:v>6.2</x:v>
      </x:c>
      <x:c r="H17" s="93" t="n">
        <x:v>825.99</x:v>
      </x:c>
    </x:row>
    <x:row r="18">
      <x:c r="A18" s="85" t="n">
        <x:v>17</x:v>
      </x:c>
      <x:c r="B18" s="86" t="n">
        <x:v>298</x:v>
      </x:c>
      <x:c r="C18" s="86" t="n">
        <x:v>4</x:v>
      </x:c>
      <x:c r="D18" s="95" t="n">
        <x:v>45615</x:v>
      </x:c>
      <x:c r="E18" s="95" t="n">
        <x:v>45627</x:v>
      </x:c>
      <x:c r="F18" s="86" t="str">
        <x:v>Reprovado</x:v>
      </x:c>
      <x:c r="G18" s="86" t="n">
        <x:v>9.2</x:v>
      </x:c>
      <x:c r="H18" s="93" t="n">
        <x:v>514.01</x:v>
      </x:c>
    </x:row>
    <x:row r="19">
      <x:c r="A19" s="85" t="n">
        <x:v>18</x:v>
      </x:c>
      <x:c r="B19" s="86" t="n">
        <x:v>7</x:v>
      </x:c>
      <x:c r="C19" s="86" t="n">
        <x:v>1</x:v>
      </x:c>
      <x:c r="D19" s="95" t="n">
        <x:v>45998</x:v>
      </x:c>
      <x:c r="E19" s="95"/>
      <x:c r="F19" s="86" t="str">
        <x:v>Em andamento</x:v>
      </x:c>
      <x:c r="G19" s="86"/>
      <x:c r="H19" s="93" t="n">
        <x:v>845.47</x:v>
      </x:c>
    </x:row>
    <x:row r="20">
      <x:c r="A20" s="85" t="n">
        <x:v>19</x:v>
      </x:c>
      <x:c r="B20" s="86" t="n">
        <x:v>396</x:v>
      </x:c>
      <x:c r="C20" s="86" t="n">
        <x:v>7</x:v>
      </x:c>
      <x:c r="D20" s="95" t="n">
        <x:v>45976</x:v>
      </x:c>
      <x:c r="E20" s="95" t="n">
        <x:v>45986</x:v>
      </x:c>
      <x:c r="F20" s="86" t="str">
        <x:v>Concluído</x:v>
      </x:c>
      <x:c r="G20" s="86" t="n">
        <x:v>8</x:v>
      </x:c>
      <x:c r="H20" s="93" t="n">
        <x:v>488.04</x:v>
      </x:c>
    </x:row>
    <x:row r="21">
      <x:c r="A21" s="85" t="n">
        <x:v>20</x:v>
      </x:c>
      <x:c r="B21" s="86" t="n">
        <x:v>121</x:v>
      </x:c>
      <x:c r="C21" s="86" t="n">
        <x:v>2</x:v>
      </x:c>
      <x:c r="D21" s="95" t="n">
        <x:v>45847</x:v>
      </x:c>
      <x:c r="E21" s="95" t="n">
        <x:v>45858</x:v>
      </x:c>
      <x:c r="F21" s="86" t="str">
        <x:v>Concluído</x:v>
      </x:c>
      <x:c r="G21" s="86" t="n">
        <x:v>5.9</x:v>
      </x:c>
      <x:c r="H21" s="93" t="n">
        <x:v>718.01</x:v>
      </x:c>
    </x:row>
    <x:row r="22">
      <x:c r="A22" s="85" t="n">
        <x:v>21</x:v>
      </x:c>
      <x:c r="B22" s="86" t="n">
        <x:v>387</x:v>
      </x:c>
      <x:c r="C22" s="86" t="n">
        <x:v>8</x:v>
      </x:c>
      <x:c r="D22" s="95" t="n">
        <x:v>45855</x:v>
      </x:c>
      <x:c r="E22" s="95" t="n">
        <x:v>45863</x:v>
      </x:c>
      <x:c r="F22" s="86" t="str">
        <x:v>Concluído</x:v>
      </x:c>
      <x:c r="G22" s="86" t="n">
        <x:v>6.4</x:v>
      </x:c>
      <x:c r="H22" s="93" t="n">
        <x:v>644.68</x:v>
      </x:c>
    </x:row>
    <x:row r="23">
      <x:c r="A23" s="85" t="n">
        <x:v>22</x:v>
      </x:c>
      <x:c r="B23" s="86" t="n">
        <x:v>348</x:v>
      </x:c>
      <x:c r="C23" s="86" t="n">
        <x:v>2</x:v>
      </x:c>
      <x:c r="D23" s="95" t="n">
        <x:v>45424</x:v>
      </x:c>
      <x:c r="E23" s="95" t="n">
        <x:v>45441</x:v>
      </x:c>
      <x:c r="F23" s="86" t="str">
        <x:v>Concluído</x:v>
      </x:c>
      <x:c r="G23" s="86" t="n">
        <x:v>9.6</x:v>
      </x:c>
      <x:c r="H23" s="93" t="n">
        <x:v>610.9</x:v>
      </x:c>
    </x:row>
    <x:row r="24">
      <x:c r="A24" s="85" t="n">
        <x:v>23</x:v>
      </x:c>
      <x:c r="B24" s="86" t="n">
        <x:v>182</x:v>
      </x:c>
      <x:c r="C24" s="86" t="n">
        <x:v>7</x:v>
      </x:c>
      <x:c r="D24" s="95" t="n">
        <x:v>45727</x:v>
      </x:c>
      <x:c r="E24" s="95" t="n">
        <x:v>45728</x:v>
      </x:c>
      <x:c r="F24" s="86" t="str">
        <x:v>Concluído</x:v>
      </x:c>
      <x:c r="G24" s="86" t="n">
        <x:v>5.1</x:v>
      </x:c>
      <x:c r="H24" s="93" t="n">
        <x:v>233.56</x:v>
      </x:c>
    </x:row>
    <x:row r="25">
      <x:c r="A25" s="85" t="n">
        <x:v>24</x:v>
      </x:c>
      <x:c r="B25" s="86" t="n">
        <x:v>25</x:v>
      </x:c>
      <x:c r="C25" s="86" t="n">
        <x:v>6</x:v>
      </x:c>
      <x:c r="D25" s="95" t="n">
        <x:v>45602</x:v>
      </x:c>
      <x:c r="E25" s="95" t="n">
        <x:v>45611</x:v>
      </x:c>
      <x:c r="F25" s="86" t="str">
        <x:v>Concluído</x:v>
      </x:c>
      <x:c r="G25" s="86" t="n">
        <x:v>7.2</x:v>
      </x:c>
      <x:c r="H25" s="93" t="n">
        <x:v>671.36</x:v>
      </x:c>
    </x:row>
    <x:row r="26">
      <x:c r="A26" s="85" t="n">
        <x:v>25</x:v>
      </x:c>
      <x:c r="B26" s="86" t="n">
        <x:v>377</x:v>
      </x:c>
      <x:c r="C26" s="86" t="n">
        <x:v>7</x:v>
      </x:c>
      <x:c r="D26" s="95" t="n">
        <x:v>45953</x:v>
      </x:c>
      <x:c r="E26" s="95" t="n">
        <x:v>45958</x:v>
      </x:c>
      <x:c r="F26" s="86" t="str">
        <x:v>Concluído</x:v>
      </x:c>
      <x:c r="G26" s="86" t="n">
        <x:v>8.2</x:v>
      </x:c>
      <x:c r="H26" s="93" t="n">
        <x:v>230.15</x:v>
      </x:c>
    </x:row>
    <x:row r="27">
      <x:c r="A27" s="85" t="n">
        <x:v>26</x:v>
      </x:c>
      <x:c r="B27" s="86" t="n">
        <x:v>387</x:v>
      </x:c>
      <x:c r="C27" s="86" t="n">
        <x:v>3</x:v>
      </x:c>
      <x:c r="D27" s="95" t="n">
        <x:v>45506</x:v>
      </x:c>
      <x:c r="E27" s="95" t="n">
        <x:v>45522</x:v>
      </x:c>
      <x:c r="F27" s="86" t="str">
        <x:v>Concluído</x:v>
      </x:c>
      <x:c r="G27" s="86" t="n">
        <x:v>7.9</x:v>
      </x:c>
      <x:c r="H27" s="93" t="n">
        <x:v>309.47</x:v>
      </x:c>
    </x:row>
    <x:row r="28">
      <x:c r="A28" s="85" t="n">
        <x:v>27</x:v>
      </x:c>
      <x:c r="B28" s="86" t="n">
        <x:v>398</x:v>
      </x:c>
      <x:c r="C28" s="86" t="n">
        <x:v>9</x:v>
      </x:c>
      <x:c r="D28" s="95" t="n">
        <x:v>45862</x:v>
      </x:c>
      <x:c r="E28" s="95" t="n">
        <x:v>45877</x:v>
      </x:c>
      <x:c r="F28" s="86" t="str">
        <x:v>Reprovado</x:v>
      </x:c>
      <x:c r="G28" s="86" t="n">
        <x:v>9.4</x:v>
      </x:c>
      <x:c r="H28" s="93" t="n">
        <x:v>709.64</x:v>
      </x:c>
    </x:row>
    <x:row r="29">
      <x:c r="A29" s="85" t="n">
        <x:v>28</x:v>
      </x:c>
      <x:c r="B29" s="86" t="n">
        <x:v>265</x:v>
      </x:c>
      <x:c r="C29" s="86" t="n">
        <x:v>1</x:v>
      </x:c>
      <x:c r="D29" s="95" t="n">
        <x:v>45649</x:v>
      </x:c>
      <x:c r="E29" s="95" t="n">
        <x:v>45669</x:v>
      </x:c>
      <x:c r="F29" s="86" t="str">
        <x:v>Concluído</x:v>
      </x:c>
      <x:c r="G29" s="86" t="n">
        <x:v>5.4</x:v>
      </x:c>
      <x:c r="H29" s="93" t="n">
        <x:v>290.95</x:v>
      </x:c>
    </x:row>
    <x:row r="30">
      <x:c r="A30" s="85" t="n">
        <x:v>29</x:v>
      </x:c>
      <x:c r="B30" s="86" t="n">
        <x:v>191</x:v>
      </x:c>
      <x:c r="C30" s="86" t="n">
        <x:v>6</x:v>
      </x:c>
      <x:c r="D30" s="95" t="n">
        <x:v>45536</x:v>
      </x:c>
      <x:c r="E30" s="95" t="n">
        <x:v>45551</x:v>
      </x:c>
      <x:c r="F30" s="86" t="str">
        <x:v>Concluído</x:v>
      </x:c>
      <x:c r="G30" s="86" t="n">
        <x:v>8.1</x:v>
      </x:c>
      <x:c r="H30" s="93" t="n">
        <x:v>208.88</x:v>
      </x:c>
    </x:row>
    <x:row r="31">
      <x:c r="A31" s="85" t="n">
        <x:v>30</x:v>
      </x:c>
      <x:c r="B31" s="86" t="n">
        <x:v>95</x:v>
      </x:c>
      <x:c r="C31" s="86" t="n">
        <x:v>6</x:v>
      </x:c>
      <x:c r="D31" s="95" t="n">
        <x:v>45538</x:v>
      </x:c>
      <x:c r="E31" s="95" t="n">
        <x:v>45557</x:v>
      </x:c>
      <x:c r="F31" s="86" t="str">
        <x:v>Concluído</x:v>
      </x:c>
      <x:c r="G31" s="86" t="n">
        <x:v>9.7</x:v>
      </x:c>
      <x:c r="H31" s="93" t="n">
        <x:v>759.59</x:v>
      </x:c>
    </x:row>
    <x:row r="32">
      <x:c r="A32" s="85" t="n">
        <x:v>31</x:v>
      </x:c>
      <x:c r="B32" s="86" t="n">
        <x:v>168</x:v>
      </x:c>
      <x:c r="C32" s="86" t="n">
        <x:v>10</x:v>
      </x:c>
      <x:c r="D32" s="95" t="n">
        <x:v>45564</x:v>
      </x:c>
      <x:c r="E32" s="95" t="n">
        <x:v>45568</x:v>
      </x:c>
      <x:c r="F32" s="86" t="str">
        <x:v>Concluído</x:v>
      </x:c>
      <x:c r="G32" s="86" t="n">
        <x:v>9.2</x:v>
      </x:c>
      <x:c r="H32" s="93" t="n">
        <x:v>452.01</x:v>
      </x:c>
    </x:row>
    <x:row r="33">
      <x:c r="A33" s="85" t="n">
        <x:v>32</x:v>
      </x:c>
      <x:c r="B33" s="86" t="n">
        <x:v>28</x:v>
      </x:c>
      <x:c r="C33" s="86" t="n">
        <x:v>5</x:v>
      </x:c>
      <x:c r="D33" s="95" t="n">
        <x:v>45496</x:v>
      </x:c>
      <x:c r="E33" s="95"/>
      <x:c r="F33" s="86" t="str">
        <x:v>Não iniciado</x:v>
      </x:c>
      <x:c r="G33" s="86"/>
      <x:c r="H33" s="93" t="n">
        <x:v>335.99</x:v>
      </x:c>
    </x:row>
    <x:row r="34">
      <x:c r="A34" s="85" t="n">
        <x:v>33</x:v>
      </x:c>
      <x:c r="B34" s="86" t="n">
        <x:v>17</x:v>
      </x:c>
      <x:c r="C34" s="86" t="n">
        <x:v>2</x:v>
      </x:c>
      <x:c r="D34" s="95" t="n">
        <x:v>45973</x:v>
      </x:c>
      <x:c r="E34" s="95" t="n">
        <x:v>45992</x:v>
      </x:c>
      <x:c r="F34" s="86" t="str">
        <x:v>Concluído</x:v>
      </x:c>
      <x:c r="G34" s="86" t="n">
        <x:v>5.5</x:v>
      </x:c>
      <x:c r="H34" s="93" t="n">
        <x:v>751.99</x:v>
      </x:c>
    </x:row>
    <x:row r="35">
      <x:c r="A35" s="85" t="n">
        <x:v>34</x:v>
      </x:c>
      <x:c r="B35" s="86" t="n">
        <x:v>284</x:v>
      </x:c>
      <x:c r="C35" s="86" t="n">
        <x:v>9</x:v>
      </x:c>
      <x:c r="D35" s="95" t="n">
        <x:v>45371</x:v>
      </x:c>
      <x:c r="E35" s="95"/>
      <x:c r="F35" s="86" t="str">
        <x:v>Não iniciado</x:v>
      </x:c>
      <x:c r="G35" s="86"/>
      <x:c r="H35" s="93" t="n">
        <x:v>584.98</x:v>
      </x:c>
    </x:row>
    <x:row r="36">
      <x:c r="A36" s="85" t="n">
        <x:v>35</x:v>
      </x:c>
      <x:c r="B36" s="86" t="n">
        <x:v>17</x:v>
      </x:c>
      <x:c r="C36" s="86" t="n">
        <x:v>7</x:v>
      </x:c>
      <x:c r="D36" s="95" t="n">
        <x:v>45900</x:v>
      </x:c>
      <x:c r="E36" s="95"/>
      <x:c r="F36" s="86" t="str">
        <x:v>Não iniciado</x:v>
      </x:c>
      <x:c r="G36" s="86"/>
      <x:c r="H36" s="93" t="n">
        <x:v>799.85</x:v>
      </x:c>
    </x:row>
    <x:row r="37">
      <x:c r="A37" s="85" t="n">
        <x:v>36</x:v>
      </x:c>
      <x:c r="B37" s="86" t="n">
        <x:v>383</x:v>
      </x:c>
      <x:c r="C37" s="86" t="n">
        <x:v>8</x:v>
      </x:c>
      <x:c r="D37" s="95" t="n">
        <x:v>45969</x:v>
      </x:c>
      <x:c r="E37" s="95" t="n">
        <x:v>45973</x:v>
      </x:c>
      <x:c r="F37" s="86" t="str">
        <x:v>Concluído</x:v>
      </x:c>
      <x:c r="G37" s="86" t="n">
        <x:v>9.4</x:v>
      </x:c>
      <x:c r="H37" s="93" t="n">
        <x:v>676.39</x:v>
      </x:c>
    </x:row>
    <x:row r="38">
      <x:c r="A38" s="85" t="n">
        <x:v>37</x:v>
      </x:c>
      <x:c r="B38" s="86" t="n">
        <x:v>172</x:v>
      </x:c>
      <x:c r="C38" s="86" t="n">
        <x:v>4</x:v>
      </x:c>
      <x:c r="D38" s="95" t="n">
        <x:v>45631</x:v>
      </x:c>
      <x:c r="E38" s="95"/>
      <x:c r="F38" s="86" t="str">
        <x:v>Em andamento</x:v>
      </x:c>
      <x:c r="G38" s="86"/>
      <x:c r="H38" s="93" t="n">
        <x:v>602.49</x:v>
      </x:c>
    </x:row>
    <x:row r="39">
      <x:c r="A39" s="85" t="n">
        <x:v>38</x:v>
      </x:c>
      <x:c r="B39" s="86" t="n">
        <x:v>269</x:v>
      </x:c>
      <x:c r="C39" s="86" t="n">
        <x:v>1</x:v>
      </x:c>
      <x:c r="D39" s="95" t="n">
        <x:v>45728</x:v>
      </x:c>
      <x:c r="E39" s="95" t="n">
        <x:v>45734</x:v>
      </x:c>
      <x:c r="F39" s="86" t="str">
        <x:v>Concluído</x:v>
      </x:c>
      <x:c r="G39" s="86" t="n">
        <x:v>6.5</x:v>
      </x:c>
      <x:c r="H39" s="93" t="n">
        <x:v>132.05</x:v>
      </x:c>
    </x:row>
    <x:row r="40">
      <x:c r="A40" s="85" t="n">
        <x:v>39</x:v>
      </x:c>
      <x:c r="B40" s="86" t="n">
        <x:v>161</x:v>
      </x:c>
      <x:c r="C40" s="86" t="n">
        <x:v>7</x:v>
      </x:c>
      <x:c r="D40" s="95" t="n">
        <x:v>45787</x:v>
      </x:c>
      <x:c r="E40" s="95" t="n">
        <x:v>45801</x:v>
      </x:c>
      <x:c r="F40" s="86" t="str">
        <x:v>Concluído</x:v>
      </x:c>
      <x:c r="G40" s="86" t="n">
        <x:v>5.4</x:v>
      </x:c>
      <x:c r="H40" s="93" t="n">
        <x:v>395.7</x:v>
      </x:c>
    </x:row>
    <x:row r="41">
      <x:c r="A41" s="85" t="n">
        <x:v>40</x:v>
      </x:c>
      <x:c r="B41" s="86" t="n">
        <x:v>372</x:v>
      </x:c>
      <x:c r="C41" s="86" t="n">
        <x:v>7</x:v>
      </x:c>
      <x:c r="D41" s="95" t="n">
        <x:v>45696</x:v>
      </x:c>
      <x:c r="E41" s="95" t="n">
        <x:v>45708</x:v>
      </x:c>
      <x:c r="F41" s="86" t="str">
        <x:v>Concluído</x:v>
      </x:c>
      <x:c r="G41" s="86" t="n">
        <x:v>9.9</x:v>
      </x:c>
      <x:c r="H41" s="93" t="n">
        <x:v>596.34</x:v>
      </x:c>
    </x:row>
    <x:row r="42">
      <x:c r="A42" s="85" t="n">
        <x:v>41</x:v>
      </x:c>
      <x:c r="B42" s="86" t="n">
        <x:v>97</x:v>
      </x:c>
      <x:c r="C42" s="86" t="n">
        <x:v>8</x:v>
      </x:c>
      <x:c r="D42" s="95" t="n">
        <x:v>45702</x:v>
      </x:c>
      <x:c r="E42" s="95" t="n">
        <x:v>45721</x:v>
      </x:c>
      <x:c r="F42" s="86" t="str">
        <x:v>Reprovado</x:v>
      </x:c>
      <x:c r="G42" s="86" t="n">
        <x:v>8.8</x:v>
      </x:c>
      <x:c r="H42" s="93" t="n">
        <x:v>819.73</x:v>
      </x:c>
    </x:row>
    <x:row r="43">
      <x:c r="A43" s="85" t="n">
        <x:v>42</x:v>
      </x:c>
      <x:c r="B43" s="86" t="n">
        <x:v>166</x:v>
      </x:c>
      <x:c r="C43" s="86" t="n">
        <x:v>1</x:v>
      </x:c>
      <x:c r="D43" s="95" t="n">
        <x:v>45962</x:v>
      </x:c>
      <x:c r="E43" s="95" t="n">
        <x:v>45962</x:v>
      </x:c>
      <x:c r="F43" s="86" t="str">
        <x:v>Concluído</x:v>
      </x:c>
      <x:c r="G43" s="86" t="n">
        <x:v>9.1</x:v>
      </x:c>
      <x:c r="H43" s="93" t="n">
        <x:v>535.3</x:v>
      </x:c>
    </x:row>
    <x:row r="44">
      <x:c r="A44" s="85" t="n">
        <x:v>43</x:v>
      </x:c>
      <x:c r="B44" s="86" t="n">
        <x:v>25</x:v>
      </x:c>
      <x:c r="C44" s="86" t="n">
        <x:v>1</x:v>
      </x:c>
      <x:c r="D44" s="95" t="n">
        <x:v>45744</x:v>
      </x:c>
      <x:c r="E44" s="95" t="n">
        <x:v>45748</x:v>
      </x:c>
      <x:c r="F44" s="86" t="str">
        <x:v>Concluído</x:v>
      </x:c>
      <x:c r="G44" s="86" t="n">
        <x:v>9.3</x:v>
      </x:c>
      <x:c r="H44" s="93" t="n">
        <x:v>197.87</x:v>
      </x:c>
    </x:row>
    <x:row r="45">
      <x:c r="A45" s="85" t="n">
        <x:v>44</x:v>
      </x:c>
      <x:c r="B45" s="86" t="n">
        <x:v>397</x:v>
      </x:c>
      <x:c r="C45" s="86" t="n">
        <x:v>3</x:v>
      </x:c>
      <x:c r="D45" s="95" t="n">
        <x:v>45428</x:v>
      </x:c>
      <x:c r="E45" s="95" t="n">
        <x:v>45446</x:v>
      </x:c>
      <x:c r="F45" s="86" t="str">
        <x:v>Concluído</x:v>
      </x:c>
      <x:c r="G45" s="86" t="n">
        <x:v>8.1</x:v>
      </x:c>
      <x:c r="H45" s="93" t="n">
        <x:v>820.35</x:v>
      </x:c>
    </x:row>
    <x:row r="46">
      <x:c r="A46" s="85" t="n">
        <x:v>45</x:v>
      </x:c>
      <x:c r="B46" s="86" t="n">
        <x:v>81</x:v>
      </x:c>
      <x:c r="C46" s="86" t="n">
        <x:v>2</x:v>
      </x:c>
      <x:c r="D46" s="95" t="n">
        <x:v>45474</x:v>
      </x:c>
      <x:c r="E46" s="95"/>
      <x:c r="F46" s="86" t="str">
        <x:v>Não iniciado</x:v>
      </x:c>
      <x:c r="G46" s="86"/>
      <x:c r="H46" s="93" t="n">
        <x:v>707.59</x:v>
      </x:c>
    </x:row>
    <x:row r="47">
      <x:c r="A47" s="85" t="n">
        <x:v>46</x:v>
      </x:c>
      <x:c r="B47" s="86" t="n">
        <x:v>258</x:v>
      </x:c>
      <x:c r="C47" s="86" t="n">
        <x:v>6</x:v>
      </x:c>
      <x:c r="D47" s="95" t="n">
        <x:v>45774</x:v>
      </x:c>
      <x:c r="E47" s="95" t="n">
        <x:v>45784</x:v>
      </x:c>
      <x:c r="F47" s="86" t="str">
        <x:v>Concluído</x:v>
      </x:c>
      <x:c r="G47" s="86" t="n">
        <x:v>5.7</x:v>
      </x:c>
      <x:c r="H47" s="93" t="n">
        <x:v>374.46</x:v>
      </x:c>
    </x:row>
    <x:row r="48">
      <x:c r="A48" s="85" t="n">
        <x:v>47</x:v>
      </x:c>
      <x:c r="B48" s="86" t="n">
        <x:v>152</x:v>
      </x:c>
      <x:c r="C48" s="86" t="n">
        <x:v>4</x:v>
      </x:c>
      <x:c r="D48" s="95" t="n">
        <x:v>45938</x:v>
      </x:c>
      <x:c r="E48" s="95" t="n">
        <x:v>45941</x:v>
      </x:c>
      <x:c r="F48" s="86" t="str">
        <x:v>Concluído</x:v>
      </x:c>
      <x:c r="G48" s="86" t="n">
        <x:v>9.9</x:v>
      </x:c>
      <x:c r="H48" s="93" t="n">
        <x:v>767.29</x:v>
      </x:c>
    </x:row>
    <x:row r="49">
      <x:c r="A49" s="85" t="n">
        <x:v>48</x:v>
      </x:c>
      <x:c r="B49" s="86" t="n">
        <x:v>394</x:v>
      </x:c>
      <x:c r="C49" s="86" t="n">
        <x:v>6</x:v>
      </x:c>
      <x:c r="D49" s="95" t="n">
        <x:v>45768</x:v>
      </x:c>
      <x:c r="E49" s="95"/>
      <x:c r="F49" s="86" t="str">
        <x:v>Não iniciado</x:v>
      </x:c>
      <x:c r="G49" s="86"/>
      <x:c r="H49" s="93" t="n">
        <x:v>719.71</x:v>
      </x:c>
    </x:row>
    <x:row r="50">
      <x:c r="A50" s="85" t="n">
        <x:v>49</x:v>
      </x:c>
      <x:c r="B50" s="86" t="n">
        <x:v>34</x:v>
      </x:c>
      <x:c r="C50" s="86" t="n">
        <x:v>1</x:v>
      </x:c>
      <x:c r="D50" s="95" t="n">
        <x:v>45833</x:v>
      </x:c>
      <x:c r="E50" s="95"/>
      <x:c r="F50" s="86" t="str">
        <x:v>Em andamento</x:v>
      </x:c>
      <x:c r="G50" s="86"/>
      <x:c r="H50" s="93" t="n">
        <x:v>312.72</x:v>
      </x:c>
    </x:row>
    <x:row r="51">
      <x:c r="A51" s="85" t="n">
        <x:v>50</x:v>
      </x:c>
      <x:c r="B51" s="86" t="n">
        <x:v>61</x:v>
      </x:c>
      <x:c r="C51" s="86" t="n">
        <x:v>5</x:v>
      </x:c>
      <x:c r="D51" s="95" t="n">
        <x:v>45897</x:v>
      </x:c>
      <x:c r="E51" s="95" t="n">
        <x:v>45901</x:v>
      </x:c>
      <x:c r="F51" s="86" t="str">
        <x:v>Concluído</x:v>
      </x:c>
      <x:c r="G51" s="86" t="n">
        <x:v>8.9</x:v>
      </x:c>
      <x:c r="H51" s="93" t="n">
        <x:v>751.27</x:v>
      </x:c>
    </x:row>
    <x:row r="52">
      <x:c r="A52" s="85" t="n">
        <x:v>51</x:v>
      </x:c>
      <x:c r="B52" s="86" t="n">
        <x:v>311</x:v>
      </x:c>
      <x:c r="C52" s="86" t="n">
        <x:v>8</x:v>
      </x:c>
      <x:c r="D52" s="95" t="n">
        <x:v>45572</x:v>
      </x:c>
      <x:c r="E52" s="95"/>
      <x:c r="F52" s="86" t="str">
        <x:v>Não iniciado</x:v>
      </x:c>
      <x:c r="G52" s="86"/>
      <x:c r="H52" s="93" t="n">
        <x:v>211.23</x:v>
      </x:c>
    </x:row>
    <x:row r="53">
      <x:c r="A53" s="85" t="n">
        <x:v>52</x:v>
      </x:c>
      <x:c r="B53" s="86" t="n">
        <x:v>356</x:v>
      </x:c>
      <x:c r="C53" s="86" t="n">
        <x:v>8</x:v>
      </x:c>
      <x:c r="D53" s="95" t="n">
        <x:v>45507</x:v>
      </x:c>
      <x:c r="E53" s="95" t="n">
        <x:v>45526</x:v>
      </x:c>
      <x:c r="F53" s="86" t="str">
        <x:v>Concluído</x:v>
      </x:c>
      <x:c r="G53" s="86" t="n">
        <x:v>5.9</x:v>
      </x:c>
      <x:c r="H53" s="93" t="n">
        <x:v>755.49</x:v>
      </x:c>
    </x:row>
    <x:row r="54">
      <x:c r="A54" s="85" t="n">
        <x:v>53</x:v>
      </x:c>
      <x:c r="B54" s="86" t="n">
        <x:v>366</x:v>
      </x:c>
      <x:c r="C54" s="86" t="n">
        <x:v>7</x:v>
      </x:c>
      <x:c r="D54" s="95" t="n">
        <x:v>45609</x:v>
      </x:c>
      <x:c r="E54" s="95" t="n">
        <x:v>45619</x:v>
      </x:c>
      <x:c r="F54" s="86" t="str">
        <x:v>Concluído</x:v>
      </x:c>
      <x:c r="G54" s="86" t="n">
        <x:v>7.9</x:v>
      </x:c>
      <x:c r="H54" s="93" t="n">
        <x:v>162.46</x:v>
      </x:c>
    </x:row>
    <x:row r="55">
      <x:c r="A55" s="85" t="n">
        <x:v>54</x:v>
      </x:c>
      <x:c r="B55" s="86" t="n">
        <x:v>420</x:v>
      </x:c>
      <x:c r="C55" s="86" t="n">
        <x:v>9</x:v>
      </x:c>
      <x:c r="D55" s="95" t="n">
        <x:v>45951</x:v>
      </x:c>
      <x:c r="E55" s="95"/>
      <x:c r="F55" s="86" t="str">
        <x:v>Em andamento</x:v>
      </x:c>
      <x:c r="G55" s="86"/>
      <x:c r="H55" s="93" t="n">
        <x:v>239.28</x:v>
      </x:c>
    </x:row>
    <x:row r="56">
      <x:c r="A56" s="85" t="n">
        <x:v>55</x:v>
      </x:c>
      <x:c r="B56" s="86" t="n">
        <x:v>356</x:v>
      </x:c>
      <x:c r="C56" s="86" t="n">
        <x:v>8</x:v>
      </x:c>
      <x:c r="D56" s="95" t="n">
        <x:v>45414</x:v>
      </x:c>
      <x:c r="E56" s="95"/>
      <x:c r="F56" s="86" t="str">
        <x:v>Em andamento</x:v>
      </x:c>
      <x:c r="G56" s="86"/>
      <x:c r="H56" s="93" t="n">
        <x:v>375.35</x:v>
      </x:c>
    </x:row>
    <x:row r="57">
      <x:c r="A57" s="85" t="n">
        <x:v>56</x:v>
      </x:c>
      <x:c r="B57" s="86" t="n">
        <x:v>23</x:v>
      </x:c>
      <x:c r="C57" s="86" t="n">
        <x:v>9</x:v>
      </x:c>
      <x:c r="D57" s="95" t="n">
        <x:v>45427</x:v>
      </x:c>
      <x:c r="E57" s="95"/>
      <x:c r="F57" s="86" t="str">
        <x:v>Não iniciado</x:v>
      </x:c>
      <x:c r="G57" s="86"/>
      <x:c r="H57" s="93" t="n">
        <x:v>661.54</x:v>
      </x:c>
    </x:row>
    <x:row r="58">
      <x:c r="A58" s="85" t="n">
        <x:v>57</x:v>
      </x:c>
      <x:c r="B58" s="86" t="n">
        <x:v>418</x:v>
      </x:c>
      <x:c r="C58" s="86" t="n">
        <x:v>1</x:v>
      </x:c>
      <x:c r="D58" s="95" t="n">
        <x:v>45898</x:v>
      </x:c>
      <x:c r="E58" s="95" t="n">
        <x:v>45904</x:v>
      </x:c>
      <x:c r="F58" s="86" t="str">
        <x:v>Concluído</x:v>
      </x:c>
      <x:c r="G58" s="86" t="n">
        <x:v>8.5</x:v>
      </x:c>
      <x:c r="H58" s="93" t="n">
        <x:v>336.71</x:v>
      </x:c>
    </x:row>
    <x:row r="59">
      <x:c r="A59" s="85" t="n">
        <x:v>58</x:v>
      </x:c>
      <x:c r="B59" s="86" t="n">
        <x:v>366</x:v>
      </x:c>
      <x:c r="C59" s="86" t="n">
        <x:v>5</x:v>
      </x:c>
      <x:c r="D59" s="95" t="n">
        <x:v>45736</x:v>
      </x:c>
      <x:c r="E59" s="95" t="n">
        <x:v>45738</x:v>
      </x:c>
      <x:c r="F59" s="86" t="str">
        <x:v>Concluído</x:v>
      </x:c>
      <x:c r="G59" s="86" t="n">
        <x:v>5.9</x:v>
      </x:c>
      <x:c r="H59" s="93" t="n">
        <x:v>784.52</x:v>
      </x:c>
    </x:row>
    <x:row r="60">
      <x:c r="A60" s="85" t="n">
        <x:v>59</x:v>
      </x:c>
      <x:c r="B60" s="86" t="n">
        <x:v>343</x:v>
      </x:c>
      <x:c r="C60" s="86" t="n">
        <x:v>7</x:v>
      </x:c>
      <x:c r="D60" s="95" t="n">
        <x:v>45972</x:v>
      </x:c>
      <x:c r="E60" s="95"/>
      <x:c r="F60" s="86" t="str">
        <x:v>Não iniciado</x:v>
      </x:c>
      <x:c r="G60" s="86"/>
      <x:c r="H60" s="93" t="n">
        <x:v>544.99</x:v>
      </x:c>
    </x:row>
    <x:row r="61">
      <x:c r="A61" s="85" t="n">
        <x:v>60</x:v>
      </x:c>
      <x:c r="B61" s="86" t="n">
        <x:v>19</x:v>
      </x:c>
      <x:c r="C61" s="86" t="n">
        <x:v>5</x:v>
      </x:c>
      <x:c r="D61" s="95" t="n">
        <x:v>45509</x:v>
      </x:c>
      <x:c r="E61" s="95" t="n">
        <x:v>45519</x:v>
      </x:c>
      <x:c r="F61" s="86" t="str">
        <x:v>Concluído</x:v>
      </x:c>
      <x:c r="G61" s="86" t="n">
        <x:v>8.9</x:v>
      </x:c>
      <x:c r="H61" s="93" t="n">
        <x:v>172.84</x:v>
      </x:c>
    </x:row>
    <x:row r="62">
      <x:c r="A62" s="85" t="n">
        <x:v>61</x:v>
      </x:c>
      <x:c r="B62" s="86" t="n">
        <x:v>393</x:v>
      </x:c>
      <x:c r="C62" s="86" t="n">
        <x:v>6</x:v>
      </x:c>
      <x:c r="D62" s="95" t="n">
        <x:v>45660</x:v>
      </x:c>
      <x:c r="E62" s="95" t="n">
        <x:v>45678</x:v>
      </x:c>
      <x:c r="F62" s="86" t="str">
        <x:v>Concluído</x:v>
      </x:c>
      <x:c r="G62" s="86" t="n">
        <x:v>6.2</x:v>
      </x:c>
      <x:c r="H62" s="93" t="n">
        <x:v>719.95</x:v>
      </x:c>
    </x:row>
    <x:row r="63">
      <x:c r="A63" s="85" t="n">
        <x:v>62</x:v>
      </x:c>
      <x:c r="B63" s="86" t="n">
        <x:v>333</x:v>
      </x:c>
      <x:c r="C63" s="86" t="n">
        <x:v>2</x:v>
      </x:c>
      <x:c r="D63" s="95" t="n">
        <x:v>45382</x:v>
      </x:c>
      <x:c r="E63" s="95" t="n">
        <x:v>45399</x:v>
      </x:c>
      <x:c r="F63" s="86" t="str">
        <x:v>Concluído</x:v>
      </x:c>
      <x:c r="G63" s="86" t="n">
        <x:v>9.1</x:v>
      </x:c>
      <x:c r="H63" s="93" t="n">
        <x:v>228.67</x:v>
      </x:c>
    </x:row>
    <x:row r="64">
      <x:c r="A64" s="85" t="n">
        <x:v>63</x:v>
      </x:c>
      <x:c r="B64" s="86" t="n">
        <x:v>301</x:v>
      </x:c>
      <x:c r="C64" s="86" t="n">
        <x:v>3</x:v>
      </x:c>
      <x:c r="D64" s="95" t="n">
        <x:v>45865</x:v>
      </x:c>
      <x:c r="E64" s="95" t="n">
        <x:v>45877</x:v>
      </x:c>
      <x:c r="F64" s="86" t="str">
        <x:v>Concluído</x:v>
      </x:c>
      <x:c r="G64" s="86" t="n">
        <x:v>7.4</x:v>
      </x:c>
      <x:c r="H64" s="93" t="n">
        <x:v>666.38</x:v>
      </x:c>
    </x:row>
    <x:row r="65">
      <x:c r="A65" s="85" t="n">
        <x:v>64</x:v>
      </x:c>
      <x:c r="B65" s="86" t="n">
        <x:v>171</x:v>
      </x:c>
      <x:c r="C65" s="86" t="n">
        <x:v>1</x:v>
      </x:c>
      <x:c r="D65" s="95" t="n">
        <x:v>45722</x:v>
      </x:c>
      <x:c r="E65" s="95" t="n">
        <x:v>45741</x:v>
      </x:c>
      <x:c r="F65" s="86" t="str">
        <x:v>Concluído</x:v>
      </x:c>
      <x:c r="G65" s="86" t="n">
        <x:v>9.2</x:v>
      </x:c>
      <x:c r="H65" s="93" t="n">
        <x:v>825.17</x:v>
      </x:c>
    </x:row>
    <x:row r="66">
      <x:c r="A66" s="85" t="n">
        <x:v>65</x:v>
      </x:c>
      <x:c r="B66" s="86" t="n">
        <x:v>107</x:v>
      </x:c>
      <x:c r="C66" s="86" t="n">
        <x:v>5</x:v>
      </x:c>
      <x:c r="D66" s="95" t="n">
        <x:v>45468</x:v>
      </x:c>
      <x:c r="E66" s="95" t="n">
        <x:v>45487</x:v>
      </x:c>
      <x:c r="F66" s="86" t="str">
        <x:v>Concluído</x:v>
      </x:c>
      <x:c r="G66" s="86" t="n">
        <x:v>8.3</x:v>
      </x:c>
      <x:c r="H66" s="93" t="n">
        <x:v>336.26</x:v>
      </x:c>
    </x:row>
    <x:row r="67">
      <x:c r="A67" s="85" t="n">
        <x:v>66</x:v>
      </x:c>
      <x:c r="B67" s="86" t="n">
        <x:v>337</x:v>
      </x:c>
      <x:c r="C67" s="86" t="n">
        <x:v>10</x:v>
      </x:c>
      <x:c r="D67" s="95" t="n">
        <x:v>45422</x:v>
      </x:c>
      <x:c r="E67" s="95" t="n">
        <x:v>45422</x:v>
      </x:c>
      <x:c r="F67" s="86" t="str">
        <x:v>Concluído</x:v>
      </x:c>
      <x:c r="G67" s="86" t="n">
        <x:v>8.8</x:v>
      </x:c>
      <x:c r="H67" s="93" t="n">
        <x:v>612.75</x:v>
      </x:c>
    </x:row>
    <x:row r="68">
      <x:c r="A68" s="85" t="n">
        <x:v>67</x:v>
      </x:c>
      <x:c r="B68" s="86" t="n">
        <x:v>107</x:v>
      </x:c>
      <x:c r="C68" s="86" t="n">
        <x:v>4</x:v>
      </x:c>
      <x:c r="D68" s="95" t="n">
        <x:v>45303</x:v>
      </x:c>
      <x:c r="E68" s="95" t="n">
        <x:v>45309</x:v>
      </x:c>
      <x:c r="F68" s="86" t="str">
        <x:v>Concluído</x:v>
      </x:c>
      <x:c r="G68" s="86" t="n">
        <x:v>7.3</x:v>
      </x:c>
      <x:c r="H68" s="93" t="n">
        <x:v>808.27</x:v>
      </x:c>
    </x:row>
    <x:row r="69">
      <x:c r="A69" s="85" t="n">
        <x:v>68</x:v>
      </x:c>
      <x:c r="B69" s="86" t="n">
        <x:v>62</x:v>
      </x:c>
      <x:c r="C69" s="86" t="n">
        <x:v>1</x:v>
      </x:c>
      <x:c r="D69" s="95" t="n">
        <x:v>45469</x:v>
      </x:c>
      <x:c r="E69" s="95" t="n">
        <x:v>45477</x:v>
      </x:c>
      <x:c r="F69" s="86" t="str">
        <x:v>Concluído</x:v>
      </x:c>
      <x:c r="G69" s="86" t="n">
        <x:v>5.9</x:v>
      </x:c>
      <x:c r="H69" s="93" t="n">
        <x:v>137.04</x:v>
      </x:c>
    </x:row>
    <x:row r="70">
      <x:c r="A70" s="85" t="n">
        <x:v>69</x:v>
      </x:c>
      <x:c r="B70" s="86" t="n">
        <x:v>289</x:v>
      </x:c>
      <x:c r="C70" s="86" t="n">
        <x:v>3</x:v>
      </x:c>
      <x:c r="D70" s="95" t="n">
        <x:v>45881</x:v>
      </x:c>
      <x:c r="E70" s="95" t="n">
        <x:v>45892</x:v>
      </x:c>
      <x:c r="F70" s="86" t="str">
        <x:v>Reprovado</x:v>
      </x:c>
      <x:c r="G70" s="86" t="n">
        <x:v>6.6</x:v>
      </x:c>
      <x:c r="H70" s="93" t="n">
        <x:v>790.19</x:v>
      </x:c>
    </x:row>
    <x:row r="71">
      <x:c r="A71" s="85" t="n">
        <x:v>70</x:v>
      </x:c>
      <x:c r="B71" s="86" t="n">
        <x:v>26</x:v>
      </x:c>
      <x:c r="C71" s="86" t="n">
        <x:v>2</x:v>
      </x:c>
      <x:c r="D71" s="95" t="n">
        <x:v>46002</x:v>
      </x:c>
      <x:c r="E71" s="95"/>
      <x:c r="F71" s="86" t="str">
        <x:v>Em andamento</x:v>
      </x:c>
      <x:c r="G71" s="86"/>
      <x:c r="H71" s="93" t="n">
        <x:v>98.37</x:v>
      </x:c>
    </x:row>
    <x:row r="72">
      <x:c r="A72" s="85" t="n">
        <x:v>71</x:v>
      </x:c>
      <x:c r="B72" s="86" t="n">
        <x:v>320</x:v>
      </x:c>
      <x:c r="C72" s="86" t="n">
        <x:v>2</x:v>
      </x:c>
      <x:c r="D72" s="95" t="n">
        <x:v>45329</x:v>
      </x:c>
      <x:c r="E72" s="95" t="n">
        <x:v>45331</x:v>
      </x:c>
      <x:c r="F72" s="86" t="str">
        <x:v>Concluído</x:v>
      </x:c>
      <x:c r="G72" s="86" t="n">
        <x:v>9</x:v>
      </x:c>
      <x:c r="H72" s="93" t="n">
        <x:v>191.36</x:v>
      </x:c>
    </x:row>
    <x:row r="73">
      <x:c r="A73" s="85" t="n">
        <x:v>72</x:v>
      </x:c>
      <x:c r="B73" s="86" t="n">
        <x:v>324</x:v>
      </x:c>
      <x:c r="C73" s="86" t="n">
        <x:v>7</x:v>
      </x:c>
      <x:c r="D73" s="95" t="n">
        <x:v>45939</x:v>
      </x:c>
      <x:c r="E73" s="95" t="n">
        <x:v>45945</x:v>
      </x:c>
      <x:c r="F73" s="86" t="str">
        <x:v>Concluído</x:v>
      </x:c>
      <x:c r="G73" s="86" t="n">
        <x:v>6.2</x:v>
      </x:c>
      <x:c r="H73" s="93" t="n">
        <x:v>785.54</x:v>
      </x:c>
    </x:row>
    <x:row r="74">
      <x:c r="A74" s="85" t="n">
        <x:v>73</x:v>
      </x:c>
      <x:c r="B74" s="86" t="n">
        <x:v>157</x:v>
      </x:c>
      <x:c r="C74" s="86" t="n">
        <x:v>7</x:v>
      </x:c>
      <x:c r="D74" s="95" t="n">
        <x:v>45374</x:v>
      </x:c>
      <x:c r="E74" s="95" t="n">
        <x:v>45393</x:v>
      </x:c>
      <x:c r="F74" s="86" t="str">
        <x:v>Concluído</x:v>
      </x:c>
      <x:c r="G74" s="86" t="n">
        <x:v>6.1</x:v>
      </x:c>
      <x:c r="H74" s="93" t="n">
        <x:v>642.09</x:v>
      </x:c>
    </x:row>
    <x:row r="75">
      <x:c r="A75" s="85" t="n">
        <x:v>74</x:v>
      </x:c>
      <x:c r="B75" s="86" t="n">
        <x:v>185</x:v>
      </x:c>
      <x:c r="C75" s="86" t="n">
        <x:v>8</x:v>
      </x:c>
      <x:c r="D75" s="95" t="n">
        <x:v>45823</x:v>
      </x:c>
      <x:c r="E75" s="95" t="n">
        <x:v>45832</x:v>
      </x:c>
      <x:c r="F75" s="86" t="str">
        <x:v>Concluído</x:v>
      </x:c>
      <x:c r="G75" s="86" t="n">
        <x:v>7.2</x:v>
      </x:c>
      <x:c r="H75" s="93" t="n">
        <x:v>163.87</x:v>
      </x:c>
    </x:row>
    <x:row r="76">
      <x:c r="A76" s="85" t="n">
        <x:v>75</x:v>
      </x:c>
      <x:c r="B76" s="86" t="n">
        <x:v>128</x:v>
      </x:c>
      <x:c r="C76" s="86" t="n">
        <x:v>5</x:v>
      </x:c>
      <x:c r="D76" s="95" t="n">
        <x:v>45844</x:v>
      </x:c>
      <x:c r="E76" s="95" t="n">
        <x:v>45848</x:v>
      </x:c>
      <x:c r="F76" s="86" t="str">
        <x:v>Concluído</x:v>
      </x:c>
      <x:c r="G76" s="86" t="n">
        <x:v>7.3</x:v>
      </x:c>
      <x:c r="H76" s="93" t="n">
        <x:v>254.82</x:v>
      </x:c>
    </x:row>
    <x:row r="77">
      <x:c r="A77" s="85" t="n">
        <x:v>76</x:v>
      </x:c>
      <x:c r="B77" s="86" t="n">
        <x:v>309</x:v>
      </x:c>
      <x:c r="C77" s="86" t="n">
        <x:v>2</x:v>
      </x:c>
      <x:c r="D77" s="95" t="n">
        <x:v>45842</x:v>
      </x:c>
      <x:c r="E77" s="95" t="n">
        <x:v>45860</x:v>
      </x:c>
      <x:c r="F77" s="86" t="str">
        <x:v>Concluído</x:v>
      </x:c>
      <x:c r="G77" s="86" t="n">
        <x:v>6.8</x:v>
      </x:c>
      <x:c r="H77" s="93" t="n">
        <x:v>143.16</x:v>
      </x:c>
    </x:row>
    <x:row r="78">
      <x:c r="A78" s="85" t="n">
        <x:v>77</x:v>
      </x:c>
      <x:c r="B78" s="86" t="n">
        <x:v>177</x:v>
      </x:c>
      <x:c r="C78" s="86" t="n">
        <x:v>10</x:v>
      </x:c>
      <x:c r="D78" s="95" t="n">
        <x:v>45814</x:v>
      </x:c>
      <x:c r="E78" s="95" t="n">
        <x:v>45830</x:v>
      </x:c>
      <x:c r="F78" s="86" t="str">
        <x:v>Concluído</x:v>
      </x:c>
      <x:c r="G78" s="86" t="n">
        <x:v>8.5</x:v>
      </x:c>
      <x:c r="H78" s="93" t="n">
        <x:v>306.23</x:v>
      </x:c>
    </x:row>
    <x:row r="79">
      <x:c r="A79" s="85" t="n">
        <x:v>78</x:v>
      </x:c>
      <x:c r="B79" s="86" t="n">
        <x:v>82</x:v>
      </x:c>
      <x:c r="C79" s="86" t="n">
        <x:v>8</x:v>
      </x:c>
      <x:c r="D79" s="95" t="n">
        <x:v>45788</x:v>
      </x:c>
      <x:c r="E79" s="95" t="n">
        <x:v>45808</x:v>
      </x:c>
      <x:c r="F79" s="86" t="str">
        <x:v>Concluído</x:v>
      </x:c>
      <x:c r="G79" s="86" t="n">
        <x:v>8.7</x:v>
      </x:c>
      <x:c r="H79" s="93" t="n">
        <x:v>312.14</x:v>
      </x:c>
    </x:row>
    <x:row r="80">
      <x:c r="A80" s="85" t="n">
        <x:v>79</x:v>
      </x:c>
      <x:c r="B80" s="86" t="n">
        <x:v>416</x:v>
      </x:c>
      <x:c r="C80" s="86" t="n">
        <x:v>7</x:v>
      </x:c>
      <x:c r="D80" s="95" t="n">
        <x:v>45857</x:v>
      </x:c>
      <x:c r="E80" s="95" t="n">
        <x:v>45876</x:v>
      </x:c>
      <x:c r="F80" s="86" t="str">
        <x:v>Concluído</x:v>
      </x:c>
      <x:c r="G80" s="86" t="n">
        <x:v>7</x:v>
      </x:c>
      <x:c r="H80" s="93" t="n">
        <x:v>558.16</x:v>
      </x:c>
    </x:row>
    <x:row r="81">
      <x:c r="A81" s="85" t="n">
        <x:v>80</x:v>
      </x:c>
      <x:c r="B81" s="86" t="n">
        <x:v>4</x:v>
      </x:c>
      <x:c r="C81" s="86" t="n">
        <x:v>8</x:v>
      </x:c>
      <x:c r="D81" s="95" t="n">
        <x:v>45988</x:v>
      </x:c>
      <x:c r="E81" s="95"/>
      <x:c r="F81" s="86" t="str">
        <x:v>Não iniciado</x:v>
      </x:c>
      <x:c r="G81" s="86"/>
      <x:c r="H81" s="93" t="n">
        <x:v>128.26</x:v>
      </x:c>
    </x:row>
    <x:row r="82">
      <x:c r="A82" s="85" t="n">
        <x:v>81</x:v>
      </x:c>
      <x:c r="B82" s="86" t="n">
        <x:v>49</x:v>
      </x:c>
      <x:c r="C82" s="86" t="n">
        <x:v>4</x:v>
      </x:c>
      <x:c r="D82" s="95" t="n">
        <x:v>45391</x:v>
      </x:c>
      <x:c r="E82" s="95" t="n">
        <x:v>45410</x:v>
      </x:c>
      <x:c r="F82" s="86" t="str">
        <x:v>Concluído</x:v>
      </x:c>
      <x:c r="G82" s="86" t="n">
        <x:v>6.4</x:v>
      </x:c>
      <x:c r="H82" s="93" t="n">
        <x:v>541.71</x:v>
      </x:c>
    </x:row>
    <x:row r="83">
      <x:c r="A83" s="85" t="n">
        <x:v>82</x:v>
      </x:c>
      <x:c r="B83" s="86" t="n">
        <x:v>416</x:v>
      </x:c>
      <x:c r="C83" s="86" t="n">
        <x:v>5</x:v>
      </x:c>
      <x:c r="D83" s="95" t="n">
        <x:v>45848</x:v>
      </x:c>
      <x:c r="E83" s="95" t="n">
        <x:v>45850</x:v>
      </x:c>
      <x:c r="F83" s="86" t="str">
        <x:v>Concluído</x:v>
      </x:c>
      <x:c r="G83" s="86" t="n">
        <x:v>6.6</x:v>
      </x:c>
      <x:c r="H83" s="93" t="n">
        <x:v>814.67</x:v>
      </x:c>
    </x:row>
    <x:row r="84">
      <x:c r="A84" s="85" t="n">
        <x:v>83</x:v>
      </x:c>
      <x:c r="B84" s="86" t="n">
        <x:v>253</x:v>
      </x:c>
      <x:c r="C84" s="86" t="n">
        <x:v>1</x:v>
      </x:c>
      <x:c r="D84" s="95" t="n">
        <x:v>45436</x:v>
      </x:c>
      <x:c r="E84" s="95" t="n">
        <x:v>45447</x:v>
      </x:c>
      <x:c r="F84" s="86" t="str">
        <x:v>Concluído</x:v>
      </x:c>
      <x:c r="G84" s="86" t="n">
        <x:v>5.4</x:v>
      </x:c>
      <x:c r="H84" s="93" t="n">
        <x:v>699.26</x:v>
      </x:c>
    </x:row>
    <x:row r="85">
      <x:c r="A85" s="85" t="n">
        <x:v>84</x:v>
      </x:c>
      <x:c r="B85" s="86" t="n">
        <x:v>104</x:v>
      </x:c>
      <x:c r="C85" s="86" t="n">
        <x:v>6</x:v>
      </x:c>
      <x:c r="D85" s="95" t="n">
        <x:v>45945</x:v>
      </x:c>
      <x:c r="E85" s="95"/>
      <x:c r="F85" s="86" t="str">
        <x:v>Em andamento</x:v>
      </x:c>
      <x:c r="G85" s="86"/>
      <x:c r="H85" s="93" t="n">
        <x:v>599.09</x:v>
      </x:c>
    </x:row>
    <x:row r="86">
      <x:c r="A86" s="85" t="n">
        <x:v>85</x:v>
      </x:c>
      <x:c r="B86" s="86" t="n">
        <x:v>102</x:v>
      </x:c>
      <x:c r="C86" s="86" t="n">
        <x:v>4</x:v>
      </x:c>
      <x:c r="D86" s="95" t="n">
        <x:v>45440</x:v>
      </x:c>
      <x:c r="E86" s="95" t="n">
        <x:v>45440</x:v>
      </x:c>
      <x:c r="F86" s="86" t="str">
        <x:v>Concluído</x:v>
      </x:c>
      <x:c r="G86" s="86" t="n">
        <x:v>9.7</x:v>
      </x:c>
      <x:c r="H86" s="93" t="n">
        <x:v>385.35</x:v>
      </x:c>
    </x:row>
    <x:row r="87">
      <x:c r="A87" s="85" t="n">
        <x:v>86</x:v>
      </x:c>
      <x:c r="B87" s="86" t="n">
        <x:v>58</x:v>
      </x:c>
      <x:c r="C87" s="86" t="n">
        <x:v>10</x:v>
      </x:c>
      <x:c r="D87" s="95" t="n">
        <x:v>45888</x:v>
      </x:c>
      <x:c r="E87" s="95" t="n">
        <x:v>45899</x:v>
      </x:c>
      <x:c r="F87" s="86" t="str">
        <x:v>Concluído</x:v>
      </x:c>
      <x:c r="G87" s="86" t="n">
        <x:v>6.7</x:v>
      </x:c>
      <x:c r="H87" s="93" t="n">
        <x:v>824.87</x:v>
      </x:c>
    </x:row>
    <x:row r="88">
      <x:c r="A88" s="85" t="n">
        <x:v>87</x:v>
      </x:c>
      <x:c r="B88" s="86" t="n">
        <x:v>398</x:v>
      </x:c>
      <x:c r="C88" s="86" t="n">
        <x:v>5</x:v>
      </x:c>
      <x:c r="D88" s="95" t="n">
        <x:v>45724</x:v>
      </x:c>
      <x:c r="E88" s="95"/>
      <x:c r="F88" s="86" t="str">
        <x:v>Em andamento</x:v>
      </x:c>
      <x:c r="G88" s="86"/>
      <x:c r="H88" s="93" t="n">
        <x:v>293.63</x:v>
      </x:c>
    </x:row>
    <x:row r="89">
      <x:c r="A89" s="85" t="n">
        <x:v>88</x:v>
      </x:c>
      <x:c r="B89" s="86" t="n">
        <x:v>131</x:v>
      </x:c>
      <x:c r="C89" s="86" t="n">
        <x:v>1</x:v>
      </x:c>
      <x:c r="D89" s="95" t="n">
        <x:v>45525</x:v>
      </x:c>
      <x:c r="E89" s="95" t="n">
        <x:v>45539</x:v>
      </x:c>
      <x:c r="F89" s="86" t="str">
        <x:v>Concluído</x:v>
      </x:c>
      <x:c r="G89" s="86" t="n">
        <x:v>8.1</x:v>
      </x:c>
      <x:c r="H89" s="93" t="n">
        <x:v>290.72</x:v>
      </x:c>
    </x:row>
    <x:row r="90">
      <x:c r="A90" s="85" t="n">
        <x:v>89</x:v>
      </x:c>
      <x:c r="B90" s="86" t="n">
        <x:v>126</x:v>
      </x:c>
      <x:c r="C90" s="86" t="n">
        <x:v>6</x:v>
      </x:c>
      <x:c r="D90" s="95" t="n">
        <x:v>45868</x:v>
      </x:c>
      <x:c r="E90" s="95" t="n">
        <x:v>45882</x:v>
      </x:c>
      <x:c r="F90" s="86" t="str">
        <x:v>Concluído</x:v>
      </x:c>
      <x:c r="G90" s="86" t="n">
        <x:v>9.9</x:v>
      </x:c>
      <x:c r="H90" s="93" t="n">
        <x:v>379.34</x:v>
      </x:c>
    </x:row>
    <x:row r="91">
      <x:c r="A91" s="85" t="n">
        <x:v>90</x:v>
      </x:c>
      <x:c r="B91" s="86" t="n">
        <x:v>74</x:v>
      </x:c>
      <x:c r="C91" s="86" t="n">
        <x:v>9</x:v>
      </x:c>
      <x:c r="D91" s="95" t="n">
        <x:v>45866</x:v>
      </x:c>
      <x:c r="E91" s="95" t="n">
        <x:v>45884</x:v>
      </x:c>
      <x:c r="F91" s="86" t="str">
        <x:v>Concluído</x:v>
      </x:c>
      <x:c r="G91" s="86" t="n">
        <x:v>5.8</x:v>
      </x:c>
      <x:c r="H91" s="93" t="n">
        <x:v>837.02</x:v>
      </x:c>
    </x:row>
    <x:row r="92">
      <x:c r="A92" s="85" t="n">
        <x:v>91</x:v>
      </x:c>
      <x:c r="B92" s="86" t="n">
        <x:v>398</x:v>
      </x:c>
      <x:c r="C92" s="86" t="n">
        <x:v>4</x:v>
      </x:c>
      <x:c r="D92" s="95" t="n">
        <x:v>45925</x:v>
      </x:c>
      <x:c r="E92" s="95" t="n">
        <x:v>45941</x:v>
      </x:c>
      <x:c r="F92" s="86" t="str">
        <x:v>Concluído</x:v>
      </x:c>
      <x:c r="G92" s="86" t="n">
        <x:v>7.8</x:v>
      </x:c>
      <x:c r="H92" s="93" t="n">
        <x:v>489.46</x:v>
      </x:c>
    </x:row>
    <x:row r="93">
      <x:c r="A93" s="85" t="n">
        <x:v>92</x:v>
      </x:c>
      <x:c r="B93" s="86" t="n">
        <x:v>252</x:v>
      </x:c>
      <x:c r="C93" s="86" t="n">
        <x:v>10</x:v>
      </x:c>
      <x:c r="D93" s="95" t="n">
        <x:v>45986</x:v>
      </x:c>
      <x:c r="E93" s="95" t="n">
        <x:v>45993</x:v>
      </x:c>
      <x:c r="F93" s="86" t="str">
        <x:v>Concluído</x:v>
      </x:c>
      <x:c r="G93" s="86" t="n">
        <x:v>6.3</x:v>
      </x:c>
      <x:c r="H93" s="93" t="n">
        <x:v>636.35</x:v>
      </x:c>
    </x:row>
    <x:row r="94">
      <x:c r="A94" s="85" t="n">
        <x:v>93</x:v>
      </x:c>
      <x:c r="B94" s="86" t="n">
        <x:v>246</x:v>
      </x:c>
      <x:c r="C94" s="86" t="n">
        <x:v>9</x:v>
      </x:c>
      <x:c r="D94" s="95" t="n">
        <x:v>46017</x:v>
      </x:c>
      <x:c r="E94" s="95" t="n">
        <x:v>46024</x:v>
      </x:c>
      <x:c r="F94" s="86" t="str">
        <x:v>Concluído</x:v>
      </x:c>
      <x:c r="G94" s="86" t="n">
        <x:v>6</x:v>
      </x:c>
      <x:c r="H94" s="93" t="n">
        <x:v>135.6</x:v>
      </x:c>
    </x:row>
    <x:row r="95">
      <x:c r="A95" s="85" t="n">
        <x:v>94</x:v>
      </x:c>
      <x:c r="B95" s="86" t="n">
        <x:v>137</x:v>
      </x:c>
      <x:c r="C95" s="86" t="n">
        <x:v>5</x:v>
      </x:c>
      <x:c r="D95" s="95" t="n">
        <x:v>45974</x:v>
      </x:c>
      <x:c r="E95" s="95" t="n">
        <x:v>45982</x:v>
      </x:c>
      <x:c r="F95" s="86" t="str">
        <x:v>Reprovado</x:v>
      </x:c>
      <x:c r="G95" s="86" t="n">
        <x:v>6.9</x:v>
      </x:c>
      <x:c r="H95" s="93" t="n">
        <x:v>226.62</x:v>
      </x:c>
    </x:row>
    <x:row r="96">
      <x:c r="A96" s="85" t="n">
        <x:v>95</x:v>
      </x:c>
      <x:c r="B96" s="86" t="n">
        <x:v>206</x:v>
      </x:c>
      <x:c r="C96" s="86" t="n">
        <x:v>1</x:v>
      </x:c>
      <x:c r="D96" s="95" t="n">
        <x:v>45561</x:v>
      </x:c>
      <x:c r="E96" s="95" t="n">
        <x:v>45575</x:v>
      </x:c>
      <x:c r="F96" s="86" t="str">
        <x:v>Concluído</x:v>
      </x:c>
      <x:c r="G96" s="86" t="n">
        <x:v>5.1</x:v>
      </x:c>
      <x:c r="H96" s="93" t="n">
        <x:v>182.6</x:v>
      </x:c>
    </x:row>
    <x:row r="97">
      <x:c r="A97" s="85" t="n">
        <x:v>96</x:v>
      </x:c>
      <x:c r="B97" s="86" t="n">
        <x:v>268</x:v>
      </x:c>
      <x:c r="C97" s="86" t="n">
        <x:v>6</x:v>
      </x:c>
      <x:c r="D97" s="95" t="n">
        <x:v>45964</x:v>
      </x:c>
      <x:c r="E97" s="95" t="n">
        <x:v>45976</x:v>
      </x:c>
      <x:c r="F97" s="86" t="str">
        <x:v>Concluído</x:v>
      </x:c>
      <x:c r="G97" s="86" t="n">
        <x:v>9.3</x:v>
      </x:c>
      <x:c r="H97" s="93" t="n">
        <x:v>424.94</x:v>
      </x:c>
    </x:row>
    <x:row r="98">
      <x:c r="A98" s="85" t="n">
        <x:v>97</x:v>
      </x:c>
      <x:c r="B98" s="86" t="n">
        <x:v>147</x:v>
      </x:c>
      <x:c r="C98" s="86" t="n">
        <x:v>3</x:v>
      </x:c>
      <x:c r="D98" s="95" t="n">
        <x:v>45964</x:v>
      </x:c>
      <x:c r="E98" s="95" t="n">
        <x:v>45977</x:v>
      </x:c>
      <x:c r="F98" s="86" t="str">
        <x:v>Concluído</x:v>
      </x:c>
      <x:c r="G98" s="86" t="n">
        <x:v>7.3</x:v>
      </x:c>
      <x:c r="H98" s="93" t="n">
        <x:v>566.21</x:v>
      </x:c>
    </x:row>
    <x:row r="99">
      <x:c r="A99" s="85" t="n">
        <x:v>98</x:v>
      </x:c>
      <x:c r="B99" s="86" t="n">
        <x:v>407</x:v>
      </x:c>
      <x:c r="C99" s="86" t="n">
        <x:v>2</x:v>
      </x:c>
      <x:c r="D99" s="95" t="n">
        <x:v>45730</x:v>
      </x:c>
      <x:c r="E99" s="95" t="n">
        <x:v>45734</x:v>
      </x:c>
      <x:c r="F99" s="86" t="str">
        <x:v>Concluído</x:v>
      </x:c>
      <x:c r="G99" s="86" t="n">
        <x:v>8.7</x:v>
      </x:c>
      <x:c r="H99" s="93" t="n">
        <x:v>184.17</x:v>
      </x:c>
    </x:row>
    <x:row r="100">
      <x:c r="A100" s="85" t="n">
        <x:v>99</x:v>
      </x:c>
      <x:c r="B100" s="86" t="n">
        <x:v>255</x:v>
      </x:c>
      <x:c r="C100" s="86" t="n">
        <x:v>1</x:v>
      </x:c>
      <x:c r="D100" s="95" t="n">
        <x:v>45719</x:v>
      </x:c>
      <x:c r="E100" s="95" t="n">
        <x:v>45738</x:v>
      </x:c>
      <x:c r="F100" s="86" t="str">
        <x:v>Concluído</x:v>
      </x:c>
      <x:c r="G100" s="86" t="n">
        <x:v>9.4</x:v>
      </x:c>
      <x:c r="H100" s="93" t="n">
        <x:v>405.96</x:v>
      </x:c>
    </x:row>
    <x:row r="101">
      <x:c r="A101" s="85" t="n">
        <x:v>100</x:v>
      </x:c>
      <x:c r="B101" s="86" t="n">
        <x:v>6</x:v>
      </x:c>
      <x:c r="C101" s="86" t="n">
        <x:v>8</x:v>
      </x:c>
      <x:c r="D101" s="95" t="n">
        <x:v>45718</x:v>
      </x:c>
      <x:c r="E101" s="95" t="n">
        <x:v>45728</x:v>
      </x:c>
      <x:c r="F101" s="86" t="str">
        <x:v>Concluído</x:v>
      </x:c>
      <x:c r="G101" s="86" t="n">
        <x:v>9.7</x:v>
      </x:c>
      <x:c r="H101" s="93" t="n">
        <x:v>624.04</x:v>
      </x:c>
    </x:row>
    <x:row r="102">
      <x:c r="A102" s="85" t="n">
        <x:v>101</x:v>
      </x:c>
      <x:c r="B102" s="86" t="n">
        <x:v>90</x:v>
      </x:c>
      <x:c r="C102" s="86" t="n">
        <x:v>7</x:v>
      </x:c>
      <x:c r="D102" s="95" t="n">
        <x:v>45583</x:v>
      </x:c>
      <x:c r="E102" s="95" t="n">
        <x:v>45592</x:v>
      </x:c>
      <x:c r="F102" s="86" t="str">
        <x:v>Concluído</x:v>
      </x:c>
      <x:c r="G102" s="86" t="n">
        <x:v>6.5</x:v>
      </x:c>
      <x:c r="H102" s="93" t="n">
        <x:v>544.86</x:v>
      </x:c>
    </x:row>
    <x:row r="103">
      <x:c r="A103" s="85" t="n">
        <x:v>102</x:v>
      </x:c>
      <x:c r="B103" s="86" t="n">
        <x:v>278</x:v>
      </x:c>
      <x:c r="C103" s="86" t="n">
        <x:v>1</x:v>
      </x:c>
      <x:c r="D103" s="95" t="n">
        <x:v>45751</x:v>
      </x:c>
      <x:c r="E103" s="95"/>
      <x:c r="F103" s="86" t="str">
        <x:v>Não iniciado</x:v>
      </x:c>
      <x:c r="G103" s="86"/>
      <x:c r="H103" s="93" t="n">
        <x:v>539.68</x:v>
      </x:c>
    </x:row>
    <x:row r="104">
      <x:c r="A104" s="85" t="n">
        <x:v>103</x:v>
      </x:c>
      <x:c r="B104" s="86" t="n">
        <x:v>277</x:v>
      </x:c>
      <x:c r="C104" s="86" t="n">
        <x:v>5</x:v>
      </x:c>
      <x:c r="D104" s="95" t="n">
        <x:v>45340</x:v>
      </x:c>
      <x:c r="E104" s="95" t="n">
        <x:v>45342</x:v>
      </x:c>
      <x:c r="F104" s="86" t="str">
        <x:v>Reprovado</x:v>
      </x:c>
      <x:c r="G104" s="86" t="n">
        <x:v>5.5</x:v>
      </x:c>
      <x:c r="H104" s="93" t="n">
        <x:v>400.67</x:v>
      </x:c>
    </x:row>
    <x:row r="105">
      <x:c r="A105" s="85" t="n">
        <x:v>104</x:v>
      </x:c>
      <x:c r="B105" s="86" t="n">
        <x:v>382</x:v>
      </x:c>
      <x:c r="C105" s="86" t="n">
        <x:v>1</x:v>
      </x:c>
      <x:c r="D105" s="95" t="n">
        <x:v>46016</x:v>
      </x:c>
      <x:c r="E105" s="95" t="n">
        <x:v>46022</x:v>
      </x:c>
      <x:c r="F105" s="86" t="str">
        <x:v>Concluído</x:v>
      </x:c>
      <x:c r="G105" s="86" t="n">
        <x:v>6.8</x:v>
      </x:c>
      <x:c r="H105" s="93" t="n">
        <x:v>547.74</x:v>
      </x:c>
    </x:row>
    <x:row r="106">
      <x:c r="A106" s="85" t="n">
        <x:v>105</x:v>
      </x:c>
      <x:c r="B106" s="86" t="n">
        <x:v>332</x:v>
      </x:c>
      <x:c r="C106" s="86" t="n">
        <x:v>5</x:v>
      </x:c>
      <x:c r="D106" s="95" t="n">
        <x:v>45817</x:v>
      </x:c>
      <x:c r="E106" s="95" t="n">
        <x:v>45825</x:v>
      </x:c>
      <x:c r="F106" s="86" t="str">
        <x:v>Concluído</x:v>
      </x:c>
      <x:c r="G106" s="86" t="n">
        <x:v>7.7</x:v>
      </x:c>
      <x:c r="H106" s="93" t="n">
        <x:v>726.83</x:v>
      </x:c>
    </x:row>
    <x:row r="107">
      <x:c r="A107" s="85" t="n">
        <x:v>106</x:v>
      </x:c>
      <x:c r="B107" s="86" t="n">
        <x:v>242</x:v>
      </x:c>
      <x:c r="C107" s="86" t="n">
        <x:v>6</x:v>
      </x:c>
      <x:c r="D107" s="95" t="n">
        <x:v>45570</x:v>
      </x:c>
      <x:c r="E107" s="95" t="n">
        <x:v>45585</x:v>
      </x:c>
      <x:c r="F107" s="86" t="str">
        <x:v>Concluído</x:v>
      </x:c>
      <x:c r="G107" s="86" t="n">
        <x:v>9.1</x:v>
      </x:c>
      <x:c r="H107" s="93" t="n">
        <x:v>265.45</x:v>
      </x:c>
    </x:row>
    <x:row r="108">
      <x:c r="A108" s="85" t="n">
        <x:v>107</x:v>
      </x:c>
      <x:c r="B108" s="86" t="n">
        <x:v>341</x:v>
      </x:c>
      <x:c r="C108" s="86" t="n">
        <x:v>5</x:v>
      </x:c>
      <x:c r="D108" s="95" t="n">
        <x:v>45705</x:v>
      </x:c>
      <x:c r="E108" s="95" t="n">
        <x:v>45707</x:v>
      </x:c>
      <x:c r="F108" s="86" t="str">
        <x:v>Reprovado</x:v>
      </x:c>
      <x:c r="G108" s="86" t="n">
        <x:v>5.2</x:v>
      </x:c>
      <x:c r="H108" s="93" t="n">
        <x:v>632.39</x:v>
      </x:c>
    </x:row>
    <x:row r="109">
      <x:c r="A109" s="85" t="n">
        <x:v>108</x:v>
      </x:c>
      <x:c r="B109" s="86" t="n">
        <x:v>356</x:v>
      </x:c>
      <x:c r="C109" s="86" t="n">
        <x:v>9</x:v>
      </x:c>
      <x:c r="D109" s="95" t="n">
        <x:v>46013</x:v>
      </x:c>
      <x:c r="E109" s="95" t="n">
        <x:v>46022</x:v>
      </x:c>
      <x:c r="F109" s="86" t="str">
        <x:v>Reprovado</x:v>
      </x:c>
      <x:c r="G109" s="86" t="n">
        <x:v>8.6</x:v>
      </x:c>
      <x:c r="H109" s="93" t="n">
        <x:v>447.18</x:v>
      </x:c>
    </x:row>
    <x:row r="110">
      <x:c r="A110" s="85" t="n">
        <x:v>109</x:v>
      </x:c>
      <x:c r="B110" s="86" t="n">
        <x:v>182</x:v>
      </x:c>
      <x:c r="C110" s="86" t="n">
        <x:v>7</x:v>
      </x:c>
      <x:c r="D110" s="95" t="n">
        <x:v>45711</x:v>
      </x:c>
      <x:c r="E110" s="95"/>
      <x:c r="F110" s="86" t="str">
        <x:v>Em andamento</x:v>
      </x:c>
      <x:c r="G110" s="86"/>
      <x:c r="H110" s="93" t="n">
        <x:v>776.17</x:v>
      </x:c>
    </x:row>
    <x:row r="111">
      <x:c r="A111" s="85" t="n">
        <x:v>110</x:v>
      </x:c>
      <x:c r="B111" s="86" t="n">
        <x:v>333</x:v>
      </x:c>
      <x:c r="C111" s="86" t="n">
        <x:v>7</x:v>
      </x:c>
      <x:c r="D111" s="95" t="n">
        <x:v>45321</x:v>
      </x:c>
      <x:c r="E111" s="95" t="n">
        <x:v>45340</x:v>
      </x:c>
      <x:c r="F111" s="86" t="str">
        <x:v>Concluído</x:v>
      </x:c>
      <x:c r="G111" s="86" t="n">
        <x:v>6.1</x:v>
      </x:c>
      <x:c r="H111" s="93" t="n">
        <x:v>543</x:v>
      </x:c>
    </x:row>
    <x:row r="112">
      <x:c r="A112" s="85" t="n">
        <x:v>111</x:v>
      </x:c>
      <x:c r="B112" s="86" t="n">
        <x:v>33</x:v>
      </x:c>
      <x:c r="C112" s="86" t="n">
        <x:v>5</x:v>
      </x:c>
      <x:c r="D112" s="95" t="n">
        <x:v>45729</x:v>
      </x:c>
      <x:c r="E112" s="95" t="n">
        <x:v>45734</x:v>
      </x:c>
      <x:c r="F112" s="86" t="str">
        <x:v>Concluído</x:v>
      </x:c>
      <x:c r="G112" s="86" t="n">
        <x:v>5.6</x:v>
      </x:c>
      <x:c r="H112" s="93" t="n">
        <x:v>791.87</x:v>
      </x:c>
    </x:row>
    <x:row r="113">
      <x:c r="A113" s="85" t="n">
        <x:v>112</x:v>
      </x:c>
      <x:c r="B113" s="86" t="n">
        <x:v>214</x:v>
      </x:c>
      <x:c r="C113" s="86" t="n">
        <x:v>6</x:v>
      </x:c>
      <x:c r="D113" s="95" t="n">
        <x:v>45987</x:v>
      </x:c>
      <x:c r="E113" s="95" t="n">
        <x:v>45995</x:v>
      </x:c>
      <x:c r="F113" s="86" t="str">
        <x:v>Concluído</x:v>
      </x:c>
      <x:c r="G113" s="86" t="n">
        <x:v>6.6</x:v>
      </x:c>
      <x:c r="H113" s="93" t="n">
        <x:v>160.82</x:v>
      </x:c>
    </x:row>
    <x:row r="114">
      <x:c r="A114" s="85" t="n">
        <x:v>113</x:v>
      </x:c>
      <x:c r="B114" s="86" t="n">
        <x:v>113</x:v>
      </x:c>
      <x:c r="C114" s="86" t="n">
        <x:v>8</x:v>
      </x:c>
      <x:c r="D114" s="95" t="n">
        <x:v>45807</x:v>
      </x:c>
      <x:c r="E114" s="95" t="n">
        <x:v>45814</x:v>
      </x:c>
      <x:c r="F114" s="86" t="str">
        <x:v>Reprovado</x:v>
      </x:c>
      <x:c r="G114" s="86" t="n">
        <x:v>5.9</x:v>
      </x:c>
      <x:c r="H114" s="93" t="n">
        <x:v>83.24</x:v>
      </x:c>
    </x:row>
    <x:row r="115">
      <x:c r="A115" s="85" t="n">
        <x:v>114</x:v>
      </x:c>
      <x:c r="B115" s="86" t="n">
        <x:v>382</x:v>
      </x:c>
      <x:c r="C115" s="86" t="n">
        <x:v>9</x:v>
      </x:c>
      <x:c r="D115" s="95" t="n">
        <x:v>45833</x:v>
      </x:c>
      <x:c r="E115" s="95" t="n">
        <x:v>45839</x:v>
      </x:c>
      <x:c r="F115" s="86" t="str">
        <x:v>Concluído</x:v>
      </x:c>
      <x:c r="G115" s="86" t="n">
        <x:v>6.4</x:v>
      </x:c>
      <x:c r="H115" s="93" t="n">
        <x:v>819.07</x:v>
      </x:c>
    </x:row>
    <x:row r="116">
      <x:c r="A116" s="85" t="n">
        <x:v>115</x:v>
      </x:c>
      <x:c r="B116" s="86" t="n">
        <x:v>298</x:v>
      </x:c>
      <x:c r="C116" s="86" t="n">
        <x:v>9</x:v>
      </x:c>
      <x:c r="D116" s="95" t="n">
        <x:v>45707</x:v>
      </x:c>
      <x:c r="E116" s="95"/>
      <x:c r="F116" s="86" t="str">
        <x:v>Em andamento</x:v>
      </x:c>
      <x:c r="G116" s="86"/>
      <x:c r="H116" s="93" t="n">
        <x:v>539.07</x:v>
      </x:c>
    </x:row>
    <x:row r="117">
      <x:c r="A117" s="85" t="n">
        <x:v>116</x:v>
      </x:c>
      <x:c r="B117" s="86" t="n">
        <x:v>316</x:v>
      </x:c>
      <x:c r="C117" s="86" t="n">
        <x:v>6</x:v>
      </x:c>
      <x:c r="D117" s="95" t="n">
        <x:v>45548</x:v>
      </x:c>
      <x:c r="E117" s="95" t="n">
        <x:v>45557</x:v>
      </x:c>
      <x:c r="F117" s="86" t="str">
        <x:v>Concluído</x:v>
      </x:c>
      <x:c r="G117" s="86" t="n">
        <x:v>7.9</x:v>
      </x:c>
      <x:c r="H117" s="93" t="n">
        <x:v>93.54</x:v>
      </x:c>
    </x:row>
    <x:row r="118">
      <x:c r="A118" s="85" t="n">
        <x:v>117</x:v>
      </x:c>
      <x:c r="B118" s="86" t="n">
        <x:v>180</x:v>
      </x:c>
      <x:c r="C118" s="86" t="n">
        <x:v>9</x:v>
      </x:c>
      <x:c r="D118" s="95" t="n">
        <x:v>45578</x:v>
      </x:c>
      <x:c r="E118" s="95"/>
      <x:c r="F118" s="86" t="str">
        <x:v>Não iniciado</x:v>
      </x:c>
      <x:c r="G118" s="86"/>
      <x:c r="H118" s="93" t="n">
        <x:v>771.24</x:v>
      </x:c>
    </x:row>
    <x:row r="119">
      <x:c r="A119" s="85" t="n">
        <x:v>118</x:v>
      </x:c>
      <x:c r="B119" s="86" t="n">
        <x:v>269</x:v>
      </x:c>
      <x:c r="C119" s="86" t="n">
        <x:v>6</x:v>
      </x:c>
      <x:c r="D119" s="95" t="n">
        <x:v>45356</x:v>
      </x:c>
      <x:c r="E119" s="95" t="n">
        <x:v>45372</x:v>
      </x:c>
      <x:c r="F119" s="86" t="str">
        <x:v>Concluído</x:v>
      </x:c>
      <x:c r="G119" s="86" t="n">
        <x:v>6.2</x:v>
      </x:c>
      <x:c r="H119" s="93" t="n">
        <x:v>460.94</x:v>
      </x:c>
    </x:row>
    <x:row r="120">
      <x:c r="A120" s="85" t="n">
        <x:v>119</x:v>
      </x:c>
      <x:c r="B120" s="86" t="n">
        <x:v>135</x:v>
      </x:c>
      <x:c r="C120" s="86" t="n">
        <x:v>3</x:v>
      </x:c>
      <x:c r="D120" s="95" t="n">
        <x:v>45913</x:v>
      </x:c>
      <x:c r="E120" s="95"/>
      <x:c r="F120" s="86" t="str">
        <x:v>Em andamento</x:v>
      </x:c>
      <x:c r="G120" s="86"/>
      <x:c r="H120" s="93" t="n">
        <x:v>393.3</x:v>
      </x:c>
    </x:row>
    <x:row r="121">
      <x:c r="A121" s="85" t="n">
        <x:v>120</x:v>
      </x:c>
      <x:c r="B121" s="86" t="n">
        <x:v>273</x:v>
      </x:c>
      <x:c r="C121" s="86" t="n">
        <x:v>2</x:v>
      </x:c>
      <x:c r="D121" s="95" t="n">
        <x:v>45901</x:v>
      </x:c>
      <x:c r="E121" s="95" t="n">
        <x:v>45910</x:v>
      </x:c>
      <x:c r="F121" s="86" t="str">
        <x:v>Concluído</x:v>
      </x:c>
      <x:c r="G121" s="86" t="n">
        <x:v>5.1</x:v>
      </x:c>
      <x:c r="H121" s="93" t="n">
        <x:v>191.16</x:v>
      </x:c>
    </x:row>
    <x:row r="122">
      <x:c r="A122" s="85" t="n">
        <x:v>121</x:v>
      </x:c>
      <x:c r="B122" s="86" t="n">
        <x:v>335</x:v>
      </x:c>
      <x:c r="C122" s="86" t="n">
        <x:v>9</x:v>
      </x:c>
      <x:c r="D122" s="95" t="n">
        <x:v>45974</x:v>
      </x:c>
      <x:c r="E122" s="95" t="n">
        <x:v>45992</x:v>
      </x:c>
      <x:c r="F122" s="86" t="str">
        <x:v>Concluído</x:v>
      </x:c>
      <x:c r="G122" s="86" t="n">
        <x:v>5.2</x:v>
      </x:c>
      <x:c r="H122" s="93" t="n">
        <x:v>555.69</x:v>
      </x:c>
    </x:row>
    <x:row r="123">
      <x:c r="A123" s="85" t="n">
        <x:v>122</x:v>
      </x:c>
      <x:c r="B123" s="86" t="n">
        <x:v>253</x:v>
      </x:c>
      <x:c r="C123" s="86" t="n">
        <x:v>1</x:v>
      </x:c>
      <x:c r="D123" s="95" t="n">
        <x:v>45885</x:v>
      </x:c>
      <x:c r="E123" s="95" t="n">
        <x:v>45886</x:v>
      </x:c>
      <x:c r="F123" s="86" t="str">
        <x:v>Concluído</x:v>
      </x:c>
      <x:c r="G123" s="86" t="n">
        <x:v>5.3</x:v>
      </x:c>
      <x:c r="H123" s="93" t="n">
        <x:v>708.82</x:v>
      </x:c>
    </x:row>
    <x:row r="124">
      <x:c r="A124" s="85" t="n">
        <x:v>123</x:v>
      </x:c>
      <x:c r="B124" s="86" t="n">
        <x:v>167</x:v>
      </x:c>
      <x:c r="C124" s="86" t="n">
        <x:v>10</x:v>
      </x:c>
      <x:c r="D124" s="95" t="n">
        <x:v>45957</x:v>
      </x:c>
      <x:c r="E124" s="95" t="n">
        <x:v>45959</x:v>
      </x:c>
      <x:c r="F124" s="86" t="str">
        <x:v>Concluído</x:v>
      </x:c>
      <x:c r="G124" s="86" t="n">
        <x:v>5.7</x:v>
      </x:c>
      <x:c r="H124" s="93" t="n">
        <x:v>344.61</x:v>
      </x:c>
    </x:row>
    <x:row r="125">
      <x:c r="A125" s="85" t="n">
        <x:v>124</x:v>
      </x:c>
      <x:c r="B125" s="86" t="n">
        <x:v>172</x:v>
      </x:c>
      <x:c r="C125" s="86" t="n">
        <x:v>2</x:v>
      </x:c>
      <x:c r="D125" s="95" t="n">
        <x:v>45375</x:v>
      </x:c>
      <x:c r="E125" s="95" t="n">
        <x:v>45375</x:v>
      </x:c>
      <x:c r="F125" s="86" t="str">
        <x:v>Concluído</x:v>
      </x:c>
      <x:c r="G125" s="86" t="n">
        <x:v>9.9</x:v>
      </x:c>
      <x:c r="H125" s="93" t="n">
        <x:v>757.57</x:v>
      </x:c>
    </x:row>
    <x:row r="126">
      <x:c r="A126" s="85" t="n">
        <x:v>125</x:v>
      </x:c>
      <x:c r="B126" s="86" t="n">
        <x:v>105</x:v>
      </x:c>
      <x:c r="C126" s="86" t="n">
        <x:v>2</x:v>
      </x:c>
      <x:c r="D126" s="95" t="n">
        <x:v>45773</x:v>
      </x:c>
      <x:c r="E126" s="95" t="n">
        <x:v>45778</x:v>
      </x:c>
      <x:c r="F126" s="86" t="str">
        <x:v>Concluído</x:v>
      </x:c>
      <x:c r="G126" s="86" t="n">
        <x:v>9.3</x:v>
      </x:c>
      <x:c r="H126" s="93" t="n">
        <x:v>813.09</x:v>
      </x:c>
    </x:row>
    <x:row r="127">
      <x:c r="A127" s="85" t="n">
        <x:v>126</x:v>
      </x:c>
      <x:c r="B127" s="86" t="n">
        <x:v>205</x:v>
      </x:c>
      <x:c r="C127" s="86" t="n">
        <x:v>4</x:v>
      </x:c>
      <x:c r="D127" s="95" t="n">
        <x:v>45974</x:v>
      </x:c>
      <x:c r="E127" s="95" t="n">
        <x:v>45982</x:v>
      </x:c>
      <x:c r="F127" s="86" t="str">
        <x:v>Concluído</x:v>
      </x:c>
      <x:c r="G127" s="86" t="n">
        <x:v>5.1</x:v>
      </x:c>
      <x:c r="H127" s="93" t="n">
        <x:v>364.85</x:v>
      </x:c>
    </x:row>
    <x:row r="128">
      <x:c r="A128" s="85" t="n">
        <x:v>127</x:v>
      </x:c>
      <x:c r="B128" s="86" t="n">
        <x:v>255</x:v>
      </x:c>
      <x:c r="C128" s="86" t="n">
        <x:v>2</x:v>
      </x:c>
      <x:c r="D128" s="95" t="n">
        <x:v>45816</x:v>
      </x:c>
      <x:c r="E128" s="95" t="n">
        <x:v>45818</x:v>
      </x:c>
      <x:c r="F128" s="86" t="str">
        <x:v>Concluído</x:v>
      </x:c>
      <x:c r="G128" s="86" t="n">
        <x:v>9.8</x:v>
      </x:c>
      <x:c r="H128" s="93" t="n">
        <x:v>837.15</x:v>
      </x:c>
    </x:row>
    <x:row r="129">
      <x:c r="A129" s="85" t="n">
        <x:v>128</x:v>
      </x:c>
      <x:c r="B129" s="86" t="n">
        <x:v>99</x:v>
      </x:c>
      <x:c r="C129" s="86" t="n">
        <x:v>2</x:v>
      </x:c>
      <x:c r="D129" s="95" t="n">
        <x:v>45707</x:v>
      </x:c>
      <x:c r="E129" s="95" t="n">
        <x:v>45717</x:v>
      </x:c>
      <x:c r="F129" s="86" t="str">
        <x:v>Reprovado</x:v>
      </x:c>
      <x:c r="G129" s="86" t="n">
        <x:v>9</x:v>
      </x:c>
      <x:c r="H129" s="93" t="n">
        <x:v>591.83</x:v>
      </x:c>
    </x:row>
    <x:row r="130">
      <x:c r="A130" s="85" t="n">
        <x:v>129</x:v>
      </x:c>
      <x:c r="B130" s="86" t="n">
        <x:v>269</x:v>
      </x:c>
      <x:c r="C130" s="86" t="n">
        <x:v>9</x:v>
      </x:c>
      <x:c r="D130" s="95" t="n">
        <x:v>45854</x:v>
      </x:c>
      <x:c r="E130" s="95"/>
      <x:c r="F130" s="86" t="str">
        <x:v>Em andamento</x:v>
      </x:c>
      <x:c r="G130" s="86"/>
      <x:c r="H130" s="93" t="n">
        <x:v>140.3</x:v>
      </x:c>
    </x:row>
    <x:row r="131">
      <x:c r="A131" s="85" t="n">
        <x:v>130</x:v>
      </x:c>
      <x:c r="B131" s="86" t="n">
        <x:v>68</x:v>
      </x:c>
      <x:c r="C131" s="86" t="n">
        <x:v>9</x:v>
      </x:c>
      <x:c r="D131" s="95" t="n">
        <x:v>45775</x:v>
      </x:c>
      <x:c r="E131" s="95" t="n">
        <x:v>45779</x:v>
      </x:c>
      <x:c r="F131" s="86" t="str">
        <x:v>Concluído</x:v>
      </x:c>
      <x:c r="G131" s="86" t="n">
        <x:v>9.8</x:v>
      </x:c>
      <x:c r="H131" s="93" t="n">
        <x:v>99.08</x:v>
      </x:c>
    </x:row>
    <x:row r="132">
      <x:c r="A132" s="85" t="n">
        <x:v>131</x:v>
      </x:c>
      <x:c r="B132" s="86" t="n">
        <x:v>331</x:v>
      </x:c>
      <x:c r="C132" s="86" t="n">
        <x:v>4</x:v>
      </x:c>
      <x:c r="D132" s="95" t="n">
        <x:v>45613</x:v>
      </x:c>
      <x:c r="E132" s="95" t="n">
        <x:v>45620</x:v>
      </x:c>
      <x:c r="F132" s="86" t="str">
        <x:v>Concluído</x:v>
      </x:c>
      <x:c r="G132" s="86" t="n">
        <x:v>9</x:v>
      </x:c>
      <x:c r="H132" s="93" t="n">
        <x:v>385.09</x:v>
      </x:c>
    </x:row>
    <x:row r="133">
      <x:c r="A133" s="85" t="n">
        <x:v>132</x:v>
      </x:c>
      <x:c r="B133" s="86" t="n">
        <x:v>18</x:v>
      </x:c>
      <x:c r="C133" s="86" t="n">
        <x:v>5</x:v>
      </x:c>
      <x:c r="D133" s="95" t="n">
        <x:v>45869</x:v>
      </x:c>
      <x:c r="E133" s="95"/>
      <x:c r="F133" s="86" t="str">
        <x:v>Em andamento</x:v>
      </x:c>
      <x:c r="G133" s="86"/>
      <x:c r="H133" s="93" t="n">
        <x:v>754.98</x:v>
      </x:c>
    </x:row>
    <x:row r="134">
      <x:c r="A134" s="85" t="n">
        <x:v>133</x:v>
      </x:c>
      <x:c r="B134" s="86" t="n">
        <x:v>255</x:v>
      </x:c>
      <x:c r="C134" s="86" t="n">
        <x:v>10</x:v>
      </x:c>
      <x:c r="D134" s="95" t="n">
        <x:v>45554</x:v>
      </x:c>
      <x:c r="E134" s="95" t="n">
        <x:v>45565</x:v>
      </x:c>
      <x:c r="F134" s="86" t="str">
        <x:v>Concluído</x:v>
      </x:c>
      <x:c r="G134" s="86" t="n">
        <x:v>5.7</x:v>
      </x:c>
      <x:c r="H134" s="93" t="n">
        <x:v>687.29</x:v>
      </x:c>
    </x:row>
    <x:row r="135">
      <x:c r="A135" s="85" t="n">
        <x:v>134</x:v>
      </x:c>
      <x:c r="B135" s="86" t="n">
        <x:v>281</x:v>
      </x:c>
      <x:c r="C135" s="86" t="n">
        <x:v>10</x:v>
      </x:c>
      <x:c r="D135" s="95" t="n">
        <x:v>46014</x:v>
      </x:c>
      <x:c r="E135" s="95" t="n">
        <x:v>46022</x:v>
      </x:c>
      <x:c r="F135" s="86" t="str">
        <x:v>Concluído</x:v>
      </x:c>
      <x:c r="G135" s="86" t="n">
        <x:v>7.9</x:v>
      </x:c>
      <x:c r="H135" s="93" t="n">
        <x:v>380.24</x:v>
      </x:c>
    </x:row>
    <x:row r="136">
      <x:c r="A136" s="85" t="n">
        <x:v>135</x:v>
      </x:c>
      <x:c r="B136" s="86" t="n">
        <x:v>144</x:v>
      </x:c>
      <x:c r="C136" s="86" t="n">
        <x:v>6</x:v>
      </x:c>
      <x:c r="D136" s="95" t="n">
        <x:v>45961</x:v>
      </x:c>
      <x:c r="E136" s="95" t="n">
        <x:v>45977</x:v>
      </x:c>
      <x:c r="F136" s="86" t="str">
        <x:v>Concluído</x:v>
      </x:c>
      <x:c r="G136" s="86" t="n">
        <x:v>7.7</x:v>
      </x:c>
      <x:c r="H136" s="93" t="n">
        <x:v>752.58</x:v>
      </x:c>
    </x:row>
    <x:row r="137">
      <x:c r="A137" s="85" t="n">
        <x:v>136</x:v>
      </x:c>
      <x:c r="B137" s="86" t="n">
        <x:v>8</x:v>
      </x:c>
      <x:c r="C137" s="86" t="n">
        <x:v>10</x:v>
      </x:c>
      <x:c r="D137" s="95" t="n">
        <x:v>45899</x:v>
      </x:c>
      <x:c r="E137" s="95" t="n">
        <x:v>45914</x:v>
      </x:c>
      <x:c r="F137" s="86" t="str">
        <x:v>Concluído</x:v>
      </x:c>
      <x:c r="G137" s="86" t="n">
        <x:v>5.6</x:v>
      </x:c>
      <x:c r="H137" s="93" t="n">
        <x:v>745.29</x:v>
      </x:c>
    </x:row>
    <x:row r="138">
      <x:c r="A138" s="85" t="n">
        <x:v>137</x:v>
      </x:c>
      <x:c r="B138" s="86" t="n">
        <x:v>97</x:v>
      </x:c>
      <x:c r="C138" s="86" t="n">
        <x:v>5</x:v>
      </x:c>
      <x:c r="D138" s="95" t="n">
        <x:v>45988</x:v>
      </x:c>
      <x:c r="E138" s="95" t="n">
        <x:v>45994</x:v>
      </x:c>
      <x:c r="F138" s="86" t="str">
        <x:v>Concluído</x:v>
      </x:c>
      <x:c r="G138" s="86" t="n">
        <x:v>9.7</x:v>
      </x:c>
      <x:c r="H138" s="93" t="n">
        <x:v>623.64</x:v>
      </x:c>
    </x:row>
    <x:row r="139">
      <x:c r="A139" s="85" t="n">
        <x:v>138</x:v>
      </x:c>
      <x:c r="B139" s="86" t="n">
        <x:v>407</x:v>
      </x:c>
      <x:c r="C139" s="86" t="n">
        <x:v>5</x:v>
      </x:c>
      <x:c r="D139" s="95" t="n">
        <x:v>45538</x:v>
      </x:c>
      <x:c r="E139" s="95"/>
      <x:c r="F139" s="86" t="str">
        <x:v>Não iniciado</x:v>
      </x:c>
      <x:c r="G139" s="86"/>
      <x:c r="H139" s="93" t="n">
        <x:v>801.87</x:v>
      </x:c>
    </x:row>
    <x:row r="140">
      <x:c r="A140" s="85" t="n">
        <x:v>139</x:v>
      </x:c>
      <x:c r="B140" s="86" t="n">
        <x:v>178</x:v>
      </x:c>
      <x:c r="C140" s="86" t="n">
        <x:v>9</x:v>
      </x:c>
      <x:c r="D140" s="95" t="n">
        <x:v>45975</x:v>
      </x:c>
      <x:c r="E140" s="95" t="n">
        <x:v>45985</x:v>
      </x:c>
      <x:c r="F140" s="86" t="str">
        <x:v>Concluído</x:v>
      </x:c>
      <x:c r="G140" s="86" t="n">
        <x:v>9.9</x:v>
      </x:c>
      <x:c r="H140" s="93" t="n">
        <x:v>714.31</x:v>
      </x:c>
    </x:row>
    <x:row r="141">
      <x:c r="A141" s="85" t="n">
        <x:v>140</x:v>
      </x:c>
      <x:c r="B141" s="86" t="n">
        <x:v>10</x:v>
      </x:c>
      <x:c r="C141" s="86" t="n">
        <x:v>7</x:v>
      </x:c>
      <x:c r="D141" s="95" t="n">
        <x:v>45631</x:v>
      </x:c>
      <x:c r="E141" s="95" t="n">
        <x:v>45644</x:v>
      </x:c>
      <x:c r="F141" s="86" t="str">
        <x:v>Concluído</x:v>
      </x:c>
      <x:c r="G141" s="86" t="n">
        <x:v>6.3</x:v>
      </x:c>
      <x:c r="H141" s="93" t="n">
        <x:v>516.53</x:v>
      </x:c>
    </x:row>
    <x:row r="142">
      <x:c r="A142" s="85" t="n">
        <x:v>141</x:v>
      </x:c>
      <x:c r="B142" s="86" t="n">
        <x:v>96</x:v>
      </x:c>
      <x:c r="C142" s="86" t="n">
        <x:v>1</x:v>
      </x:c>
      <x:c r="D142" s="95" t="n">
        <x:v>45666</x:v>
      </x:c>
      <x:c r="E142" s="95"/>
      <x:c r="F142" s="86" t="str">
        <x:v>Não iniciado</x:v>
      </x:c>
      <x:c r="G142" s="86"/>
      <x:c r="H142" s="93" t="n">
        <x:v>683.61</x:v>
      </x:c>
    </x:row>
    <x:row r="143">
      <x:c r="A143" s="85" t="n">
        <x:v>142</x:v>
      </x:c>
      <x:c r="B143" s="86" t="n">
        <x:v>372</x:v>
      </x:c>
      <x:c r="C143" s="86" t="n">
        <x:v>8</x:v>
      </x:c>
      <x:c r="D143" s="95" t="n">
        <x:v>45706</x:v>
      </x:c>
      <x:c r="E143" s="95" t="n">
        <x:v>45714</x:v>
      </x:c>
      <x:c r="F143" s="86" t="str">
        <x:v>Concluído</x:v>
      </x:c>
      <x:c r="G143" s="86" t="n">
        <x:v>9.1</x:v>
      </x:c>
      <x:c r="H143" s="93" t="n">
        <x:v>784.97</x:v>
      </x:c>
    </x:row>
    <x:row r="144">
      <x:c r="A144" s="85" t="n">
        <x:v>143</x:v>
      </x:c>
      <x:c r="B144" s="86" t="n">
        <x:v>205</x:v>
      </x:c>
      <x:c r="C144" s="86" t="n">
        <x:v>1</x:v>
      </x:c>
      <x:c r="D144" s="95" t="n">
        <x:v>45979</x:v>
      </x:c>
      <x:c r="E144" s="95" t="n">
        <x:v>45999</x:v>
      </x:c>
      <x:c r="F144" s="86" t="str">
        <x:v>Reprovado</x:v>
      </x:c>
      <x:c r="G144" s="86" t="n">
        <x:v>9.1</x:v>
      </x:c>
      <x:c r="H144" s="93" t="n">
        <x:v>362.06</x:v>
      </x:c>
    </x:row>
    <x:row r="145">
      <x:c r="A145" s="85" t="n">
        <x:v>144</x:v>
      </x:c>
      <x:c r="B145" s="86" t="n">
        <x:v>271</x:v>
      </x:c>
      <x:c r="C145" s="86" t="n">
        <x:v>9</x:v>
      </x:c>
      <x:c r="D145" s="95" t="n">
        <x:v>45788</x:v>
      </x:c>
      <x:c r="E145" s="95" t="n">
        <x:v>45793</x:v>
      </x:c>
      <x:c r="F145" s="86" t="str">
        <x:v>Concluído</x:v>
      </x:c>
      <x:c r="G145" s="86" t="n">
        <x:v>9.4</x:v>
      </x:c>
      <x:c r="H145" s="93" t="n">
        <x:v>178.49</x:v>
      </x:c>
    </x:row>
    <x:row r="146">
      <x:c r="A146" s="85" t="n">
        <x:v>145</x:v>
      </x:c>
      <x:c r="B146" s="86" t="n">
        <x:v>219</x:v>
      </x:c>
      <x:c r="C146" s="86" t="n">
        <x:v>7</x:v>
      </x:c>
      <x:c r="D146" s="95" t="n">
        <x:v>45569</x:v>
      </x:c>
      <x:c r="E146" s="95" t="n">
        <x:v>45572</x:v>
      </x:c>
      <x:c r="F146" s="86" t="str">
        <x:v>Concluído</x:v>
      </x:c>
      <x:c r="G146" s="86" t="n">
        <x:v>9.2</x:v>
      </x:c>
      <x:c r="H146" s="93" t="n">
        <x:v>809.63</x:v>
      </x:c>
    </x:row>
    <x:row r="147">
      <x:c r="A147" s="85" t="n">
        <x:v>146</x:v>
      </x:c>
      <x:c r="B147" s="86" t="n">
        <x:v>50</x:v>
      </x:c>
      <x:c r="C147" s="86" t="n">
        <x:v>10</x:v>
      </x:c>
      <x:c r="D147" s="95" t="n">
        <x:v>45949</x:v>
      </x:c>
      <x:c r="E147" s="95" t="n">
        <x:v>45951</x:v>
      </x:c>
      <x:c r="F147" s="86" t="str">
        <x:v>Concluído</x:v>
      </x:c>
      <x:c r="G147" s="86" t="n">
        <x:v>7.9</x:v>
      </x:c>
      <x:c r="H147" s="93" t="n">
        <x:v>656.01</x:v>
      </x:c>
    </x:row>
    <x:row r="148">
      <x:c r="A148" s="85" t="n">
        <x:v>147</x:v>
      </x:c>
      <x:c r="B148" s="86" t="n">
        <x:v>205</x:v>
      </x:c>
      <x:c r="C148" s="86" t="n">
        <x:v>9</x:v>
      </x:c>
      <x:c r="D148" s="95" t="n">
        <x:v>45999</x:v>
      </x:c>
      <x:c r="E148" s="95" t="n">
        <x:v>46010</x:v>
      </x:c>
      <x:c r="F148" s="86" t="str">
        <x:v>Concluído</x:v>
      </x:c>
      <x:c r="G148" s="86" t="n">
        <x:v>9.8</x:v>
      </x:c>
      <x:c r="H148" s="93" t="n">
        <x:v>128.69</x:v>
      </x:c>
    </x:row>
    <x:row r="149">
      <x:c r="A149" s="85" t="n">
        <x:v>148</x:v>
      </x:c>
      <x:c r="B149" s="86" t="n">
        <x:v>290</x:v>
      </x:c>
      <x:c r="C149" s="86" t="n">
        <x:v>10</x:v>
      </x:c>
      <x:c r="D149" s="95" t="n">
        <x:v>45617</x:v>
      </x:c>
      <x:c r="E149" s="95"/>
      <x:c r="F149" s="86" t="str">
        <x:v>Em andamento</x:v>
      </x:c>
      <x:c r="G149" s="86"/>
      <x:c r="H149" s="93" t="n">
        <x:v>293.63</x:v>
      </x:c>
    </x:row>
    <x:row r="150">
      <x:c r="A150" s="85" t="n">
        <x:v>149</x:v>
      </x:c>
      <x:c r="B150" s="86" t="n">
        <x:v>35</x:v>
      </x:c>
      <x:c r="C150" s="86" t="n">
        <x:v>9</x:v>
      </x:c>
      <x:c r="D150" s="95" t="n">
        <x:v>45886</x:v>
      </x:c>
      <x:c r="E150" s="95" t="n">
        <x:v>45886</x:v>
      </x:c>
      <x:c r="F150" s="86" t="str">
        <x:v>Concluído</x:v>
      </x:c>
      <x:c r="G150" s="86" t="n">
        <x:v>7.5</x:v>
      </x:c>
      <x:c r="H150" s="93" t="n">
        <x:v>214.87</x:v>
      </x:c>
    </x:row>
    <x:row r="151">
      <x:c r="A151" s="85" t="n">
        <x:v>150</x:v>
      </x:c>
      <x:c r="B151" s="86" t="n">
        <x:v>273</x:v>
      </x:c>
      <x:c r="C151" s="86" t="n">
        <x:v>9</x:v>
      </x:c>
      <x:c r="D151" s="95" t="n">
        <x:v>46004</x:v>
      </x:c>
      <x:c r="E151" s="95" t="n">
        <x:v>46010</x:v>
      </x:c>
      <x:c r="F151" s="86" t="str">
        <x:v>Concluído</x:v>
      </x:c>
      <x:c r="G151" s="86" t="n">
        <x:v>5.2</x:v>
      </x:c>
      <x:c r="H151" s="93" t="n">
        <x:v>492.92</x:v>
      </x:c>
    </x:row>
    <x:row r="152">
      <x:c r="A152" s="85" t="n">
        <x:v>151</x:v>
      </x:c>
      <x:c r="B152" s="86" t="n">
        <x:v>60</x:v>
      </x:c>
      <x:c r="C152" s="86" t="n">
        <x:v>8</x:v>
      </x:c>
      <x:c r="D152" s="95" t="n">
        <x:v>45722</x:v>
      </x:c>
      <x:c r="E152" s="95"/>
      <x:c r="F152" s="86" t="str">
        <x:v>Em andamento</x:v>
      </x:c>
      <x:c r="G152" s="86"/>
      <x:c r="H152" s="93" t="n">
        <x:v>743.98</x:v>
      </x:c>
    </x:row>
    <x:row r="153">
      <x:c r="A153" s="85" t="n">
        <x:v>152</x:v>
      </x:c>
      <x:c r="B153" s="86" t="n">
        <x:v>340</x:v>
      </x:c>
      <x:c r="C153" s="86" t="n">
        <x:v>4</x:v>
      </x:c>
      <x:c r="D153" s="95" t="n">
        <x:v>45851</x:v>
      </x:c>
      <x:c r="E153" s="95" t="n">
        <x:v>45867</x:v>
      </x:c>
      <x:c r="F153" s="86" t="str">
        <x:v>Concluído</x:v>
      </x:c>
      <x:c r="G153" s="86" t="n">
        <x:v>10</x:v>
      </x:c>
      <x:c r="H153" s="93" t="n">
        <x:v>296.33</x:v>
      </x:c>
    </x:row>
    <x:row r="154">
      <x:c r="A154" s="85" t="n">
        <x:v>153</x:v>
      </x:c>
      <x:c r="B154" s="86" t="n">
        <x:v>263</x:v>
      </x:c>
      <x:c r="C154" s="86" t="n">
        <x:v>3</x:v>
      </x:c>
      <x:c r="D154" s="95" t="n">
        <x:v>45591</x:v>
      </x:c>
      <x:c r="E154" s="95" t="n">
        <x:v>45609</x:v>
      </x:c>
      <x:c r="F154" s="86" t="str">
        <x:v>Concluído</x:v>
      </x:c>
      <x:c r="G154" s="86" t="n">
        <x:v>5.1</x:v>
      </x:c>
      <x:c r="H154" s="93" t="n">
        <x:v>127.74</x:v>
      </x:c>
    </x:row>
    <x:row r="155">
      <x:c r="A155" s="85" t="n">
        <x:v>154</x:v>
      </x:c>
      <x:c r="B155" s="86" t="n">
        <x:v>272</x:v>
      </x:c>
      <x:c r="C155" s="86" t="n">
        <x:v>5</x:v>
      </x:c>
      <x:c r="D155" s="95" t="n">
        <x:v>45907</x:v>
      </x:c>
      <x:c r="E155" s="95" t="n">
        <x:v>45910</x:v>
      </x:c>
      <x:c r="F155" s="86" t="str">
        <x:v>Concluído</x:v>
      </x:c>
      <x:c r="G155" s="86" t="n">
        <x:v>7.6</x:v>
      </x:c>
      <x:c r="H155" s="93" t="n">
        <x:v>476.15</x:v>
      </x:c>
    </x:row>
    <x:row r="156">
      <x:c r="A156" s="85" t="n">
        <x:v>155</x:v>
      </x:c>
      <x:c r="B156" s="86" t="n">
        <x:v>99</x:v>
      </x:c>
      <x:c r="C156" s="86" t="n">
        <x:v>9</x:v>
      </x:c>
      <x:c r="D156" s="95" t="n">
        <x:v>45962</x:v>
      </x:c>
      <x:c r="E156" s="95"/>
      <x:c r="F156" s="86" t="str">
        <x:v>Em andamento</x:v>
      </x:c>
      <x:c r="G156" s="86"/>
      <x:c r="H156" s="93" t="n">
        <x:v>640.93</x:v>
      </x:c>
    </x:row>
    <x:row r="157">
      <x:c r="A157" s="85" t="n">
        <x:v>156</x:v>
      </x:c>
      <x:c r="B157" s="86" t="n">
        <x:v>26</x:v>
      </x:c>
      <x:c r="C157" s="86" t="n">
        <x:v>5</x:v>
      </x:c>
      <x:c r="D157" s="95" t="n">
        <x:v>45846</x:v>
      </x:c>
      <x:c r="E157" s="95" t="n">
        <x:v>45846</x:v>
      </x:c>
      <x:c r="F157" s="86" t="str">
        <x:v>Concluído</x:v>
      </x:c>
      <x:c r="G157" s="86" t="n">
        <x:v>8.4</x:v>
      </x:c>
      <x:c r="H157" s="93" t="n">
        <x:v>480.57</x:v>
      </x:c>
    </x:row>
    <x:row r="158">
      <x:c r="A158" s="85" t="n">
        <x:v>157</x:v>
      </x:c>
      <x:c r="B158" s="86" t="n">
        <x:v>255</x:v>
      </x:c>
      <x:c r="C158" s="86" t="n">
        <x:v>1</x:v>
      </x:c>
      <x:c r="D158" s="95" t="n">
        <x:v>45760</x:v>
      </x:c>
      <x:c r="E158" s="95" t="n">
        <x:v>45765</x:v>
      </x:c>
      <x:c r="F158" s="86" t="str">
        <x:v>Concluído</x:v>
      </x:c>
      <x:c r="G158" s="86" t="n">
        <x:v>8.4</x:v>
      </x:c>
      <x:c r="H158" s="93" t="n">
        <x:v>692.56</x:v>
      </x:c>
    </x:row>
    <x:row r="159">
      <x:c r="A159" s="85" t="n">
        <x:v>158</x:v>
      </x:c>
      <x:c r="B159" s="86" t="n">
        <x:v>200</x:v>
      </x:c>
      <x:c r="C159" s="86" t="n">
        <x:v>8</x:v>
      </x:c>
      <x:c r="D159" s="95" t="n">
        <x:v>45864</x:v>
      </x:c>
      <x:c r="E159" s="95" t="n">
        <x:v>45879</x:v>
      </x:c>
      <x:c r="F159" s="86" t="str">
        <x:v>Concluído</x:v>
      </x:c>
      <x:c r="G159" s="86" t="n">
        <x:v>7.6</x:v>
      </x:c>
      <x:c r="H159" s="93" t="n">
        <x:v>345.42</x:v>
      </x:c>
    </x:row>
    <x:row r="160">
      <x:c r="A160" s="85" t="n">
        <x:v>159</x:v>
      </x:c>
      <x:c r="B160" s="86" t="n">
        <x:v>340</x:v>
      </x:c>
      <x:c r="C160" s="86" t="n">
        <x:v>9</x:v>
      </x:c>
      <x:c r="D160" s="95" t="n">
        <x:v>45986</x:v>
      </x:c>
      <x:c r="E160" s="95" t="n">
        <x:v>46003</x:v>
      </x:c>
      <x:c r="F160" s="86" t="str">
        <x:v>Concluído</x:v>
      </x:c>
      <x:c r="G160" s="86" t="n">
        <x:v>7.8</x:v>
      </x:c>
      <x:c r="H160" s="93" t="n">
        <x:v>677.79</x:v>
      </x:c>
    </x:row>
    <x:row r="161">
      <x:c r="A161" s="85" t="n">
        <x:v>160</x:v>
      </x:c>
      <x:c r="B161" s="86" t="n">
        <x:v>167</x:v>
      </x:c>
      <x:c r="C161" s="86" t="n">
        <x:v>2</x:v>
      </x:c>
      <x:c r="D161" s="95" t="n">
        <x:v>45984</x:v>
      </x:c>
      <x:c r="E161" s="95" t="n">
        <x:v>46001</x:v>
      </x:c>
      <x:c r="F161" s="86" t="str">
        <x:v>Concluído</x:v>
      </x:c>
      <x:c r="G161" s="86" t="n">
        <x:v>9.7</x:v>
      </x:c>
      <x:c r="H161" s="93" t="n">
        <x:v>710.6</x:v>
      </x:c>
    </x:row>
    <x:row r="162">
      <x:c r="A162" s="85" t="n">
        <x:v>161</x:v>
      </x:c>
      <x:c r="B162" s="86" t="n">
        <x:v>28</x:v>
      </x:c>
      <x:c r="C162" s="86" t="n">
        <x:v>6</x:v>
      </x:c>
      <x:c r="D162" s="95" t="n">
        <x:v>45632</x:v>
      </x:c>
      <x:c r="E162" s="95" t="n">
        <x:v>45640</x:v>
      </x:c>
      <x:c r="F162" s="86" t="str">
        <x:v>Concluído</x:v>
      </x:c>
      <x:c r="G162" s="86" t="n">
        <x:v>5</x:v>
      </x:c>
      <x:c r="H162" s="93" t="n">
        <x:v>338.58</x:v>
      </x:c>
    </x:row>
    <x:row r="163">
      <x:c r="A163" s="85" t="n">
        <x:v>162</x:v>
      </x:c>
      <x:c r="B163" s="86" t="n">
        <x:v>336</x:v>
      </x:c>
      <x:c r="C163" s="86" t="n">
        <x:v>2</x:v>
      </x:c>
      <x:c r="D163" s="95" t="n">
        <x:v>45940</x:v>
      </x:c>
      <x:c r="E163" s="95" t="n">
        <x:v>45952</x:v>
      </x:c>
      <x:c r="F163" s="86" t="str">
        <x:v>Concluído</x:v>
      </x:c>
      <x:c r="G163" s="86" t="n">
        <x:v>6.1</x:v>
      </x:c>
      <x:c r="H163" s="93" t="n">
        <x:v>239.6</x:v>
      </x:c>
    </x:row>
    <x:row r="164">
      <x:c r="A164" s="85" t="n">
        <x:v>163</x:v>
      </x:c>
      <x:c r="B164" s="86" t="n">
        <x:v>190</x:v>
      </x:c>
      <x:c r="C164" s="86" t="n">
        <x:v>9</x:v>
      </x:c>
      <x:c r="D164" s="95" t="n">
        <x:v>45973</x:v>
      </x:c>
      <x:c r="E164" s="95" t="n">
        <x:v>45984</x:v>
      </x:c>
      <x:c r="F164" s="86" t="str">
        <x:v>Concluído</x:v>
      </x:c>
      <x:c r="G164" s="86" t="n">
        <x:v>8.2</x:v>
      </x:c>
      <x:c r="H164" s="93" t="n">
        <x:v>687.4</x:v>
      </x:c>
    </x:row>
    <x:row r="165">
      <x:c r="A165" s="85" t="n">
        <x:v>164</x:v>
      </x:c>
      <x:c r="B165" s="86" t="n">
        <x:v>397</x:v>
      </x:c>
      <x:c r="C165" s="86" t="n">
        <x:v>6</x:v>
      </x:c>
      <x:c r="D165" s="95" t="n">
        <x:v>45361</x:v>
      </x:c>
      <x:c r="E165" s="95" t="n">
        <x:v>45381</x:v>
      </x:c>
      <x:c r="F165" s="86" t="str">
        <x:v>Concluído</x:v>
      </x:c>
      <x:c r="G165" s="86" t="n">
        <x:v>8.8</x:v>
      </x:c>
      <x:c r="H165" s="93" t="n">
        <x:v>689.94</x:v>
      </x:c>
    </x:row>
    <x:row r="166">
      <x:c r="A166" s="85" t="n">
        <x:v>165</x:v>
      </x:c>
      <x:c r="B166" s="86" t="n">
        <x:v>323</x:v>
      </x:c>
      <x:c r="C166" s="86" t="n">
        <x:v>9</x:v>
      </x:c>
      <x:c r="D166" s="95" t="n">
        <x:v>45954</x:v>
      </x:c>
      <x:c r="E166" s="95"/>
      <x:c r="F166" s="86" t="str">
        <x:v>Em andamento</x:v>
      </x:c>
      <x:c r="G166" s="86"/>
      <x:c r="H166" s="93" t="n">
        <x:v>247.51</x:v>
      </x:c>
    </x:row>
    <x:row r="167">
      <x:c r="A167" s="85" t="n">
        <x:v>166</x:v>
      </x:c>
      <x:c r="B167" s="86" t="n">
        <x:v>37</x:v>
      </x:c>
      <x:c r="C167" s="86" t="n">
        <x:v>6</x:v>
      </x:c>
      <x:c r="D167" s="95" t="n">
        <x:v>45525</x:v>
      </x:c>
      <x:c r="E167" s="95" t="n">
        <x:v>45542</x:v>
      </x:c>
      <x:c r="F167" s="86" t="str">
        <x:v>Concluído</x:v>
      </x:c>
      <x:c r="G167" s="86" t="n">
        <x:v>8.4</x:v>
      </x:c>
      <x:c r="H167" s="93" t="n">
        <x:v>429.31</x:v>
      </x:c>
    </x:row>
    <x:row r="168">
      <x:c r="A168" s="85" t="n">
        <x:v>167</x:v>
      </x:c>
      <x:c r="B168" s="86" t="n">
        <x:v>17</x:v>
      </x:c>
      <x:c r="C168" s="86" t="n">
        <x:v>6</x:v>
      </x:c>
      <x:c r="D168" s="95" t="n">
        <x:v>45829</x:v>
      </x:c>
      <x:c r="E168" s="95"/>
      <x:c r="F168" s="86" t="str">
        <x:v>Em andamento</x:v>
      </x:c>
      <x:c r="G168" s="86"/>
      <x:c r="H168" s="93" t="n">
        <x:v>727.23</x:v>
      </x:c>
    </x:row>
    <x:row r="169">
      <x:c r="A169" s="85" t="n">
        <x:v>168</x:v>
      </x:c>
      <x:c r="B169" s="86" t="n">
        <x:v>331</x:v>
      </x:c>
      <x:c r="C169" s="86" t="n">
        <x:v>1</x:v>
      </x:c>
      <x:c r="D169" s="95" t="n">
        <x:v>45694</x:v>
      </x:c>
      <x:c r="E169" s="95" t="n">
        <x:v>45698</x:v>
      </x:c>
      <x:c r="F169" s="86" t="str">
        <x:v>Concluído</x:v>
      </x:c>
      <x:c r="G169" s="86" t="n">
        <x:v>8.9</x:v>
      </x:c>
      <x:c r="H169" s="93" t="n">
        <x:v>493.53</x:v>
      </x:c>
    </x:row>
    <x:row r="170">
      <x:c r="A170" s="85" t="n">
        <x:v>169</x:v>
      </x:c>
      <x:c r="B170" s="86" t="n">
        <x:v>161</x:v>
      </x:c>
      <x:c r="C170" s="86" t="n">
        <x:v>8</x:v>
      </x:c>
      <x:c r="D170" s="95" t="n">
        <x:v>45611</x:v>
      </x:c>
      <x:c r="E170" s="95" t="n">
        <x:v>45619</x:v>
      </x:c>
      <x:c r="F170" s="86" t="str">
        <x:v>Concluído</x:v>
      </x:c>
      <x:c r="G170" s="86" t="n">
        <x:v>5.1</x:v>
      </x:c>
      <x:c r="H170" s="93" t="n">
        <x:v>832.77</x:v>
      </x:c>
    </x:row>
    <x:row r="171">
      <x:c r="A171" s="85" t="n">
        <x:v>170</x:v>
      </x:c>
      <x:c r="B171" s="86" t="n">
        <x:v>9</x:v>
      </x:c>
      <x:c r="C171" s="86" t="n">
        <x:v>7</x:v>
      </x:c>
      <x:c r="D171" s="95" t="n">
        <x:v>45899</x:v>
      </x:c>
      <x:c r="E171" s="95" t="n">
        <x:v>45917</x:v>
      </x:c>
      <x:c r="F171" s="86" t="str">
        <x:v>Reprovado</x:v>
      </x:c>
      <x:c r="G171" s="86" t="n">
        <x:v>7</x:v>
      </x:c>
      <x:c r="H171" s="93" t="n">
        <x:v>542.43</x:v>
      </x:c>
    </x:row>
    <x:row r="172">
      <x:c r="A172" s="85" t="n">
        <x:v>171</x:v>
      </x:c>
      <x:c r="B172" s="86" t="n">
        <x:v>143</x:v>
      </x:c>
      <x:c r="C172" s="86" t="n">
        <x:v>1</x:v>
      </x:c>
      <x:c r="D172" s="95" t="n">
        <x:v>45834</x:v>
      </x:c>
      <x:c r="E172" s="95" t="n">
        <x:v>45853</x:v>
      </x:c>
      <x:c r="F172" s="86" t="str">
        <x:v>Concluído</x:v>
      </x:c>
      <x:c r="G172" s="86" t="n">
        <x:v>7</x:v>
      </x:c>
      <x:c r="H172" s="93" t="n">
        <x:v>415.2</x:v>
      </x:c>
    </x:row>
    <x:row r="173">
      <x:c r="A173" s="85" t="n">
        <x:v>172</x:v>
      </x:c>
      <x:c r="B173" s="86" t="n">
        <x:v>252</x:v>
      </x:c>
      <x:c r="C173" s="86" t="n">
        <x:v>4</x:v>
      </x:c>
      <x:c r="D173" s="95" t="n">
        <x:v>45883</x:v>
      </x:c>
      <x:c r="E173" s="95"/>
      <x:c r="F173" s="86" t="str">
        <x:v>Em andamento</x:v>
      </x:c>
      <x:c r="G173" s="86"/>
      <x:c r="H173" s="93" t="n">
        <x:v>485.73</x:v>
      </x:c>
    </x:row>
    <x:row r="174">
      <x:c r="A174" s="85" t="n">
        <x:v>173</x:v>
      </x:c>
      <x:c r="B174" s="86" t="n">
        <x:v>278</x:v>
      </x:c>
      <x:c r="C174" s="86" t="n">
        <x:v>2</x:v>
      </x:c>
      <x:c r="D174" s="95" t="n">
        <x:v>45763</x:v>
      </x:c>
      <x:c r="E174" s="95" t="n">
        <x:v>45769</x:v>
      </x:c>
      <x:c r="F174" s="86" t="str">
        <x:v>Concluído</x:v>
      </x:c>
      <x:c r="G174" s="86" t="n">
        <x:v>7.4</x:v>
      </x:c>
      <x:c r="H174" s="93" t="n">
        <x:v>773.13</x:v>
      </x:c>
    </x:row>
    <x:row r="175">
      <x:c r="A175" s="85" t="n">
        <x:v>174</x:v>
      </x:c>
      <x:c r="B175" s="86" t="n">
        <x:v>204</x:v>
      </x:c>
      <x:c r="C175" s="86" t="n">
        <x:v>2</x:v>
      </x:c>
      <x:c r="D175" s="95" t="n">
        <x:v>45728</x:v>
      </x:c>
      <x:c r="E175" s="95" t="n">
        <x:v>45732</x:v>
      </x:c>
      <x:c r="F175" s="86" t="str">
        <x:v>Concluído</x:v>
      </x:c>
      <x:c r="G175" s="86" t="n">
        <x:v>9.9</x:v>
      </x:c>
      <x:c r="H175" s="93" t="n">
        <x:v>304.52</x:v>
      </x:c>
    </x:row>
    <x:row r="176">
      <x:c r="A176" s="85" t="n">
        <x:v>175</x:v>
      </x:c>
      <x:c r="B176" s="86" t="n">
        <x:v>61</x:v>
      </x:c>
      <x:c r="C176" s="86" t="n">
        <x:v>3</x:v>
      </x:c>
      <x:c r="D176" s="95" t="n">
        <x:v>45688</x:v>
      </x:c>
      <x:c r="E176" s="95"/>
      <x:c r="F176" s="86" t="str">
        <x:v>Não iniciado</x:v>
      </x:c>
      <x:c r="G176" s="86"/>
      <x:c r="H176" s="93" t="n">
        <x:v>533.16</x:v>
      </x:c>
    </x:row>
    <x:row r="177">
      <x:c r="A177" s="85" t="n">
        <x:v>176</x:v>
      </x:c>
      <x:c r="B177" s="86" t="n">
        <x:v>282</x:v>
      </x:c>
      <x:c r="C177" s="86" t="n">
        <x:v>8</x:v>
      </x:c>
      <x:c r="D177" s="95" t="n">
        <x:v>45868</x:v>
      </x:c>
      <x:c r="E177" s="95"/>
      <x:c r="F177" s="86" t="str">
        <x:v>Não iniciado</x:v>
      </x:c>
      <x:c r="G177" s="86"/>
      <x:c r="H177" s="93" t="n">
        <x:v>277.75</x:v>
      </x:c>
    </x:row>
    <x:row r="178">
      <x:c r="A178" s="85" t="n">
        <x:v>177</x:v>
      </x:c>
      <x:c r="B178" s="86" t="n">
        <x:v>47</x:v>
      </x:c>
      <x:c r="C178" s="86" t="n">
        <x:v>3</x:v>
      </x:c>
      <x:c r="D178" s="95" t="n">
        <x:v>45644</x:v>
      </x:c>
      <x:c r="E178" s="95" t="n">
        <x:v>45655</x:v>
      </x:c>
      <x:c r="F178" s="86" t="str">
        <x:v>Concluído</x:v>
      </x:c>
      <x:c r="G178" s="86" t="n">
        <x:v>9.9</x:v>
      </x:c>
      <x:c r="H178" s="93" t="n">
        <x:v>405.16</x:v>
      </x:c>
    </x:row>
    <x:row r="179">
      <x:c r="A179" s="85" t="n">
        <x:v>178</x:v>
      </x:c>
      <x:c r="B179" s="86" t="n">
        <x:v>239</x:v>
      </x:c>
      <x:c r="C179" s="86" t="n">
        <x:v>1</x:v>
      </x:c>
      <x:c r="D179" s="95" t="n">
        <x:v>45394</x:v>
      </x:c>
      <x:c r="E179" s="95" t="n">
        <x:v>45411</x:v>
      </x:c>
      <x:c r="F179" s="86" t="str">
        <x:v>Concluído</x:v>
      </x:c>
      <x:c r="G179" s="86" t="n">
        <x:v>9.2</x:v>
      </x:c>
      <x:c r="H179" s="93" t="n">
        <x:v>115.89</x:v>
      </x:c>
    </x:row>
    <x:row r="180">
      <x:c r="A180" s="85" t="n">
        <x:v>179</x:v>
      </x:c>
      <x:c r="B180" s="86" t="n">
        <x:v>128</x:v>
      </x:c>
      <x:c r="C180" s="86" t="n">
        <x:v>10</x:v>
      </x:c>
      <x:c r="D180" s="95" t="n">
        <x:v>45393</x:v>
      </x:c>
      <x:c r="E180" s="95" t="n">
        <x:v>45410</x:v>
      </x:c>
      <x:c r="F180" s="86" t="str">
        <x:v>Concluído</x:v>
      </x:c>
      <x:c r="G180" s="86" t="n">
        <x:v>5.2</x:v>
      </x:c>
      <x:c r="H180" s="93" t="n">
        <x:v>123.64</x:v>
      </x:c>
    </x:row>
    <x:row r="181">
      <x:c r="A181" s="85" t="n">
        <x:v>180</x:v>
      </x:c>
      <x:c r="B181" s="86" t="n">
        <x:v>398</x:v>
      </x:c>
      <x:c r="C181" s="86" t="n">
        <x:v>9</x:v>
      </x:c>
      <x:c r="D181" s="95" t="n">
        <x:v>45791</x:v>
      </x:c>
      <x:c r="E181" s="95"/>
      <x:c r="F181" s="86" t="str">
        <x:v>Não iniciado</x:v>
      </x:c>
      <x:c r="G181" s="86"/>
      <x:c r="H181" s="93" t="n">
        <x:v>786.47</x:v>
      </x:c>
    </x:row>
    <x:row r="182">
      <x:c r="A182" s="85" t="n">
        <x:v>181</x:v>
      </x:c>
      <x:c r="B182" s="86" t="n">
        <x:v>91</x:v>
      </x:c>
      <x:c r="C182" s="86" t="n">
        <x:v>7</x:v>
      </x:c>
      <x:c r="D182" s="95" t="n">
        <x:v>45906</x:v>
      </x:c>
      <x:c r="E182" s="95"/>
      <x:c r="F182" s="86" t="str">
        <x:v>Em andamento</x:v>
      </x:c>
      <x:c r="G182" s="86"/>
      <x:c r="H182" s="93" t="n">
        <x:v>675.36</x:v>
      </x:c>
    </x:row>
    <x:row r="183">
      <x:c r="A183" s="85" t="n">
        <x:v>182</x:v>
      </x:c>
      <x:c r="B183" s="86" t="n">
        <x:v>92</x:v>
      </x:c>
      <x:c r="C183" s="86" t="n">
        <x:v>4</x:v>
      </x:c>
      <x:c r="D183" s="95" t="n">
        <x:v>46006</x:v>
      </x:c>
      <x:c r="E183" s="95" t="n">
        <x:v>46017</x:v>
      </x:c>
      <x:c r="F183" s="86" t="str">
        <x:v>Concluído</x:v>
      </x:c>
      <x:c r="G183" s="86" t="n">
        <x:v>9.4</x:v>
      </x:c>
      <x:c r="H183" s="93" t="n">
        <x:v>497.95</x:v>
      </x:c>
    </x:row>
    <x:row r="184">
      <x:c r="A184" s="85" t="n">
        <x:v>183</x:v>
      </x:c>
      <x:c r="B184" s="86" t="n">
        <x:v>132</x:v>
      </x:c>
      <x:c r="C184" s="86" t="n">
        <x:v>9</x:v>
      </x:c>
      <x:c r="D184" s="95" t="n">
        <x:v>46015</x:v>
      </x:c>
      <x:c r="E184" s="95"/>
      <x:c r="F184" s="86" t="str">
        <x:v>Em andamento</x:v>
      </x:c>
      <x:c r="G184" s="86"/>
      <x:c r="H184" s="93" t="n">
        <x:v>215.72</x:v>
      </x:c>
    </x:row>
    <x:row r="185">
      <x:c r="A185" s="85" t="n">
        <x:v>184</x:v>
      </x:c>
      <x:c r="B185" s="86" t="n">
        <x:v>185</x:v>
      </x:c>
      <x:c r="C185" s="86" t="n">
        <x:v>1</x:v>
      </x:c>
      <x:c r="D185" s="95" t="n">
        <x:v>45760</x:v>
      </x:c>
      <x:c r="E185" s="95" t="n">
        <x:v>45767</x:v>
      </x:c>
      <x:c r="F185" s="86" t="str">
        <x:v>Concluído</x:v>
      </x:c>
      <x:c r="G185" s="86" t="n">
        <x:v>7.9</x:v>
      </x:c>
      <x:c r="H185" s="93" t="n">
        <x:v>185.24</x:v>
      </x:c>
    </x:row>
    <x:row r="186">
      <x:c r="A186" s="85" t="n">
        <x:v>185</x:v>
      </x:c>
      <x:c r="B186" s="86" t="n">
        <x:v>268</x:v>
      </x:c>
      <x:c r="C186" s="86" t="n">
        <x:v>10</x:v>
      </x:c>
      <x:c r="D186" s="95" t="n">
        <x:v>45954</x:v>
      </x:c>
      <x:c r="E186" s="95" t="n">
        <x:v>45966</x:v>
      </x:c>
      <x:c r="F186" s="86" t="str">
        <x:v>Concluído</x:v>
      </x:c>
      <x:c r="G186" s="86" t="n">
        <x:v>8.7</x:v>
      </x:c>
      <x:c r="H186" s="93" t="n">
        <x:v>797.26</x:v>
      </x:c>
    </x:row>
    <x:row r="187">
      <x:c r="A187" s="85" t="n">
        <x:v>186</x:v>
      </x:c>
      <x:c r="B187" s="86" t="n">
        <x:v>230</x:v>
      </x:c>
      <x:c r="C187" s="86" t="n">
        <x:v>9</x:v>
      </x:c>
      <x:c r="D187" s="95" t="n">
        <x:v>45958</x:v>
      </x:c>
      <x:c r="E187" s="95" t="n">
        <x:v>45962</x:v>
      </x:c>
      <x:c r="F187" s="86" t="str">
        <x:v>Concluído</x:v>
      </x:c>
      <x:c r="G187" s="86" t="n">
        <x:v>8.8</x:v>
      </x:c>
      <x:c r="H187" s="93" t="n">
        <x:v>452.27</x:v>
      </x:c>
    </x:row>
    <x:row r="188">
      <x:c r="A188" s="85" t="n">
        <x:v>187</x:v>
      </x:c>
      <x:c r="B188" s="86" t="n">
        <x:v>222</x:v>
      </x:c>
      <x:c r="C188" s="86" t="n">
        <x:v>7</x:v>
      </x:c>
      <x:c r="D188" s="95" t="n">
        <x:v>45884</x:v>
      </x:c>
      <x:c r="E188" s="95" t="n">
        <x:v>45895</x:v>
      </x:c>
      <x:c r="F188" s="86" t="str">
        <x:v>Concluído</x:v>
      </x:c>
      <x:c r="G188" s="86" t="n">
        <x:v>5.1</x:v>
      </x:c>
      <x:c r="H188" s="93" t="n">
        <x:v>828.33</x:v>
      </x:c>
    </x:row>
    <x:row r="189">
      <x:c r="A189" s="85" t="n">
        <x:v>188</x:v>
      </x:c>
      <x:c r="B189" s="86" t="n">
        <x:v>291</x:v>
      </x:c>
      <x:c r="C189" s="86" t="n">
        <x:v>10</x:v>
      </x:c>
      <x:c r="D189" s="95" t="n">
        <x:v>45715</x:v>
      </x:c>
      <x:c r="E189" s="95" t="n">
        <x:v>45716</x:v>
      </x:c>
      <x:c r="F189" s="86" t="str">
        <x:v>Concluído</x:v>
      </x:c>
      <x:c r="G189" s="86" t="n">
        <x:v>5.2</x:v>
      </x:c>
      <x:c r="H189" s="93" t="n">
        <x:v>789.57</x:v>
      </x:c>
    </x:row>
    <x:row r="190">
      <x:c r="A190" s="85" t="n">
        <x:v>189</x:v>
      </x:c>
      <x:c r="B190" s="86" t="n">
        <x:v>19</x:v>
      </x:c>
      <x:c r="C190" s="86" t="n">
        <x:v>9</x:v>
      </x:c>
      <x:c r="D190" s="95" t="n">
        <x:v>45901</x:v>
      </x:c>
      <x:c r="E190" s="95" t="n">
        <x:v>45915</x:v>
      </x:c>
      <x:c r="F190" s="86" t="str">
        <x:v>Concluído</x:v>
      </x:c>
      <x:c r="G190" s="86" t="n">
        <x:v>7.7</x:v>
      </x:c>
      <x:c r="H190" s="93" t="n">
        <x:v>525.34</x:v>
      </x:c>
    </x:row>
    <x:row r="191">
      <x:c r="A191" s="85" t="n">
        <x:v>190</x:v>
      </x:c>
      <x:c r="B191" s="86" t="n">
        <x:v>81</x:v>
      </x:c>
      <x:c r="C191" s="86" t="n">
        <x:v>2</x:v>
      </x:c>
      <x:c r="D191" s="95" t="n">
        <x:v>45846</x:v>
      </x:c>
      <x:c r="E191" s="95" t="n">
        <x:v>45856</x:v>
      </x:c>
      <x:c r="F191" s="86" t="str">
        <x:v>Concluído</x:v>
      </x:c>
      <x:c r="G191" s="86" t="n">
        <x:v>9.6</x:v>
      </x:c>
      <x:c r="H191" s="93" t="n">
        <x:v>256.24</x:v>
      </x:c>
    </x:row>
    <x:row r="192">
      <x:c r="A192" s="85" t="n">
        <x:v>191</x:v>
      </x:c>
      <x:c r="B192" s="86" t="n">
        <x:v>415</x:v>
      </x:c>
      <x:c r="C192" s="86" t="n">
        <x:v>4</x:v>
      </x:c>
      <x:c r="D192" s="95" t="n">
        <x:v>45929</x:v>
      </x:c>
      <x:c r="E192" s="95" t="n">
        <x:v>45930</x:v>
      </x:c>
      <x:c r="F192" s="86" t="str">
        <x:v>Concluído</x:v>
      </x:c>
      <x:c r="G192" s="86" t="n">
        <x:v>8.7</x:v>
      </x:c>
      <x:c r="H192" s="93" t="n">
        <x:v>673.23</x:v>
      </x:c>
    </x:row>
    <x:row r="193">
      <x:c r="A193" s="85" t="n">
        <x:v>192</x:v>
      </x:c>
      <x:c r="B193" s="86" t="n">
        <x:v>146</x:v>
      </x:c>
      <x:c r="C193" s="86" t="n">
        <x:v>4</x:v>
      </x:c>
      <x:c r="D193" s="95" t="n">
        <x:v>45800</x:v>
      </x:c>
      <x:c r="E193" s="95" t="n">
        <x:v>45800</x:v>
      </x:c>
      <x:c r="F193" s="86" t="str">
        <x:v>Concluído</x:v>
      </x:c>
      <x:c r="G193" s="86" t="n">
        <x:v>8.9</x:v>
      </x:c>
      <x:c r="H193" s="93" t="n">
        <x:v>509.63</x:v>
      </x:c>
    </x:row>
    <x:row r="194">
      <x:c r="A194" s="85" t="n">
        <x:v>193</x:v>
      </x:c>
      <x:c r="B194" s="86" t="n">
        <x:v>106</x:v>
      </x:c>
      <x:c r="C194" s="86" t="n">
        <x:v>9</x:v>
      </x:c>
      <x:c r="D194" s="95" t="n">
        <x:v>46021</x:v>
      </x:c>
      <x:c r="E194" s="95" t="n">
        <x:v>46022</x:v>
      </x:c>
      <x:c r="F194" s="86" t="str">
        <x:v>Concluído</x:v>
      </x:c>
      <x:c r="G194" s="86" t="n">
        <x:v>7.5</x:v>
      </x:c>
      <x:c r="H194" s="93" t="n">
        <x:v>699.03</x:v>
      </x:c>
    </x:row>
    <x:row r="195">
      <x:c r="A195" s="85" t="n">
        <x:v>194</x:v>
      </x:c>
      <x:c r="B195" s="86" t="n">
        <x:v>49</x:v>
      </x:c>
      <x:c r="C195" s="86" t="n">
        <x:v>2</x:v>
      </x:c>
      <x:c r="D195" s="95" t="n">
        <x:v>45788</x:v>
      </x:c>
      <x:c r="E195" s="95" t="n">
        <x:v>45796</x:v>
      </x:c>
      <x:c r="F195" s="86" t="str">
        <x:v>Concluído</x:v>
      </x:c>
      <x:c r="G195" s="86" t="n">
        <x:v>9.9</x:v>
      </x:c>
      <x:c r="H195" s="93" t="n">
        <x:v>829.48</x:v>
      </x:c>
    </x:row>
    <x:row r="196">
      <x:c r="A196" s="85" t="n">
        <x:v>195</x:v>
      </x:c>
      <x:c r="B196" s="86" t="n">
        <x:v>299</x:v>
      </x:c>
      <x:c r="C196" s="86" t="n">
        <x:v>4</x:v>
      </x:c>
      <x:c r="D196" s="95" t="n">
        <x:v>45880</x:v>
      </x:c>
      <x:c r="E196" s="95"/>
      <x:c r="F196" s="86" t="str">
        <x:v>Não iniciado</x:v>
      </x:c>
      <x:c r="G196" s="86"/>
      <x:c r="H196" s="93" t="n">
        <x:v>506.69</x:v>
      </x:c>
    </x:row>
    <x:row r="197">
      <x:c r="A197" s="85" t="n">
        <x:v>196</x:v>
      </x:c>
      <x:c r="B197" s="86" t="n">
        <x:v>59</x:v>
      </x:c>
      <x:c r="C197" s="86" t="n">
        <x:v>4</x:v>
      </x:c>
      <x:c r="D197" s="95" t="n">
        <x:v>45893</x:v>
      </x:c>
      <x:c r="E197" s="95" t="n">
        <x:v>45908</x:v>
      </x:c>
      <x:c r="F197" s="86" t="str">
        <x:v>Concluído</x:v>
      </x:c>
      <x:c r="G197" s="86" t="n">
        <x:v>5.5</x:v>
      </x:c>
      <x:c r="H197" s="93" t="n">
        <x:v>365.08</x:v>
      </x:c>
    </x:row>
    <x:row r="198">
      <x:c r="A198" s="85" t="n">
        <x:v>197</x:v>
      </x:c>
      <x:c r="B198" s="86" t="n">
        <x:v>211</x:v>
      </x:c>
      <x:c r="C198" s="86" t="n">
        <x:v>9</x:v>
      </x:c>
      <x:c r="D198" s="95" t="n">
        <x:v>45876</x:v>
      </x:c>
      <x:c r="E198" s="95" t="n">
        <x:v>45882</x:v>
      </x:c>
      <x:c r="F198" s="86" t="str">
        <x:v>Concluído</x:v>
      </x:c>
      <x:c r="G198" s="86" t="n">
        <x:v>7.4</x:v>
      </x:c>
      <x:c r="H198" s="93" t="n">
        <x:v>757.96</x:v>
      </x:c>
    </x:row>
    <x:row r="199">
      <x:c r="A199" s="85" t="n">
        <x:v>198</x:v>
      </x:c>
      <x:c r="B199" s="86" t="n">
        <x:v>314</x:v>
      </x:c>
      <x:c r="C199" s="86" t="n">
        <x:v>5</x:v>
      </x:c>
      <x:c r="D199" s="95" t="n">
        <x:v>45796</x:v>
      </x:c>
      <x:c r="E199" s="95" t="n">
        <x:v>45812</x:v>
      </x:c>
      <x:c r="F199" s="86" t="str">
        <x:v>Concluído</x:v>
      </x:c>
      <x:c r="G199" s="86" t="n">
        <x:v>7</x:v>
      </x:c>
      <x:c r="H199" s="93" t="n">
        <x:v>594.85</x:v>
      </x:c>
    </x:row>
    <x:row r="200">
      <x:c r="A200" s="85" t="n">
        <x:v>199</x:v>
      </x:c>
      <x:c r="B200" s="86" t="n">
        <x:v>142</x:v>
      </x:c>
      <x:c r="C200" s="86" t="n">
        <x:v>5</x:v>
      </x:c>
      <x:c r="D200" s="95" t="n">
        <x:v>45597</x:v>
      </x:c>
      <x:c r="E200" s="95" t="n">
        <x:v>45617</x:v>
      </x:c>
      <x:c r="F200" s="86" t="str">
        <x:v>Concluído</x:v>
      </x:c>
      <x:c r="G200" s="86" t="n">
        <x:v>7.2</x:v>
      </x:c>
      <x:c r="H200" s="93" t="n">
        <x:v>822.18</x:v>
      </x:c>
    </x:row>
    <x:row r="201">
      <x:c r="A201" s="85" t="n">
        <x:v>200</x:v>
      </x:c>
      <x:c r="B201" s="86" t="n">
        <x:v>1</x:v>
      </x:c>
      <x:c r="C201" s="86" t="n">
        <x:v>10</x:v>
      </x:c>
      <x:c r="D201" s="95" t="n">
        <x:v>45591</x:v>
      </x:c>
      <x:c r="E201" s="95" t="n">
        <x:v>45605</x:v>
      </x:c>
      <x:c r="F201" s="86" t="str">
        <x:v>Concluído</x:v>
      </x:c>
      <x:c r="G201" s="86" t="n">
        <x:v>6.9</x:v>
      </x:c>
      <x:c r="H201" s="93" t="n">
        <x:v>777.71</x:v>
      </x:c>
    </x:row>
    <x:row r="202">
      <x:c r="A202" s="85" t="n">
        <x:v>201</x:v>
      </x:c>
      <x:c r="B202" s="86" t="n">
        <x:v>113</x:v>
      </x:c>
      <x:c r="C202" s="86" t="n">
        <x:v>2</x:v>
      </x:c>
      <x:c r="D202" s="95" t="n">
        <x:v>45672</x:v>
      </x:c>
      <x:c r="E202" s="95" t="n">
        <x:v>45691</x:v>
      </x:c>
      <x:c r="F202" s="86" t="str">
        <x:v>Reprovado</x:v>
      </x:c>
      <x:c r="G202" s="86" t="n">
        <x:v>5.6</x:v>
      </x:c>
      <x:c r="H202" s="93" t="n">
        <x:v>131.84</x:v>
      </x:c>
    </x:row>
    <x:row r="203">
      <x:c r="A203" s="85" t="n">
        <x:v>202</x:v>
      </x:c>
      <x:c r="B203" s="86" t="n">
        <x:v>327</x:v>
      </x:c>
      <x:c r="C203" s="86" t="n">
        <x:v>1</x:v>
      </x:c>
      <x:c r="D203" s="95" t="n">
        <x:v>45495</x:v>
      </x:c>
      <x:c r="E203" s="95" t="n">
        <x:v>45497</x:v>
      </x:c>
      <x:c r="F203" s="86" t="str">
        <x:v>Concluído</x:v>
      </x:c>
      <x:c r="G203" s="86" t="n">
        <x:v>7.1</x:v>
      </x:c>
      <x:c r="H203" s="93" t="n">
        <x:v>163.18</x:v>
      </x:c>
    </x:row>
    <x:row r="204">
      <x:c r="A204" s="85" t="n">
        <x:v>203</x:v>
      </x:c>
      <x:c r="B204" s="86" t="n">
        <x:v>357</x:v>
      </x:c>
      <x:c r="C204" s="86" t="n">
        <x:v>9</x:v>
      </x:c>
      <x:c r="D204" s="95" t="n">
        <x:v>46002</x:v>
      </x:c>
      <x:c r="E204" s="95" t="n">
        <x:v>46008</x:v>
      </x:c>
      <x:c r="F204" s="86" t="str">
        <x:v>Concluído</x:v>
      </x:c>
      <x:c r="G204" s="86" t="n">
        <x:v>8.4</x:v>
      </x:c>
      <x:c r="H204" s="93" t="n">
        <x:v>94.33</x:v>
      </x:c>
    </x:row>
    <x:row r="205">
      <x:c r="A205" s="85" t="n">
        <x:v>204</x:v>
      </x:c>
      <x:c r="B205" s="86" t="n">
        <x:v>328</x:v>
      </x:c>
      <x:c r="C205" s="86" t="n">
        <x:v>1</x:v>
      </x:c>
      <x:c r="D205" s="95" t="n">
        <x:v>45687</x:v>
      </x:c>
      <x:c r="E205" s="95" t="n">
        <x:v>45689</x:v>
      </x:c>
      <x:c r="F205" s="86" t="str">
        <x:v>Concluído</x:v>
      </x:c>
      <x:c r="G205" s="86" t="n">
        <x:v>8.4</x:v>
      </x:c>
      <x:c r="H205" s="93" t="n">
        <x:v>791.58</x:v>
      </x:c>
    </x:row>
    <x:row r="206">
      <x:c r="A206" s="85" t="n">
        <x:v>205</x:v>
      </x:c>
      <x:c r="B206" s="86" t="n">
        <x:v>344</x:v>
      </x:c>
      <x:c r="C206" s="86" t="n">
        <x:v>6</x:v>
      </x:c>
      <x:c r="D206" s="95" t="n">
        <x:v>45731</x:v>
      </x:c>
      <x:c r="E206" s="95" t="n">
        <x:v>45743</x:v>
      </x:c>
      <x:c r="F206" s="86" t="str">
        <x:v>Concluído</x:v>
      </x:c>
      <x:c r="G206" s="86" t="n">
        <x:v>6.4</x:v>
      </x:c>
      <x:c r="H206" s="93" t="n">
        <x:v>378.89</x:v>
      </x:c>
    </x:row>
    <x:row r="207">
      <x:c r="A207" s="85" t="n">
        <x:v>206</x:v>
      </x:c>
      <x:c r="B207" s="86" t="n">
        <x:v>44</x:v>
      </x:c>
      <x:c r="C207" s="86" t="n">
        <x:v>1</x:v>
      </x:c>
      <x:c r="D207" s="95" t="n">
        <x:v>45828</x:v>
      </x:c>
      <x:c r="E207" s="95" t="n">
        <x:v>45838</x:v>
      </x:c>
      <x:c r="F207" s="86" t="str">
        <x:v>Concluído</x:v>
      </x:c>
      <x:c r="G207" s="86" t="n">
        <x:v>9.6</x:v>
      </x:c>
      <x:c r="H207" s="93" t="n">
        <x:v>356.32</x:v>
      </x:c>
    </x:row>
    <x:row r="208">
      <x:c r="A208" s="85" t="n">
        <x:v>207</x:v>
      </x:c>
      <x:c r="B208" s="86" t="n">
        <x:v>179</x:v>
      </x:c>
      <x:c r="C208" s="86" t="n">
        <x:v>6</x:v>
      </x:c>
      <x:c r="D208" s="95" t="n">
        <x:v>45791</x:v>
      </x:c>
      <x:c r="E208" s="95" t="n">
        <x:v>45793</x:v>
      </x:c>
      <x:c r="F208" s="86" t="str">
        <x:v>Concluído</x:v>
      </x:c>
      <x:c r="G208" s="86" t="n">
        <x:v>6</x:v>
      </x:c>
      <x:c r="H208" s="93" t="n">
        <x:v>522.89</x:v>
      </x:c>
    </x:row>
    <x:row r="209">
      <x:c r="A209" s="85" t="n">
        <x:v>208</x:v>
      </x:c>
      <x:c r="B209" s="86" t="n">
        <x:v>370</x:v>
      </x:c>
      <x:c r="C209" s="86" t="n">
        <x:v>9</x:v>
      </x:c>
      <x:c r="D209" s="95" t="n">
        <x:v>45997</x:v>
      </x:c>
      <x:c r="E209" s="95" t="n">
        <x:v>46004</x:v>
      </x:c>
      <x:c r="F209" s="86" t="str">
        <x:v>Concluído</x:v>
      </x:c>
      <x:c r="G209" s="86" t="n">
        <x:v>10</x:v>
      </x:c>
      <x:c r="H209" s="93" t="n">
        <x:v>227.59</x:v>
      </x:c>
    </x:row>
    <x:row r="210">
      <x:c r="A210" s="85" t="n">
        <x:v>209</x:v>
      </x:c>
      <x:c r="B210" s="86" t="n">
        <x:v>327</x:v>
      </x:c>
      <x:c r="C210" s="86" t="n">
        <x:v>2</x:v>
      </x:c>
      <x:c r="D210" s="95" t="n">
        <x:v>45378</x:v>
      </x:c>
      <x:c r="E210" s="95" t="n">
        <x:v>45382</x:v>
      </x:c>
      <x:c r="F210" s="86" t="str">
        <x:v>Concluído</x:v>
      </x:c>
      <x:c r="G210" s="86" t="n">
        <x:v>7.1</x:v>
      </x:c>
      <x:c r="H210" s="93" t="n">
        <x:v>230.19</x:v>
      </x:c>
    </x:row>
    <x:row r="211">
      <x:c r="A211" s="85" t="n">
        <x:v>210</x:v>
      </x:c>
      <x:c r="B211" s="86" t="n">
        <x:v>131</x:v>
      </x:c>
      <x:c r="C211" s="86" t="n">
        <x:v>3</x:v>
      </x:c>
      <x:c r="D211" s="95" t="n">
        <x:v>45737</x:v>
      </x:c>
      <x:c r="E211" s="95" t="n">
        <x:v>45743</x:v>
      </x:c>
      <x:c r="F211" s="86" t="str">
        <x:v>Concluído</x:v>
      </x:c>
      <x:c r="G211" s="86" t="n">
        <x:v>8.4</x:v>
      </x:c>
      <x:c r="H211" s="93" t="n">
        <x:v>347.37</x:v>
      </x:c>
    </x:row>
    <x:row r="212">
      <x:c r="A212" s="85" t="n">
        <x:v>211</x:v>
      </x:c>
      <x:c r="B212" s="86" t="n">
        <x:v>48</x:v>
      </x:c>
      <x:c r="C212" s="86" t="n">
        <x:v>8</x:v>
      </x:c>
      <x:c r="D212" s="95" t="n">
        <x:v>45622</x:v>
      </x:c>
      <x:c r="E212" s="95" t="n">
        <x:v>45636</x:v>
      </x:c>
      <x:c r="F212" s="86" t="str">
        <x:v>Concluído</x:v>
      </x:c>
      <x:c r="G212" s="86" t="n">
        <x:v>9.6</x:v>
      </x:c>
      <x:c r="H212" s="93" t="n">
        <x:v>821.73</x:v>
      </x:c>
    </x:row>
    <x:row r="213">
      <x:c r="A213" s="85" t="n">
        <x:v>212</x:v>
      </x:c>
      <x:c r="B213" s="86" t="n">
        <x:v>192</x:v>
      </x:c>
      <x:c r="C213" s="86" t="n">
        <x:v>1</x:v>
      </x:c>
      <x:c r="D213" s="95" t="n">
        <x:v>45355</x:v>
      </x:c>
      <x:c r="E213" s="95" t="n">
        <x:v>45373</x:v>
      </x:c>
      <x:c r="F213" s="86" t="str">
        <x:v>Concluído</x:v>
      </x:c>
      <x:c r="G213" s="86" t="n">
        <x:v>9.4</x:v>
      </x:c>
      <x:c r="H213" s="93" t="n">
        <x:v>263.49</x:v>
      </x:c>
    </x:row>
    <x:row r="214">
      <x:c r="A214" s="85" t="n">
        <x:v>213</x:v>
      </x:c>
      <x:c r="B214" s="86" t="n">
        <x:v>324</x:v>
      </x:c>
      <x:c r="C214" s="86" t="n">
        <x:v>6</x:v>
      </x:c>
      <x:c r="D214" s="95" t="n">
        <x:v>45968</x:v>
      </x:c>
      <x:c r="E214" s="95" t="n">
        <x:v>45986</x:v>
      </x:c>
      <x:c r="F214" s="86" t="str">
        <x:v>Concluído</x:v>
      </x:c>
      <x:c r="G214" s="86" t="n">
        <x:v>7.2</x:v>
      </x:c>
      <x:c r="H214" s="93" t="n">
        <x:v>153.46</x:v>
      </x:c>
    </x:row>
    <x:row r="215">
      <x:c r="A215" s="85" t="n">
        <x:v>214</x:v>
      </x:c>
      <x:c r="B215" s="86" t="n">
        <x:v>36</x:v>
      </x:c>
      <x:c r="C215" s="86" t="n">
        <x:v>9</x:v>
      </x:c>
      <x:c r="D215" s="95" t="n">
        <x:v>45631</x:v>
      </x:c>
      <x:c r="E215" s="95" t="n">
        <x:v>45641</x:v>
      </x:c>
      <x:c r="F215" s="86" t="str">
        <x:v>Concluído</x:v>
      </x:c>
      <x:c r="G215" s="86" t="n">
        <x:v>7.4</x:v>
      </x:c>
      <x:c r="H215" s="93" t="n">
        <x:v>738.03</x:v>
      </x:c>
    </x:row>
    <x:row r="216">
      <x:c r="A216" s="85" t="n">
        <x:v>215</x:v>
      </x:c>
      <x:c r="B216" s="86" t="n">
        <x:v>71</x:v>
      </x:c>
      <x:c r="C216" s="86" t="n">
        <x:v>7</x:v>
      </x:c>
      <x:c r="D216" s="95" t="n">
        <x:v>45928</x:v>
      </x:c>
      <x:c r="E216" s="95"/>
      <x:c r="F216" s="86" t="str">
        <x:v>Em andamento</x:v>
      </x:c>
      <x:c r="G216" s="86"/>
      <x:c r="H216" s="93" t="n">
        <x:v>373.66</x:v>
      </x:c>
    </x:row>
    <x:row r="217">
      <x:c r="A217" s="85" t="n">
        <x:v>216</x:v>
      </x:c>
      <x:c r="B217" s="86" t="n">
        <x:v>99</x:v>
      </x:c>
      <x:c r="C217" s="86" t="n">
        <x:v>2</x:v>
      </x:c>
      <x:c r="D217" s="95" t="n">
        <x:v>45441</x:v>
      </x:c>
      <x:c r="E217" s="95" t="n">
        <x:v>45456</x:v>
      </x:c>
      <x:c r="F217" s="86" t="str">
        <x:v>Concluído</x:v>
      </x:c>
      <x:c r="G217" s="86" t="n">
        <x:v>6.2</x:v>
      </x:c>
      <x:c r="H217" s="93" t="n">
        <x:v>627.93</x:v>
      </x:c>
    </x:row>
    <x:row r="218">
      <x:c r="A218" s="85" t="n">
        <x:v>217</x:v>
      </x:c>
      <x:c r="B218" s="86" t="n">
        <x:v>93</x:v>
      </x:c>
      <x:c r="C218" s="86" t="n">
        <x:v>8</x:v>
      </x:c>
      <x:c r="D218" s="95" t="n">
        <x:v>45588</x:v>
      </x:c>
      <x:c r="E218" s="95" t="n">
        <x:v>45592</x:v>
      </x:c>
      <x:c r="F218" s="86" t="str">
        <x:v>Concluído</x:v>
      </x:c>
      <x:c r="G218" s="86" t="n">
        <x:v>9.7</x:v>
      </x:c>
      <x:c r="H218" s="93" t="n">
        <x:v>273.9</x:v>
      </x:c>
    </x:row>
    <x:row r="219">
      <x:c r="A219" s="85" t="n">
        <x:v>218</x:v>
      </x:c>
      <x:c r="B219" s="86" t="n">
        <x:v>32</x:v>
      </x:c>
      <x:c r="C219" s="86" t="n">
        <x:v>10</x:v>
      </x:c>
      <x:c r="D219" s="95" t="n">
        <x:v>45472</x:v>
      </x:c>
      <x:c r="E219" s="95" t="n">
        <x:v>45479</x:v>
      </x:c>
      <x:c r="F219" s="86" t="str">
        <x:v>Concluído</x:v>
      </x:c>
      <x:c r="G219" s="86" t="n">
        <x:v>6.1</x:v>
      </x:c>
      <x:c r="H219" s="93" t="n">
        <x:v>181.74</x:v>
      </x:c>
    </x:row>
    <x:row r="220">
      <x:c r="A220" s="85" t="n">
        <x:v>219</x:v>
      </x:c>
      <x:c r="B220" s="86" t="n">
        <x:v>198</x:v>
      </x:c>
      <x:c r="C220" s="86" t="n">
        <x:v>9</x:v>
      </x:c>
      <x:c r="D220" s="95" t="n">
        <x:v>45643</x:v>
      </x:c>
      <x:c r="E220" s="95"/>
      <x:c r="F220" s="86" t="str">
        <x:v>Não iniciado</x:v>
      </x:c>
      <x:c r="G220" s="86"/>
      <x:c r="H220" s="93" t="n">
        <x:v>613.02</x:v>
      </x:c>
    </x:row>
    <x:row r="221">
      <x:c r="A221" s="85" t="n">
        <x:v>220</x:v>
      </x:c>
      <x:c r="B221" s="86" t="n">
        <x:v>406</x:v>
      </x:c>
      <x:c r="C221" s="86" t="n">
        <x:v>8</x:v>
      </x:c>
      <x:c r="D221" s="95" t="n">
        <x:v>45513</x:v>
      </x:c>
      <x:c r="E221" s="95" t="n">
        <x:v>45522</x:v>
      </x:c>
      <x:c r="F221" s="86" t="str">
        <x:v>Concluído</x:v>
      </x:c>
      <x:c r="G221" s="86" t="n">
        <x:v>8.5</x:v>
      </x:c>
      <x:c r="H221" s="93" t="n">
        <x:v>343.99</x:v>
      </x:c>
    </x:row>
    <x:row r="222">
      <x:c r="A222" s="85" t="n">
        <x:v>221</x:v>
      </x:c>
      <x:c r="B222" s="86" t="n">
        <x:v>283</x:v>
      </x:c>
      <x:c r="C222" s="86" t="n">
        <x:v>3</x:v>
      </x:c>
      <x:c r="D222" s="95" t="n">
        <x:v>45990</x:v>
      </x:c>
      <x:c r="E222" s="95" t="n">
        <x:v>45999</x:v>
      </x:c>
      <x:c r="F222" s="86" t="str">
        <x:v>Concluído</x:v>
      </x:c>
      <x:c r="G222" s="86" t="n">
        <x:v>9.8</x:v>
      </x:c>
      <x:c r="H222" s="93" t="n">
        <x:v>586.42</x:v>
      </x:c>
    </x:row>
    <x:row r="223">
      <x:c r="A223" s="85" t="n">
        <x:v>222</x:v>
      </x:c>
      <x:c r="B223" s="86" t="n">
        <x:v>187</x:v>
      </x:c>
      <x:c r="C223" s="86" t="n">
        <x:v>9</x:v>
      </x:c>
      <x:c r="D223" s="95" t="n">
        <x:v>45934</x:v>
      </x:c>
      <x:c r="E223" s="95" t="n">
        <x:v>45949</x:v>
      </x:c>
      <x:c r="F223" s="86" t="str">
        <x:v>Reprovado</x:v>
      </x:c>
      <x:c r="G223" s="86" t="n">
        <x:v>7.7</x:v>
      </x:c>
      <x:c r="H223" s="93" t="n">
        <x:v>722.89</x:v>
      </x:c>
    </x:row>
    <x:row r="224">
      <x:c r="A224" s="85" t="n">
        <x:v>223</x:v>
      </x:c>
      <x:c r="B224" s="86" t="n">
        <x:v>178</x:v>
      </x:c>
      <x:c r="C224" s="86" t="n">
        <x:v>6</x:v>
      </x:c>
      <x:c r="D224" s="95" t="n">
        <x:v>45822</x:v>
      </x:c>
      <x:c r="E224" s="95" t="n">
        <x:v>45829</x:v>
      </x:c>
      <x:c r="F224" s="86" t="str">
        <x:v>Reprovado</x:v>
      </x:c>
      <x:c r="G224" s="86" t="n">
        <x:v>6.4</x:v>
      </x:c>
      <x:c r="H224" s="93" t="n">
        <x:v>365.08</x:v>
      </x:c>
    </x:row>
    <x:row r="225">
      <x:c r="A225" s="85" t="n">
        <x:v>224</x:v>
      </x:c>
      <x:c r="B225" s="86" t="n">
        <x:v>90</x:v>
      </x:c>
      <x:c r="C225" s="86" t="n">
        <x:v>9</x:v>
      </x:c>
      <x:c r="D225" s="95" t="n">
        <x:v>45573</x:v>
      </x:c>
      <x:c r="E225" s="95" t="n">
        <x:v>45586</x:v>
      </x:c>
      <x:c r="F225" s="86" t="str">
        <x:v>Concluído</x:v>
      </x:c>
      <x:c r="G225" s="86" t="n">
        <x:v>5.9</x:v>
      </x:c>
      <x:c r="H225" s="93" t="n">
        <x:v>179.05</x:v>
      </x:c>
    </x:row>
    <x:row r="226">
      <x:c r="A226" s="85" t="n">
        <x:v>225</x:v>
      </x:c>
      <x:c r="B226" s="86" t="n">
        <x:v>208</x:v>
      </x:c>
      <x:c r="C226" s="86" t="n">
        <x:v>6</x:v>
      </x:c>
      <x:c r="D226" s="95" t="n">
        <x:v>45793</x:v>
      </x:c>
      <x:c r="E226" s="95" t="n">
        <x:v>45794</x:v>
      </x:c>
      <x:c r="F226" s="86" t="str">
        <x:v>Concluído</x:v>
      </x:c>
      <x:c r="G226" s="86" t="n">
        <x:v>8.1</x:v>
      </x:c>
      <x:c r="H226" s="93" t="n">
        <x:v>191.77</x:v>
      </x:c>
    </x:row>
    <x:row r="227">
      <x:c r="A227" s="85" t="n">
        <x:v>226</x:v>
      </x:c>
      <x:c r="B227" s="86" t="n">
        <x:v>380</x:v>
      </x:c>
      <x:c r="C227" s="86" t="n">
        <x:v>3</x:v>
      </x:c>
      <x:c r="D227" s="95" t="n">
        <x:v>45864</x:v>
      </x:c>
      <x:c r="E227" s="95"/>
      <x:c r="F227" s="86" t="str">
        <x:v>Em andamento</x:v>
      </x:c>
      <x:c r="G227" s="86"/>
      <x:c r="H227" s="93" t="n">
        <x:v>170.05</x:v>
      </x:c>
    </x:row>
    <x:row r="228">
      <x:c r="A228" s="85" t="n">
        <x:v>227</x:v>
      </x:c>
      <x:c r="B228" s="86" t="n">
        <x:v>377</x:v>
      </x:c>
      <x:c r="C228" s="86" t="n">
        <x:v>10</x:v>
      </x:c>
      <x:c r="D228" s="95" t="n">
        <x:v>45831</x:v>
      </x:c>
      <x:c r="E228" s="95" t="n">
        <x:v>45849</x:v>
      </x:c>
      <x:c r="F228" s="86" t="str">
        <x:v>Concluído</x:v>
      </x:c>
      <x:c r="G228" s="86" t="n">
        <x:v>9.5</x:v>
      </x:c>
      <x:c r="H228" s="93" t="n">
        <x:v>352.46</x:v>
      </x:c>
    </x:row>
    <x:row r="229">
      <x:c r="A229" s="85" t="n">
        <x:v>228</x:v>
      </x:c>
      <x:c r="B229" s="86" t="n">
        <x:v>374</x:v>
      </x:c>
      <x:c r="C229" s="86" t="n">
        <x:v>5</x:v>
      </x:c>
      <x:c r="D229" s="95" t="n">
        <x:v>45371</x:v>
      </x:c>
      <x:c r="E229" s="95" t="n">
        <x:v>45377</x:v>
      </x:c>
      <x:c r="F229" s="86" t="str">
        <x:v>Concluído</x:v>
      </x:c>
      <x:c r="G229" s="86" t="n">
        <x:v>6.1</x:v>
      </x:c>
      <x:c r="H229" s="93" t="n">
        <x:v>230.73</x:v>
      </x:c>
    </x:row>
    <x:row r="230">
      <x:c r="A230" s="85" t="n">
        <x:v>229</x:v>
      </x:c>
      <x:c r="B230" s="86" t="n">
        <x:v>370</x:v>
      </x:c>
      <x:c r="C230" s="86" t="n">
        <x:v>2</x:v>
      </x:c>
      <x:c r="D230" s="95" t="n">
        <x:v>45967</x:v>
      </x:c>
      <x:c r="E230" s="95" t="n">
        <x:v>45969</x:v>
      </x:c>
      <x:c r="F230" s="86" t="str">
        <x:v>Concluído</x:v>
      </x:c>
      <x:c r="G230" s="86" t="n">
        <x:v>9.6</x:v>
      </x:c>
      <x:c r="H230" s="93" t="n">
        <x:v>90.66</x:v>
      </x:c>
    </x:row>
    <x:row r="231">
      <x:c r="A231" s="85" t="n">
        <x:v>230</x:v>
      </x:c>
      <x:c r="B231" s="86" t="n">
        <x:v>307</x:v>
      </x:c>
      <x:c r="C231" s="86" t="n">
        <x:v>8</x:v>
      </x:c>
      <x:c r="D231" s="95" t="n">
        <x:v>45795</x:v>
      </x:c>
      <x:c r="E231" s="95"/>
      <x:c r="F231" s="86" t="str">
        <x:v>Não iniciado</x:v>
      </x:c>
      <x:c r="G231" s="86"/>
      <x:c r="H231" s="93" t="n">
        <x:v>244.95</x:v>
      </x:c>
    </x:row>
    <x:row r="232">
      <x:c r="A232" s="85" t="n">
        <x:v>231</x:v>
      </x:c>
      <x:c r="B232" s="86" t="n">
        <x:v>91</x:v>
      </x:c>
      <x:c r="C232" s="86" t="n">
        <x:v>10</x:v>
      </x:c>
      <x:c r="D232" s="95" t="n">
        <x:v>45906</x:v>
      </x:c>
      <x:c r="E232" s="95" t="n">
        <x:v>45920</x:v>
      </x:c>
      <x:c r="F232" s="86" t="str">
        <x:v>Concluído</x:v>
      </x:c>
      <x:c r="G232" s="86" t="n">
        <x:v>9.8</x:v>
      </x:c>
      <x:c r="H232" s="93" t="n">
        <x:v>639.09</x:v>
      </x:c>
    </x:row>
    <x:row r="233">
      <x:c r="A233" s="85" t="n">
        <x:v>232</x:v>
      </x:c>
      <x:c r="B233" s="86" t="n">
        <x:v>106</x:v>
      </x:c>
      <x:c r="C233" s="86" t="n">
        <x:v>9</x:v>
      </x:c>
      <x:c r="D233" s="95" t="n">
        <x:v>45814</x:v>
      </x:c>
      <x:c r="E233" s="95" t="n">
        <x:v>45821</x:v>
      </x:c>
      <x:c r="F233" s="86" t="str">
        <x:v>Reprovado</x:v>
      </x:c>
      <x:c r="G233" s="86" t="n">
        <x:v>6.5</x:v>
      </x:c>
      <x:c r="H233" s="93" t="n">
        <x:v>106.8</x:v>
      </x:c>
    </x:row>
    <x:row r="234">
      <x:c r="A234" s="85" t="n">
        <x:v>233</x:v>
      </x:c>
      <x:c r="B234" s="86" t="n">
        <x:v>44</x:v>
      </x:c>
      <x:c r="C234" s="86" t="n">
        <x:v>1</x:v>
      </x:c>
      <x:c r="D234" s="95" t="n">
        <x:v>46006</x:v>
      </x:c>
      <x:c r="E234" s="95" t="n">
        <x:v>46022</x:v>
      </x:c>
      <x:c r="F234" s="86" t="str">
        <x:v>Concluído</x:v>
      </x:c>
      <x:c r="G234" s="86" t="n">
        <x:v>9.8</x:v>
      </x:c>
      <x:c r="H234" s="93" t="n">
        <x:v>286.06</x:v>
      </x:c>
    </x:row>
    <x:row r="235">
      <x:c r="A235" s="85" t="n">
        <x:v>234</x:v>
      </x:c>
      <x:c r="B235" s="86" t="n">
        <x:v>363</x:v>
      </x:c>
      <x:c r="C235" s="86" t="n">
        <x:v>3</x:v>
      </x:c>
      <x:c r="D235" s="95" t="n">
        <x:v>45966</x:v>
      </x:c>
      <x:c r="E235" s="95" t="n">
        <x:v>45973</x:v>
      </x:c>
      <x:c r="F235" s="86" t="str">
        <x:v>Concluído</x:v>
      </x:c>
      <x:c r="G235" s="86" t="n">
        <x:v>6.6</x:v>
      </x:c>
      <x:c r="H235" s="93" t="n">
        <x:v>365.77</x:v>
      </x:c>
    </x:row>
    <x:row r="236">
      <x:c r="A236" s="85" t="n">
        <x:v>235</x:v>
      </x:c>
      <x:c r="B236" s="86" t="n">
        <x:v>48</x:v>
      </x:c>
      <x:c r="C236" s="86" t="n">
        <x:v>3</x:v>
      </x:c>
      <x:c r="D236" s="95" t="n">
        <x:v>45961</x:v>
      </x:c>
      <x:c r="E236" s="95" t="n">
        <x:v>45979</x:v>
      </x:c>
      <x:c r="F236" s="86" t="str">
        <x:v>Concluído</x:v>
      </x:c>
      <x:c r="G236" s="86" t="n">
        <x:v>6.3</x:v>
      </x:c>
      <x:c r="H236" s="93" t="n">
        <x:v>651.4</x:v>
      </x:c>
    </x:row>
    <x:row r="237">
      <x:c r="A237" s="85" t="n">
        <x:v>236</x:v>
      </x:c>
      <x:c r="B237" s="86" t="n">
        <x:v>403</x:v>
      </x:c>
      <x:c r="C237" s="86" t="n">
        <x:v>2</x:v>
      </x:c>
      <x:c r="D237" s="95" t="n">
        <x:v>46011</x:v>
      </x:c>
      <x:c r="E237" s="95" t="n">
        <x:v>46024</x:v>
      </x:c>
      <x:c r="F237" s="86" t="str">
        <x:v>Reprovado</x:v>
      </x:c>
      <x:c r="G237" s="86" t="n">
        <x:v>9.8</x:v>
      </x:c>
      <x:c r="H237" s="93" t="n">
        <x:v>758.26</x:v>
      </x:c>
    </x:row>
    <x:row r="238">
      <x:c r="A238" s="85" t="n">
        <x:v>237</x:v>
      </x:c>
      <x:c r="B238" s="86" t="n">
        <x:v>149</x:v>
      </x:c>
      <x:c r="C238" s="86" t="n">
        <x:v>7</x:v>
      </x:c>
      <x:c r="D238" s="95" t="n">
        <x:v>45524</x:v>
      </x:c>
      <x:c r="E238" s="95" t="n">
        <x:v>45540</x:v>
      </x:c>
      <x:c r="F238" s="86" t="str">
        <x:v>Concluído</x:v>
      </x:c>
      <x:c r="G238" s="86" t="n">
        <x:v>9.8</x:v>
      </x:c>
      <x:c r="H238" s="93" t="n">
        <x:v>718.44</x:v>
      </x:c>
    </x:row>
    <x:row r="239">
      <x:c r="A239" s="85" t="n">
        <x:v>238</x:v>
      </x:c>
      <x:c r="B239" s="86" t="n">
        <x:v>207</x:v>
      </x:c>
      <x:c r="C239" s="86" t="n">
        <x:v>1</x:v>
      </x:c>
      <x:c r="D239" s="95" t="n">
        <x:v>45717</x:v>
      </x:c>
      <x:c r="E239" s="95" t="n">
        <x:v>45732</x:v>
      </x:c>
      <x:c r="F239" s="86" t="str">
        <x:v>Concluído</x:v>
      </x:c>
      <x:c r="G239" s="86" t="n">
        <x:v>7.8</x:v>
      </x:c>
      <x:c r="H239" s="93" t="n">
        <x:v>499.6</x:v>
      </x:c>
    </x:row>
    <x:row r="240">
      <x:c r="A240" s="85" t="n">
        <x:v>239</x:v>
      </x:c>
      <x:c r="B240" s="86" t="n">
        <x:v>251</x:v>
      </x:c>
      <x:c r="C240" s="86" t="n">
        <x:v>3</x:v>
      </x:c>
      <x:c r="D240" s="95" t="n">
        <x:v>46022</x:v>
      </x:c>
      <x:c r="E240" s="95" t="n">
        <x:v>46033</x:v>
      </x:c>
      <x:c r="F240" s="86" t="str">
        <x:v>Concluído</x:v>
      </x:c>
      <x:c r="G240" s="86" t="n">
        <x:v>6.9</x:v>
      </x:c>
      <x:c r="H240" s="93" t="n">
        <x:v>607.34</x:v>
      </x:c>
    </x:row>
    <x:row r="241">
      <x:c r="A241" s="85" t="n">
        <x:v>240</x:v>
      </x:c>
      <x:c r="B241" s="86" t="n">
        <x:v>215</x:v>
      </x:c>
      <x:c r="C241" s="86" t="n">
        <x:v>3</x:v>
      </x:c>
      <x:c r="D241" s="95" t="n">
        <x:v>45521</x:v>
      </x:c>
      <x:c r="E241" s="95" t="n">
        <x:v>45527</x:v>
      </x:c>
      <x:c r="F241" s="86" t="str">
        <x:v>Concluído</x:v>
      </x:c>
      <x:c r="G241" s="86" t="n">
        <x:v>7</x:v>
      </x:c>
      <x:c r="H241" s="93" t="n">
        <x:v>429.94</x:v>
      </x:c>
    </x:row>
    <x:row r="242">
      <x:c r="A242" s="85" t="n">
        <x:v>241</x:v>
      </x:c>
      <x:c r="B242" s="86" t="n">
        <x:v>66</x:v>
      </x:c>
      <x:c r="C242" s="86" t="n">
        <x:v>1</x:v>
      </x:c>
      <x:c r="D242" s="95" t="n">
        <x:v>45355</x:v>
      </x:c>
      <x:c r="E242" s="95" t="n">
        <x:v>45363</x:v>
      </x:c>
      <x:c r="F242" s="86" t="str">
        <x:v>Concluído</x:v>
      </x:c>
      <x:c r="G242" s="86" t="n">
        <x:v>6.4</x:v>
      </x:c>
      <x:c r="H242" s="93" t="n">
        <x:v>827.59</x:v>
      </x:c>
    </x:row>
    <x:row r="243">
      <x:c r="A243" s="85" t="n">
        <x:v>242</x:v>
      </x:c>
      <x:c r="B243" s="86" t="n">
        <x:v>359</x:v>
      </x:c>
      <x:c r="C243" s="86" t="n">
        <x:v>4</x:v>
      </x:c>
      <x:c r="D243" s="95" t="n">
        <x:v>45386</x:v>
      </x:c>
      <x:c r="E243" s="95"/>
      <x:c r="F243" s="86" t="str">
        <x:v>Não iniciado</x:v>
      </x:c>
      <x:c r="G243" s="86"/>
      <x:c r="H243" s="93" t="n">
        <x:v>329.06</x:v>
      </x:c>
    </x:row>
    <x:row r="244">
      <x:c r="A244" s="85" t="n">
        <x:v>243</x:v>
      </x:c>
      <x:c r="B244" s="86" t="n">
        <x:v>420</x:v>
      </x:c>
      <x:c r="C244" s="86" t="n">
        <x:v>4</x:v>
      </x:c>
      <x:c r="D244" s="95" t="n">
        <x:v>45899</x:v>
      </x:c>
      <x:c r="E244" s="95" t="n">
        <x:v>45916</x:v>
      </x:c>
      <x:c r="F244" s="86" t="str">
        <x:v>Concluído</x:v>
      </x:c>
      <x:c r="G244" s="86" t="n">
        <x:v>8.7</x:v>
      </x:c>
      <x:c r="H244" s="93" t="n">
        <x:v>715.5</x:v>
      </x:c>
    </x:row>
    <x:row r="245">
      <x:c r="A245" s="85" t="n">
        <x:v>244</x:v>
      </x:c>
      <x:c r="B245" s="86" t="n">
        <x:v>405</x:v>
      </x:c>
      <x:c r="C245" s="86" t="n">
        <x:v>10</x:v>
      </x:c>
      <x:c r="D245" s="95" t="n">
        <x:v>45742</x:v>
      </x:c>
      <x:c r="E245" s="95" t="n">
        <x:v>45753</x:v>
      </x:c>
      <x:c r="F245" s="86" t="str">
        <x:v>Concluído</x:v>
      </x:c>
      <x:c r="G245" s="86" t="n">
        <x:v>5.1</x:v>
      </x:c>
      <x:c r="H245" s="93" t="n">
        <x:v>722.3</x:v>
      </x:c>
    </x:row>
    <x:row r="246">
      <x:c r="A246" s="85" t="n">
        <x:v>245</x:v>
      </x:c>
      <x:c r="B246" s="86" t="n">
        <x:v>327</x:v>
      </x:c>
      <x:c r="C246" s="86" t="n">
        <x:v>8</x:v>
      </x:c>
      <x:c r="D246" s="95" t="n">
        <x:v>45447</x:v>
      </x:c>
      <x:c r="E246" s="95" t="n">
        <x:v>45456</x:v>
      </x:c>
      <x:c r="F246" s="86" t="str">
        <x:v>Concluído</x:v>
      </x:c>
      <x:c r="G246" s="86" t="n">
        <x:v>7.6</x:v>
      </x:c>
      <x:c r="H246" s="93" t="n">
        <x:v>846.94</x:v>
      </x:c>
    </x:row>
    <x:row r="247">
      <x:c r="A247" s="85" t="n">
        <x:v>246</x:v>
      </x:c>
      <x:c r="B247" s="86" t="n">
        <x:v>104</x:v>
      </x:c>
      <x:c r="C247" s="86" t="n">
        <x:v>9</x:v>
      </x:c>
      <x:c r="D247" s="95" t="n">
        <x:v>45906</x:v>
      </x:c>
      <x:c r="E247" s="95" t="n">
        <x:v>45918</x:v>
      </x:c>
      <x:c r="F247" s="86" t="str">
        <x:v>Concluído</x:v>
      </x:c>
      <x:c r="G247" s="86" t="n">
        <x:v>5.4</x:v>
      </x:c>
      <x:c r="H247" s="93" t="n">
        <x:v>659.39</x:v>
      </x:c>
    </x:row>
    <x:row r="248">
      <x:c r="A248" s="85" t="n">
        <x:v>247</x:v>
      </x:c>
      <x:c r="B248" s="86" t="n">
        <x:v>225</x:v>
      </x:c>
      <x:c r="C248" s="86" t="n">
        <x:v>3</x:v>
      </x:c>
      <x:c r="D248" s="95" t="n">
        <x:v>45866</x:v>
      </x:c>
      <x:c r="E248" s="95"/>
      <x:c r="F248" s="86" t="str">
        <x:v>Não iniciado</x:v>
      </x:c>
      <x:c r="G248" s="86"/>
      <x:c r="H248" s="93" t="n">
        <x:v>812.97</x:v>
      </x:c>
    </x:row>
    <x:row r="249">
      <x:c r="A249" s="85" t="n">
        <x:v>248</x:v>
      </x:c>
      <x:c r="B249" s="86" t="n">
        <x:v>350</x:v>
      </x:c>
      <x:c r="C249" s="86" t="n">
        <x:v>6</x:v>
      </x:c>
      <x:c r="D249" s="95" t="n">
        <x:v>45907</x:v>
      </x:c>
      <x:c r="E249" s="95" t="n">
        <x:v>45915</x:v>
      </x:c>
      <x:c r="F249" s="86" t="str">
        <x:v>Concluído</x:v>
      </x:c>
      <x:c r="G249" s="86" t="n">
        <x:v>7.1</x:v>
      </x:c>
      <x:c r="H249" s="93" t="n">
        <x:v>604.25</x:v>
      </x:c>
    </x:row>
    <x:row r="250">
      <x:c r="A250" s="85" t="n">
        <x:v>249</x:v>
      </x:c>
      <x:c r="B250" s="86" t="n">
        <x:v>231</x:v>
      </x:c>
      <x:c r="C250" s="86" t="n">
        <x:v>9</x:v>
      </x:c>
      <x:c r="D250" s="95" t="n">
        <x:v>45487</x:v>
      </x:c>
      <x:c r="E250" s="95" t="n">
        <x:v>45491</x:v>
      </x:c>
      <x:c r="F250" s="86" t="str">
        <x:v>Concluído</x:v>
      </x:c>
      <x:c r="G250" s="86" t="n">
        <x:v>9.1</x:v>
      </x:c>
      <x:c r="H250" s="93" t="n">
        <x:v>768.64</x:v>
      </x:c>
    </x:row>
    <x:row r="251">
      <x:c r="A251" s="85" t="n">
        <x:v>250</x:v>
      </x:c>
      <x:c r="B251" s="86" t="n">
        <x:v>35</x:v>
      </x:c>
      <x:c r="C251" s="86" t="n">
        <x:v>2</x:v>
      </x:c>
      <x:c r="D251" s="95" t="n">
        <x:v>45403</x:v>
      </x:c>
      <x:c r="E251" s="95" t="n">
        <x:v>45423</x:v>
      </x:c>
      <x:c r="F251" s="86" t="str">
        <x:v>Concluído</x:v>
      </x:c>
      <x:c r="G251" s="86" t="n">
        <x:v>5.8</x:v>
      </x:c>
      <x:c r="H251" s="93" t="n">
        <x:v>184</x:v>
      </x:c>
    </x:row>
    <x:row r="252">
      <x:c r="A252" s="85" t="n">
        <x:v>251</x:v>
      </x:c>
      <x:c r="B252" s="86" t="n">
        <x:v>18</x:v>
      </x:c>
      <x:c r="C252" s="86" t="n">
        <x:v>9</x:v>
      </x:c>
      <x:c r="D252" s="95" t="n">
        <x:v>45983</x:v>
      </x:c>
      <x:c r="E252" s="95" t="n">
        <x:v>45992</x:v>
      </x:c>
      <x:c r="F252" s="86" t="str">
        <x:v>Concluído</x:v>
      </x:c>
      <x:c r="G252" s="86" t="n">
        <x:v>6.5</x:v>
      </x:c>
      <x:c r="H252" s="93" t="n">
        <x:v>610.47</x:v>
      </x:c>
    </x:row>
    <x:row r="253">
      <x:c r="A253" s="85" t="n">
        <x:v>252</x:v>
      </x:c>
      <x:c r="B253" s="86" t="n">
        <x:v>281</x:v>
      </x:c>
      <x:c r="C253" s="86" t="n">
        <x:v>1</x:v>
      </x:c>
      <x:c r="D253" s="95" t="n">
        <x:v>45657</x:v>
      </x:c>
      <x:c r="E253" s="95"/>
      <x:c r="F253" s="86" t="str">
        <x:v>Não iniciado</x:v>
      </x:c>
      <x:c r="G253" s="86"/>
      <x:c r="H253" s="93" t="n">
        <x:v>140.2</x:v>
      </x:c>
    </x:row>
    <x:row r="254">
      <x:c r="A254" s="85" t="n">
        <x:v>253</x:v>
      </x:c>
      <x:c r="B254" s="86" t="n">
        <x:v>177</x:v>
      </x:c>
      <x:c r="C254" s="86" t="n">
        <x:v>6</x:v>
      </x:c>
      <x:c r="D254" s="95" t="n">
        <x:v>45896</x:v>
      </x:c>
      <x:c r="E254" s="95" t="n">
        <x:v>45916</x:v>
      </x:c>
      <x:c r="F254" s="86" t="str">
        <x:v>Concluído</x:v>
      </x:c>
      <x:c r="G254" s="86" t="n">
        <x:v>6.4</x:v>
      </x:c>
      <x:c r="H254" s="93" t="n">
        <x:v>690.47</x:v>
      </x:c>
    </x:row>
    <x:row r="255">
      <x:c r="A255" s="85" t="n">
        <x:v>254</x:v>
      </x:c>
      <x:c r="B255" s="86" t="n">
        <x:v>389</x:v>
      </x:c>
      <x:c r="C255" s="86" t="n">
        <x:v>8</x:v>
      </x:c>
      <x:c r="D255" s="95" t="n">
        <x:v>45370</x:v>
      </x:c>
      <x:c r="E255" s="95" t="n">
        <x:v>45387</x:v>
      </x:c>
      <x:c r="F255" s="86" t="str">
        <x:v>Concluído</x:v>
      </x:c>
      <x:c r="G255" s="86" t="n">
        <x:v>6.8</x:v>
      </x:c>
      <x:c r="H255" s="93" t="n">
        <x:v>819.65</x:v>
      </x:c>
    </x:row>
    <x:row r="256">
      <x:c r="A256" s="85" t="n">
        <x:v>255</x:v>
      </x:c>
      <x:c r="B256" s="86" t="n">
        <x:v>364</x:v>
      </x:c>
      <x:c r="C256" s="86" t="n">
        <x:v>3</x:v>
      </x:c>
      <x:c r="D256" s="95" t="n">
        <x:v>45572</x:v>
      </x:c>
      <x:c r="E256" s="95" t="n">
        <x:v>45580</x:v>
      </x:c>
      <x:c r="F256" s="86" t="str">
        <x:v>Concluído</x:v>
      </x:c>
      <x:c r="G256" s="86" t="n">
        <x:v>5.3</x:v>
      </x:c>
      <x:c r="H256" s="93" t="n">
        <x:v>149.2</x:v>
      </x:c>
    </x:row>
    <x:row r="257">
      <x:c r="A257" s="85" t="n">
        <x:v>256</x:v>
      </x:c>
      <x:c r="B257" s="86" t="n">
        <x:v>338</x:v>
      </x:c>
      <x:c r="C257" s="86" t="n">
        <x:v>3</x:v>
      </x:c>
      <x:c r="D257" s="95" t="n">
        <x:v>45637</x:v>
      </x:c>
      <x:c r="E257" s="95" t="n">
        <x:v>45644</x:v>
      </x:c>
      <x:c r="F257" s="86" t="str">
        <x:v>Concluído</x:v>
      </x:c>
      <x:c r="G257" s="86" t="n">
        <x:v>9.5</x:v>
      </x:c>
      <x:c r="H257" s="93" t="n">
        <x:v>595.93</x:v>
      </x:c>
    </x:row>
    <x:row r="258">
      <x:c r="A258" s="85" t="n">
        <x:v>257</x:v>
      </x:c>
      <x:c r="B258" s="86" t="n">
        <x:v>329</x:v>
      </x:c>
      <x:c r="C258" s="86" t="n">
        <x:v>2</x:v>
      </x:c>
      <x:c r="D258" s="95" t="n">
        <x:v>45446</x:v>
      </x:c>
      <x:c r="E258" s="95" t="n">
        <x:v>45464</x:v>
      </x:c>
      <x:c r="F258" s="86" t="str">
        <x:v>Concluído</x:v>
      </x:c>
      <x:c r="G258" s="86" t="n">
        <x:v>8.1</x:v>
      </x:c>
      <x:c r="H258" s="93" t="n">
        <x:v>244.22</x:v>
      </x:c>
    </x:row>
    <x:row r="259">
      <x:c r="A259" s="85" t="n">
        <x:v>258</x:v>
      </x:c>
      <x:c r="B259" s="86" t="n">
        <x:v>360</x:v>
      </x:c>
      <x:c r="C259" s="86" t="n">
        <x:v>4</x:v>
      </x:c>
      <x:c r="D259" s="95" t="n">
        <x:v>45292</x:v>
      </x:c>
      <x:c r="E259" s="95" t="n">
        <x:v>45298</x:v>
      </x:c>
      <x:c r="F259" s="86" t="str">
        <x:v>Concluído</x:v>
      </x:c>
      <x:c r="G259" s="86" t="n">
        <x:v>7.2</x:v>
      </x:c>
      <x:c r="H259" s="93" t="n">
        <x:v>745.84</x:v>
      </x:c>
    </x:row>
    <x:row r="260">
      <x:c r="A260" s="85" t="n">
        <x:v>259</x:v>
      </x:c>
      <x:c r="B260" s="86" t="n">
        <x:v>86</x:v>
      </x:c>
      <x:c r="C260" s="86" t="n">
        <x:v>10</x:v>
      </x:c>
      <x:c r="D260" s="95" t="n">
        <x:v>45877</x:v>
      </x:c>
      <x:c r="E260" s="95" t="n">
        <x:v>45885</x:v>
      </x:c>
      <x:c r="F260" s="86" t="str">
        <x:v>Concluído</x:v>
      </x:c>
      <x:c r="G260" s="86" t="n">
        <x:v>5.1</x:v>
      </x:c>
      <x:c r="H260" s="93" t="n">
        <x:v>523.6</x:v>
      </x:c>
    </x:row>
    <x:row r="261">
      <x:c r="A261" s="85" t="n">
        <x:v>260</x:v>
      </x:c>
      <x:c r="B261" s="86" t="n">
        <x:v>3</x:v>
      </x:c>
      <x:c r="C261" s="86" t="n">
        <x:v>5</x:v>
      </x:c>
      <x:c r="D261" s="95" t="n">
        <x:v>45756</x:v>
      </x:c>
      <x:c r="E261" s="95" t="n">
        <x:v>45758</x:v>
      </x:c>
      <x:c r="F261" s="86" t="str">
        <x:v>Concluído</x:v>
      </x:c>
      <x:c r="G261" s="86" t="n">
        <x:v>9.7</x:v>
      </x:c>
      <x:c r="H261" s="93" t="n">
        <x:v>750.75</x:v>
      </x:c>
    </x:row>
    <x:row r="262">
      <x:c r="A262" s="85" t="n">
        <x:v>261</x:v>
      </x:c>
      <x:c r="B262" s="86" t="n">
        <x:v>325</x:v>
      </x:c>
      <x:c r="C262" s="86" t="n">
        <x:v>9</x:v>
      </x:c>
      <x:c r="D262" s="95" t="n">
        <x:v>45662</x:v>
      </x:c>
      <x:c r="E262" s="95"/>
      <x:c r="F262" s="86" t="str">
        <x:v>Em andamento</x:v>
      </x:c>
      <x:c r="G262" s="86"/>
      <x:c r="H262" s="93" t="n">
        <x:v>757.2</x:v>
      </x:c>
    </x:row>
    <x:row r="263">
      <x:c r="A263" s="85" t="n">
        <x:v>262</x:v>
      </x:c>
      <x:c r="B263" s="86" t="n">
        <x:v>183</x:v>
      </x:c>
      <x:c r="C263" s="86" t="n">
        <x:v>10</x:v>
      </x:c>
      <x:c r="D263" s="95" t="n">
        <x:v>45929</x:v>
      </x:c>
      <x:c r="E263" s="95" t="n">
        <x:v>45943</x:v>
      </x:c>
      <x:c r="F263" s="86" t="str">
        <x:v>Concluído</x:v>
      </x:c>
      <x:c r="G263" s="86" t="n">
        <x:v>6.4</x:v>
      </x:c>
      <x:c r="H263" s="93" t="n">
        <x:v>271.86</x:v>
      </x:c>
    </x:row>
    <x:row r="264">
      <x:c r="A264" s="85" t="n">
        <x:v>263</x:v>
      </x:c>
      <x:c r="B264" s="86" t="n">
        <x:v>171</x:v>
      </x:c>
      <x:c r="C264" s="86" t="n">
        <x:v>3</x:v>
      </x:c>
      <x:c r="D264" s="95" t="n">
        <x:v>45744</x:v>
      </x:c>
      <x:c r="E264" s="95" t="n">
        <x:v>45755</x:v>
      </x:c>
      <x:c r="F264" s="86" t="str">
        <x:v>Reprovado</x:v>
      </x:c>
      <x:c r="G264" s="86" t="n">
        <x:v>8.8</x:v>
      </x:c>
      <x:c r="H264" s="93" t="n">
        <x:v>399.82</x:v>
      </x:c>
    </x:row>
    <x:row r="265">
      <x:c r="A265" s="85" t="n">
        <x:v>264</x:v>
      </x:c>
      <x:c r="B265" s="86" t="n">
        <x:v>123</x:v>
      </x:c>
      <x:c r="C265" s="86" t="n">
        <x:v>2</x:v>
      </x:c>
      <x:c r="D265" s="95" t="n">
        <x:v>45844</x:v>
      </x:c>
      <x:c r="E265" s="95" t="n">
        <x:v>45857</x:v>
      </x:c>
      <x:c r="F265" s="86" t="str">
        <x:v>Concluído</x:v>
      </x:c>
      <x:c r="G265" s="86" t="n">
        <x:v>5.5</x:v>
      </x:c>
      <x:c r="H265" s="93" t="n">
        <x:v>169.4</x:v>
      </x:c>
    </x:row>
    <x:row r="266">
      <x:c r="A266" s="85" t="n">
        <x:v>265</x:v>
      </x:c>
      <x:c r="B266" s="86" t="n">
        <x:v>14</x:v>
      </x:c>
      <x:c r="C266" s="86" t="n">
        <x:v>2</x:v>
      </x:c>
      <x:c r="D266" s="95" t="n">
        <x:v>46022</x:v>
      </x:c>
      <x:c r="E266" s="95" t="n">
        <x:v>46031</x:v>
      </x:c>
      <x:c r="F266" s="86" t="str">
        <x:v>Concluído</x:v>
      </x:c>
      <x:c r="G266" s="86" t="n">
        <x:v>9.4</x:v>
      </x:c>
      <x:c r="H266" s="93" t="n">
        <x:v>430.36</x:v>
      </x:c>
    </x:row>
    <x:row r="267">
      <x:c r="A267" s="85" t="n">
        <x:v>266</x:v>
      </x:c>
      <x:c r="B267" s="86" t="n">
        <x:v>231</x:v>
      </x:c>
      <x:c r="C267" s="86" t="n">
        <x:v>5</x:v>
      </x:c>
      <x:c r="D267" s="95" t="n">
        <x:v>45793</x:v>
      </x:c>
      <x:c r="E267" s="95"/>
      <x:c r="F267" s="86" t="str">
        <x:v>Não iniciado</x:v>
      </x:c>
      <x:c r="G267" s="86"/>
      <x:c r="H267" s="93" t="n">
        <x:v>83.51</x:v>
      </x:c>
    </x:row>
    <x:row r="268">
      <x:c r="A268" s="85" t="n">
        <x:v>267</x:v>
      </x:c>
      <x:c r="B268" s="86" t="n">
        <x:v>32</x:v>
      </x:c>
      <x:c r="C268" s="86" t="n">
        <x:v>5</x:v>
      </x:c>
      <x:c r="D268" s="95" t="n">
        <x:v>46009</x:v>
      </x:c>
      <x:c r="E268" s="95" t="n">
        <x:v>46019</x:v>
      </x:c>
      <x:c r="F268" s="86" t="str">
        <x:v>Concluído</x:v>
      </x:c>
      <x:c r="G268" s="86" t="n">
        <x:v>9.9</x:v>
      </x:c>
      <x:c r="H268" s="93" t="n">
        <x:v>80.54</x:v>
      </x:c>
    </x:row>
    <x:row r="269">
      <x:c r="A269" s="85" t="n">
        <x:v>268</x:v>
      </x:c>
      <x:c r="B269" s="86" t="n">
        <x:v>326</x:v>
      </x:c>
      <x:c r="C269" s="86" t="n">
        <x:v>3</x:v>
      </x:c>
      <x:c r="D269" s="95" t="n">
        <x:v>45681</x:v>
      </x:c>
      <x:c r="E269" s="95" t="n">
        <x:v>45697</x:v>
      </x:c>
      <x:c r="F269" s="86" t="str">
        <x:v>Concluído</x:v>
      </x:c>
      <x:c r="G269" s="86" t="n">
        <x:v>6</x:v>
      </x:c>
      <x:c r="H269" s="93" t="n">
        <x:v>288.19</x:v>
      </x:c>
    </x:row>
    <x:row r="270">
      <x:c r="A270" s="85" t="n">
        <x:v>269</x:v>
      </x:c>
      <x:c r="B270" s="86" t="n">
        <x:v>36</x:v>
      </x:c>
      <x:c r="C270" s="86" t="n">
        <x:v>8</x:v>
      </x:c>
      <x:c r="D270" s="95" t="n">
        <x:v>45764</x:v>
      </x:c>
      <x:c r="E270" s="95" t="n">
        <x:v>45781</x:v>
      </x:c>
      <x:c r="F270" s="86" t="str">
        <x:v>Concluído</x:v>
      </x:c>
      <x:c r="G270" s="86" t="n">
        <x:v>6.4</x:v>
      </x:c>
      <x:c r="H270" s="93" t="n">
        <x:v>522.15</x:v>
      </x:c>
    </x:row>
    <x:row r="271">
      <x:c r="A271" s="85" t="n">
        <x:v>270</x:v>
      </x:c>
      <x:c r="B271" s="86" t="n">
        <x:v>267</x:v>
      </x:c>
      <x:c r="C271" s="86" t="n">
        <x:v>8</x:v>
      </x:c>
      <x:c r="D271" s="95" t="n">
        <x:v>45793</x:v>
      </x:c>
      <x:c r="E271" s="95"/>
      <x:c r="F271" s="86" t="str">
        <x:v>Não iniciado</x:v>
      </x:c>
      <x:c r="G271" s="86"/>
      <x:c r="H271" s="93" t="n">
        <x:v>490.37</x:v>
      </x:c>
    </x:row>
    <x:row r="272">
      <x:c r="A272" s="85" t="n">
        <x:v>271</x:v>
      </x:c>
      <x:c r="B272" s="86" t="n">
        <x:v>402</x:v>
      </x:c>
      <x:c r="C272" s="86" t="n">
        <x:v>9</x:v>
      </x:c>
      <x:c r="D272" s="95" t="n">
        <x:v>45734</x:v>
      </x:c>
      <x:c r="E272" s="95" t="n">
        <x:v>45750</x:v>
      </x:c>
      <x:c r="F272" s="86" t="str">
        <x:v>Reprovado</x:v>
      </x:c>
      <x:c r="G272" s="86" t="n">
        <x:v>8.4</x:v>
      </x:c>
      <x:c r="H272" s="93" t="n">
        <x:v>254.54</x:v>
      </x:c>
    </x:row>
    <x:row r="273">
      <x:c r="A273" s="85" t="n">
        <x:v>272</x:v>
      </x:c>
      <x:c r="B273" s="86" t="n">
        <x:v>105</x:v>
      </x:c>
      <x:c r="C273" s="86" t="n">
        <x:v>7</x:v>
      </x:c>
      <x:c r="D273" s="95" t="n">
        <x:v>45624</x:v>
      </x:c>
      <x:c r="E273" s="95"/>
      <x:c r="F273" s="86" t="str">
        <x:v>Em andamento</x:v>
      </x:c>
      <x:c r="G273" s="86"/>
      <x:c r="H273" s="93" t="n">
        <x:v>499.46</x:v>
      </x:c>
    </x:row>
    <x:row r="274">
      <x:c r="A274" s="85" t="n">
        <x:v>273</x:v>
      </x:c>
      <x:c r="B274" s="86" t="n">
        <x:v>137</x:v>
      </x:c>
      <x:c r="C274" s="86" t="n">
        <x:v>8</x:v>
      </x:c>
      <x:c r="D274" s="95" t="n">
        <x:v>45958</x:v>
      </x:c>
      <x:c r="E274" s="95"/>
      <x:c r="F274" s="86" t="str">
        <x:v>Em andamento</x:v>
      </x:c>
      <x:c r="G274" s="86"/>
      <x:c r="H274" s="93" t="n">
        <x:v>276.47</x:v>
      </x:c>
    </x:row>
    <x:row r="275">
      <x:c r="A275" s="85" t="n">
        <x:v>274</x:v>
      </x:c>
      <x:c r="B275" s="86" t="n">
        <x:v>195</x:v>
      </x:c>
      <x:c r="C275" s="86" t="n">
        <x:v>4</x:v>
      </x:c>
      <x:c r="D275" s="95" t="n">
        <x:v>45765</x:v>
      </x:c>
      <x:c r="E275" s="95" t="n">
        <x:v>45779</x:v>
      </x:c>
      <x:c r="F275" s="86" t="str">
        <x:v>Reprovado</x:v>
      </x:c>
      <x:c r="G275" s="86" t="n">
        <x:v>9</x:v>
      </x:c>
      <x:c r="H275" s="93" t="n">
        <x:v>121.99</x:v>
      </x:c>
    </x:row>
    <x:row r="276">
      <x:c r="A276" s="85" t="n">
        <x:v>275</x:v>
      </x:c>
      <x:c r="B276" s="86" t="n">
        <x:v>295</x:v>
      </x:c>
      <x:c r="C276" s="86" t="n">
        <x:v>4</x:v>
      </x:c>
      <x:c r="D276" s="95" t="n">
        <x:v>45729</x:v>
      </x:c>
      <x:c r="E276" s="95" t="n">
        <x:v>45741</x:v>
      </x:c>
      <x:c r="F276" s="86" t="str">
        <x:v>Concluído</x:v>
      </x:c>
      <x:c r="G276" s="86" t="n">
        <x:v>9.9</x:v>
      </x:c>
      <x:c r="H276" s="93" t="n">
        <x:v>759.47</x:v>
      </x:c>
    </x:row>
    <x:row r="277">
      <x:c r="A277" s="85" t="n">
        <x:v>276</x:v>
      </x:c>
      <x:c r="B277" s="86" t="n">
        <x:v>196</x:v>
      </x:c>
      <x:c r="C277" s="86" t="n">
        <x:v>9</x:v>
      </x:c>
      <x:c r="D277" s="95" t="n">
        <x:v>45310</x:v>
      </x:c>
      <x:c r="E277" s="95" t="n">
        <x:v>45330</x:v>
      </x:c>
      <x:c r="F277" s="86" t="str">
        <x:v>Concluído</x:v>
      </x:c>
      <x:c r="G277" s="86" t="n">
        <x:v>9.4</x:v>
      </x:c>
      <x:c r="H277" s="93" t="n">
        <x:v>837.78</x:v>
      </x:c>
    </x:row>
    <x:row r="278">
      <x:c r="A278" s="85" t="n">
        <x:v>277</x:v>
      </x:c>
      <x:c r="B278" s="86" t="n">
        <x:v>144</x:v>
      </x:c>
      <x:c r="C278" s="86" t="n">
        <x:v>6</x:v>
      </x:c>
      <x:c r="D278" s="95" t="n">
        <x:v>45990</x:v>
      </x:c>
      <x:c r="E278" s="95" t="n">
        <x:v>45994</x:v>
      </x:c>
      <x:c r="F278" s="86" t="str">
        <x:v>Reprovado</x:v>
      </x:c>
      <x:c r="G278" s="86" t="n">
        <x:v>7.4</x:v>
      </x:c>
      <x:c r="H278" s="93" t="n">
        <x:v>231.18</x:v>
      </x:c>
    </x:row>
    <x:row r="279">
      <x:c r="A279" s="85" t="n">
        <x:v>278</x:v>
      </x:c>
      <x:c r="B279" s="86" t="n">
        <x:v>310</x:v>
      </x:c>
      <x:c r="C279" s="86" t="n">
        <x:v>2</x:v>
      </x:c>
      <x:c r="D279" s="95" t="n">
        <x:v>45785</x:v>
      </x:c>
      <x:c r="E279" s="95" t="n">
        <x:v>45793</x:v>
      </x:c>
      <x:c r="F279" s="86" t="str">
        <x:v>Reprovado</x:v>
      </x:c>
      <x:c r="G279" s="86" t="n">
        <x:v>6.6</x:v>
      </x:c>
      <x:c r="H279" s="93" t="n">
        <x:v>590.38</x:v>
      </x:c>
    </x:row>
    <x:row r="280">
      <x:c r="A280" s="85" t="n">
        <x:v>279</x:v>
      </x:c>
      <x:c r="B280" s="86" t="n">
        <x:v>133</x:v>
      </x:c>
      <x:c r="C280" s="86" t="n">
        <x:v>8</x:v>
      </x:c>
      <x:c r="D280" s="95" t="n">
        <x:v>45974</x:v>
      </x:c>
      <x:c r="E280" s="95" t="n">
        <x:v>45974</x:v>
      </x:c>
      <x:c r="F280" s="86" t="str">
        <x:v>Concluído</x:v>
      </x:c>
      <x:c r="G280" s="86" t="n">
        <x:v>6.1</x:v>
      </x:c>
      <x:c r="H280" s="93" t="n">
        <x:v>199.41</x:v>
      </x:c>
    </x:row>
    <x:row r="281">
      <x:c r="A281" s="85" t="n">
        <x:v>280</x:v>
      </x:c>
      <x:c r="B281" s="86" t="n">
        <x:v>168</x:v>
      </x:c>
      <x:c r="C281" s="86" t="n">
        <x:v>1</x:v>
      </x:c>
      <x:c r="D281" s="95" t="n">
        <x:v>45530</x:v>
      </x:c>
      <x:c r="E281" s="95"/>
      <x:c r="F281" s="86" t="str">
        <x:v>Não iniciado</x:v>
      </x:c>
      <x:c r="G281" s="86"/>
      <x:c r="H281" s="93" t="n">
        <x:v>460.37</x:v>
      </x:c>
    </x:row>
    <x:row r="282">
      <x:c r="A282" s="85" t="n">
        <x:v>281</x:v>
      </x:c>
      <x:c r="B282" s="86" t="n">
        <x:v>55</x:v>
      </x:c>
      <x:c r="C282" s="86" t="n">
        <x:v>4</x:v>
      </x:c>
      <x:c r="D282" s="95" t="n">
        <x:v>45638</x:v>
      </x:c>
      <x:c r="E282" s="95" t="n">
        <x:v>45650</x:v>
      </x:c>
      <x:c r="F282" s="86" t="str">
        <x:v>Concluído</x:v>
      </x:c>
      <x:c r="G282" s="86" t="n">
        <x:v>6.9</x:v>
      </x:c>
      <x:c r="H282" s="93" t="n">
        <x:v>804.17</x:v>
      </x:c>
    </x:row>
    <x:row r="283">
      <x:c r="A283" s="85" t="n">
        <x:v>282</x:v>
      </x:c>
      <x:c r="B283" s="86" t="n">
        <x:v>101</x:v>
      </x:c>
      <x:c r="C283" s="86" t="n">
        <x:v>7</x:v>
      </x:c>
      <x:c r="D283" s="95" t="n">
        <x:v>45625</x:v>
      </x:c>
      <x:c r="E283" s="95" t="n">
        <x:v>45632</x:v>
      </x:c>
      <x:c r="F283" s="86" t="str">
        <x:v>Concluído</x:v>
      </x:c>
      <x:c r="G283" s="86" t="n">
        <x:v>8.1</x:v>
      </x:c>
      <x:c r="H283" s="93" t="n">
        <x:v>821.14</x:v>
      </x:c>
    </x:row>
    <x:row r="284">
      <x:c r="A284" s="85" t="n">
        <x:v>283</x:v>
      </x:c>
      <x:c r="B284" s="86" t="n">
        <x:v>369</x:v>
      </x:c>
      <x:c r="C284" s="86" t="n">
        <x:v>7</x:v>
      </x:c>
      <x:c r="D284" s="95" t="n">
        <x:v>45577</x:v>
      </x:c>
      <x:c r="E284" s="95" t="n">
        <x:v>45591</x:v>
      </x:c>
      <x:c r="F284" s="86" t="str">
        <x:v>Reprovado</x:v>
      </x:c>
      <x:c r="G284" s="86" t="n">
        <x:v>8.1</x:v>
      </x:c>
      <x:c r="H284" s="93" t="n">
        <x:v>680.03</x:v>
      </x:c>
    </x:row>
    <x:row r="285">
      <x:c r="A285" s="85" t="n">
        <x:v>284</x:v>
      </x:c>
      <x:c r="B285" s="86" t="n">
        <x:v>375</x:v>
      </x:c>
      <x:c r="C285" s="86" t="n">
        <x:v>4</x:v>
      </x:c>
      <x:c r="D285" s="95" t="n">
        <x:v>45380</x:v>
      </x:c>
      <x:c r="E285" s="95" t="n">
        <x:v>45381</x:v>
      </x:c>
      <x:c r="F285" s="86" t="str">
        <x:v>Concluído</x:v>
      </x:c>
      <x:c r="G285" s="86" t="n">
        <x:v>8</x:v>
      </x:c>
      <x:c r="H285" s="93" t="n">
        <x:v>501.31</x:v>
      </x:c>
    </x:row>
    <x:row r="286">
      <x:c r="A286" s="85" t="n">
        <x:v>285</x:v>
      </x:c>
      <x:c r="B286" s="86" t="n">
        <x:v>34</x:v>
      </x:c>
      <x:c r="C286" s="86" t="n">
        <x:v>3</x:v>
      </x:c>
      <x:c r="D286" s="95" t="n">
        <x:v>45660</x:v>
      </x:c>
      <x:c r="E286" s="95" t="n">
        <x:v>45667</x:v>
      </x:c>
      <x:c r="F286" s="86" t="str">
        <x:v>Concluído</x:v>
      </x:c>
      <x:c r="G286" s="86" t="n">
        <x:v>5.8</x:v>
      </x:c>
      <x:c r="H286" s="93" t="n">
        <x:v>80.18</x:v>
      </x:c>
    </x:row>
    <x:row r="287">
      <x:c r="A287" s="85" t="n">
        <x:v>286</x:v>
      </x:c>
      <x:c r="B287" s="86" t="n">
        <x:v>410</x:v>
      </x:c>
      <x:c r="C287" s="86" t="n">
        <x:v>8</x:v>
      </x:c>
      <x:c r="D287" s="95" t="n">
        <x:v>45913</x:v>
      </x:c>
      <x:c r="E287" s="95" t="n">
        <x:v>45916</x:v>
      </x:c>
      <x:c r="F287" s="86" t="str">
        <x:v>Concluído</x:v>
      </x:c>
      <x:c r="G287" s="86" t="n">
        <x:v>7.8</x:v>
      </x:c>
      <x:c r="H287" s="93" t="n">
        <x:v>772.36</x:v>
      </x:c>
    </x:row>
    <x:row r="288">
      <x:c r="A288" s="85" t="n">
        <x:v>287</x:v>
      </x:c>
      <x:c r="B288" s="86" t="n">
        <x:v>307</x:v>
      </x:c>
      <x:c r="C288" s="86" t="n">
        <x:v>4</x:v>
      </x:c>
      <x:c r="D288" s="95" t="n">
        <x:v>45367</x:v>
      </x:c>
      <x:c r="E288" s="95" t="n">
        <x:v>45370</x:v>
      </x:c>
      <x:c r="F288" s="86" t="str">
        <x:v>Concluído</x:v>
      </x:c>
      <x:c r="G288" s="86" t="n">
        <x:v>5.1</x:v>
      </x:c>
      <x:c r="H288" s="93" t="n">
        <x:v>114.72</x:v>
      </x:c>
    </x:row>
    <x:row r="289">
      <x:c r="A289" s="85" t="n">
        <x:v>288</x:v>
      </x:c>
      <x:c r="B289" s="86" t="n">
        <x:v>185</x:v>
      </x:c>
      <x:c r="C289" s="86" t="n">
        <x:v>9</x:v>
      </x:c>
      <x:c r="D289" s="95" t="n">
        <x:v>45915</x:v>
      </x:c>
      <x:c r="E289" s="95" t="n">
        <x:v>45933</x:v>
      </x:c>
      <x:c r="F289" s="86" t="str">
        <x:v>Concluído</x:v>
      </x:c>
      <x:c r="G289" s="86" t="n">
        <x:v>6.8</x:v>
      </x:c>
      <x:c r="H289" s="93" t="n">
        <x:v>509.57</x:v>
      </x:c>
    </x:row>
    <x:row r="290">
      <x:c r="A290" s="85" t="n">
        <x:v>289</x:v>
      </x:c>
      <x:c r="B290" s="86" t="n">
        <x:v>50</x:v>
      </x:c>
      <x:c r="C290" s="86" t="n">
        <x:v>3</x:v>
      </x:c>
      <x:c r="D290" s="95" t="n">
        <x:v>45864</x:v>
      </x:c>
      <x:c r="E290" s="95" t="n">
        <x:v>45866</x:v>
      </x:c>
      <x:c r="F290" s="86" t="str">
        <x:v>Concluído</x:v>
      </x:c>
      <x:c r="G290" s="86" t="n">
        <x:v>9</x:v>
      </x:c>
      <x:c r="H290" s="93" t="n">
        <x:v>311.99</x:v>
      </x:c>
    </x:row>
    <x:row r="291">
      <x:c r="A291" s="85" t="n">
        <x:v>290</x:v>
      </x:c>
      <x:c r="B291" s="86" t="n">
        <x:v>98</x:v>
      </x:c>
      <x:c r="C291" s="86" t="n">
        <x:v>1</x:v>
      </x:c>
      <x:c r="D291" s="95" t="n">
        <x:v>45851</x:v>
      </x:c>
      <x:c r="E291" s="95" t="n">
        <x:v>45867</x:v>
      </x:c>
      <x:c r="F291" s="86" t="str">
        <x:v>Concluído</x:v>
      </x:c>
      <x:c r="G291" s="86" t="n">
        <x:v>9</x:v>
      </x:c>
      <x:c r="H291" s="93" t="n">
        <x:v>613.65</x:v>
      </x:c>
    </x:row>
    <x:row r="292">
      <x:c r="A292" s="85" t="n">
        <x:v>291</x:v>
      </x:c>
      <x:c r="B292" s="86" t="n">
        <x:v>275</x:v>
      </x:c>
      <x:c r="C292" s="86" t="n">
        <x:v>3</x:v>
      </x:c>
      <x:c r="D292" s="95" t="n">
        <x:v>45869</x:v>
      </x:c>
      <x:c r="E292" s="95" t="n">
        <x:v>45879</x:v>
      </x:c>
      <x:c r="F292" s="86" t="str">
        <x:v>Concluído</x:v>
      </x:c>
      <x:c r="G292" s="86" t="n">
        <x:v>5.9</x:v>
      </x:c>
      <x:c r="H292" s="93" t="n">
        <x:v>543.02</x:v>
      </x:c>
    </x:row>
    <x:row r="293">
      <x:c r="A293" s="85" t="n">
        <x:v>292</x:v>
      </x:c>
      <x:c r="B293" s="86" t="n">
        <x:v>394</x:v>
      </x:c>
      <x:c r="C293" s="86" t="n">
        <x:v>10</x:v>
      </x:c>
      <x:c r="D293" s="95" t="n">
        <x:v>45909</x:v>
      </x:c>
      <x:c r="E293" s="95" t="n">
        <x:v>45915</x:v>
      </x:c>
      <x:c r="F293" s="86" t="str">
        <x:v>Concluído</x:v>
      </x:c>
      <x:c r="G293" s="86" t="n">
        <x:v>8</x:v>
      </x:c>
      <x:c r="H293" s="93" t="n">
        <x:v>706.06</x:v>
      </x:c>
    </x:row>
    <x:row r="294">
      <x:c r="A294" s="85" t="n">
        <x:v>293</x:v>
      </x:c>
      <x:c r="B294" s="86" t="n">
        <x:v>94</x:v>
      </x:c>
      <x:c r="C294" s="86" t="n">
        <x:v>10</x:v>
      </x:c>
      <x:c r="D294" s="95" t="n">
        <x:v>45988</x:v>
      </x:c>
      <x:c r="E294" s="95" t="n">
        <x:v>46008</x:v>
      </x:c>
      <x:c r="F294" s="86" t="str">
        <x:v>Concluído</x:v>
      </x:c>
      <x:c r="G294" s="86" t="n">
        <x:v>8</x:v>
      </x:c>
      <x:c r="H294" s="93" t="n">
        <x:v>531.02</x:v>
      </x:c>
    </x:row>
    <x:row r="295">
      <x:c r="A295" s="85" t="n">
        <x:v>294</x:v>
      </x:c>
      <x:c r="B295" s="86" t="n">
        <x:v>347</x:v>
      </x:c>
      <x:c r="C295" s="86" t="n">
        <x:v>1</x:v>
      </x:c>
      <x:c r="D295" s="95" t="n">
        <x:v>45946</x:v>
      </x:c>
      <x:c r="E295" s="95"/>
      <x:c r="F295" s="86" t="str">
        <x:v>Em andamento</x:v>
      </x:c>
      <x:c r="G295" s="86"/>
      <x:c r="H295" s="93" t="n">
        <x:v>428.91</x:v>
      </x:c>
    </x:row>
    <x:row r="296">
      <x:c r="A296" s="85" t="n">
        <x:v>295</x:v>
      </x:c>
      <x:c r="B296" s="86" t="n">
        <x:v>6</x:v>
      </x:c>
      <x:c r="C296" s="86" t="n">
        <x:v>5</x:v>
      </x:c>
      <x:c r="D296" s="95" t="n">
        <x:v>45621</x:v>
      </x:c>
      <x:c r="E296" s="95" t="n">
        <x:v>45623</x:v>
      </x:c>
      <x:c r="F296" s="86" t="str">
        <x:v>Concluído</x:v>
      </x:c>
      <x:c r="G296" s="86" t="n">
        <x:v>5.2</x:v>
      </x:c>
      <x:c r="H296" s="93" t="n">
        <x:v>262.48</x:v>
      </x:c>
    </x:row>
    <x:row r="297">
      <x:c r="A297" s="85" t="n">
        <x:v>296</x:v>
      </x:c>
      <x:c r="B297" s="86" t="n">
        <x:v>270</x:v>
      </x:c>
      <x:c r="C297" s="86" t="n">
        <x:v>6</x:v>
      </x:c>
      <x:c r="D297" s="95" t="n">
        <x:v>45601</x:v>
      </x:c>
      <x:c r="E297" s="95" t="n">
        <x:v>45609</x:v>
      </x:c>
      <x:c r="F297" s="86" t="str">
        <x:v>Concluído</x:v>
      </x:c>
      <x:c r="G297" s="86" t="n">
        <x:v>6.6</x:v>
      </x:c>
      <x:c r="H297" s="93" t="n">
        <x:v>653.49</x:v>
      </x:c>
    </x:row>
    <x:row r="298">
      <x:c r="A298" s="85" t="n">
        <x:v>297</x:v>
      </x:c>
      <x:c r="B298" s="86" t="n">
        <x:v>352</x:v>
      </x:c>
      <x:c r="C298" s="86" t="n">
        <x:v>2</x:v>
      </x:c>
      <x:c r="D298" s="95" t="n">
        <x:v>45673</x:v>
      </x:c>
      <x:c r="E298" s="95" t="n">
        <x:v>45693</x:v>
      </x:c>
      <x:c r="F298" s="86" t="str">
        <x:v>Concluído</x:v>
      </x:c>
      <x:c r="G298" s="86" t="n">
        <x:v>8.8</x:v>
      </x:c>
      <x:c r="H298" s="93" t="n">
        <x:v>762.2</x:v>
      </x:c>
    </x:row>
    <x:row r="299">
      <x:c r="A299" s="85" t="n">
        <x:v>298</x:v>
      </x:c>
      <x:c r="B299" s="86" t="n">
        <x:v>14</x:v>
      </x:c>
      <x:c r="C299" s="86" t="n">
        <x:v>4</x:v>
      </x:c>
      <x:c r="D299" s="95" t="n">
        <x:v>45988</x:v>
      </x:c>
      <x:c r="E299" s="95" t="n">
        <x:v>45995</x:v>
      </x:c>
      <x:c r="F299" s="86" t="str">
        <x:v>Concluído</x:v>
      </x:c>
      <x:c r="G299" s="86" t="n">
        <x:v>5.9</x:v>
      </x:c>
      <x:c r="H299" s="93" t="n">
        <x:v>488.68</x:v>
      </x:c>
    </x:row>
    <x:row r="300">
      <x:c r="A300" s="85" t="n">
        <x:v>299</x:v>
      </x:c>
      <x:c r="B300" s="86" t="n">
        <x:v>143</x:v>
      </x:c>
      <x:c r="C300" s="86" t="n">
        <x:v>10</x:v>
      </x:c>
      <x:c r="D300" s="95" t="n">
        <x:v>45944</x:v>
      </x:c>
      <x:c r="E300" s="95" t="n">
        <x:v>45953</x:v>
      </x:c>
      <x:c r="F300" s="86" t="str">
        <x:v>Concluído</x:v>
      </x:c>
      <x:c r="G300" s="86" t="n">
        <x:v>6.7</x:v>
      </x:c>
      <x:c r="H300" s="93" t="n">
        <x:v>431.18</x:v>
      </x:c>
    </x:row>
    <x:row r="301">
      <x:c r="A301" s="85" t="n">
        <x:v>300</x:v>
      </x:c>
      <x:c r="B301" s="86" t="n">
        <x:v>161</x:v>
      </x:c>
      <x:c r="C301" s="86" t="n">
        <x:v>1</x:v>
      </x:c>
      <x:c r="D301" s="95" t="n">
        <x:v>45486</x:v>
      </x:c>
      <x:c r="E301" s="95" t="n">
        <x:v>45492</x:v>
      </x:c>
      <x:c r="F301" s="86" t="str">
        <x:v>Concluído</x:v>
      </x:c>
      <x:c r="G301" s="86" t="n">
        <x:v>9</x:v>
      </x:c>
      <x:c r="H301" s="93" t="n">
        <x:v>435.87</x:v>
      </x:c>
    </x:row>
    <x:row r="302">
      <x:c r="A302" s="85" t="n">
        <x:v>301</x:v>
      </x:c>
      <x:c r="B302" s="86" t="n">
        <x:v>13</x:v>
      </x:c>
      <x:c r="C302" s="86" t="n">
        <x:v>3</x:v>
      </x:c>
      <x:c r="D302" s="95" t="n">
        <x:v>45781</x:v>
      </x:c>
      <x:c r="E302" s="95"/>
      <x:c r="F302" s="86" t="str">
        <x:v>Em andamento</x:v>
      </x:c>
      <x:c r="G302" s="86"/>
      <x:c r="H302" s="93" t="n">
        <x:v>147.26</x:v>
      </x:c>
    </x:row>
    <x:row r="303">
      <x:c r="A303" s="85" t="n">
        <x:v>302</x:v>
      </x:c>
      <x:c r="B303" s="86" t="n">
        <x:v>236</x:v>
      </x:c>
      <x:c r="C303" s="86" t="n">
        <x:v>4</x:v>
      </x:c>
      <x:c r="D303" s="95" t="n">
        <x:v>45746</x:v>
      </x:c>
      <x:c r="E303" s="95" t="n">
        <x:v>45750</x:v>
      </x:c>
      <x:c r="F303" s="86" t="str">
        <x:v>Concluído</x:v>
      </x:c>
      <x:c r="G303" s="86" t="n">
        <x:v>5.5</x:v>
      </x:c>
      <x:c r="H303" s="93" t="n">
        <x:v>424.28</x:v>
      </x:c>
    </x:row>
    <x:row r="304">
      <x:c r="A304" s="85" t="n">
        <x:v>303</x:v>
      </x:c>
      <x:c r="B304" s="86" t="n">
        <x:v>289</x:v>
      </x:c>
      <x:c r="C304" s="86" t="n">
        <x:v>3</x:v>
      </x:c>
      <x:c r="D304" s="95" t="n">
        <x:v>45997</x:v>
      </x:c>
      <x:c r="E304" s="95" t="n">
        <x:v>45997</x:v>
      </x:c>
      <x:c r="F304" s="86" t="str">
        <x:v>Concluído</x:v>
      </x:c>
      <x:c r="G304" s="86" t="n">
        <x:v>6.6</x:v>
      </x:c>
      <x:c r="H304" s="93" t="n">
        <x:v>798.75</x:v>
      </x:c>
    </x:row>
    <x:row r="305">
      <x:c r="A305" s="85" t="n">
        <x:v>304</x:v>
      </x:c>
      <x:c r="B305" s="86" t="n">
        <x:v>173</x:v>
      </x:c>
      <x:c r="C305" s="86" t="n">
        <x:v>3</x:v>
      </x:c>
      <x:c r="D305" s="95" t="n">
        <x:v>45399</x:v>
      </x:c>
      <x:c r="E305" s="95" t="n">
        <x:v>45406</x:v>
      </x:c>
      <x:c r="F305" s="86" t="str">
        <x:v>Concluído</x:v>
      </x:c>
      <x:c r="G305" s="86" t="n">
        <x:v>6</x:v>
      </x:c>
      <x:c r="H305" s="93" t="n">
        <x:v>731.92</x:v>
      </x:c>
    </x:row>
    <x:row r="306">
      <x:c r="A306" s="85" t="n">
        <x:v>305</x:v>
      </x:c>
      <x:c r="B306" s="86" t="n">
        <x:v>266</x:v>
      </x:c>
      <x:c r="C306" s="86" t="n">
        <x:v>8</x:v>
      </x:c>
      <x:c r="D306" s="95" t="n">
        <x:v>45971</x:v>
      </x:c>
      <x:c r="E306" s="95" t="n">
        <x:v>45971</x:v>
      </x:c>
      <x:c r="F306" s="86" t="str">
        <x:v>Concluído</x:v>
      </x:c>
      <x:c r="G306" s="86" t="n">
        <x:v>8.7</x:v>
      </x:c>
      <x:c r="H306" s="93" t="n">
        <x:v>756.76</x:v>
      </x:c>
    </x:row>
    <x:row r="307">
      <x:c r="A307" s="85" t="n">
        <x:v>306</x:v>
      </x:c>
      <x:c r="B307" s="86" t="n">
        <x:v>335</x:v>
      </x:c>
      <x:c r="C307" s="86" t="n">
        <x:v>5</x:v>
      </x:c>
      <x:c r="D307" s="95" t="n">
        <x:v>45924</x:v>
      </x:c>
      <x:c r="E307" s="95" t="n">
        <x:v>45944</x:v>
      </x:c>
      <x:c r="F307" s="86" t="str">
        <x:v>Reprovado</x:v>
      </x:c>
      <x:c r="G307" s="86" t="n">
        <x:v>9.6</x:v>
      </x:c>
      <x:c r="H307" s="93" t="n">
        <x:v>221.47</x:v>
      </x:c>
    </x:row>
    <x:row r="308">
      <x:c r="A308" s="85" t="n">
        <x:v>307</x:v>
      </x:c>
      <x:c r="B308" s="86" t="n">
        <x:v>164</x:v>
      </x:c>
      <x:c r="C308" s="86" t="n">
        <x:v>5</x:v>
      </x:c>
      <x:c r="D308" s="95" t="n">
        <x:v>45949</x:v>
      </x:c>
      <x:c r="E308" s="95" t="n">
        <x:v>45954</x:v>
      </x:c>
      <x:c r="F308" s="86" t="str">
        <x:v>Reprovado</x:v>
      </x:c>
      <x:c r="G308" s="86" t="n">
        <x:v>7.6</x:v>
      </x:c>
      <x:c r="H308" s="93" t="n">
        <x:v>563.29</x:v>
      </x:c>
    </x:row>
    <x:row r="309">
      <x:c r="A309" s="85" t="n">
        <x:v>308</x:v>
      </x:c>
      <x:c r="B309" s="86" t="n">
        <x:v>221</x:v>
      </x:c>
      <x:c r="C309" s="86" t="n">
        <x:v>1</x:v>
      </x:c>
      <x:c r="D309" s="95" t="n">
        <x:v>45824</x:v>
      </x:c>
      <x:c r="E309" s="95"/>
      <x:c r="F309" s="86" t="str">
        <x:v>Não iniciado</x:v>
      </x:c>
      <x:c r="G309" s="86"/>
      <x:c r="H309" s="93" t="n">
        <x:v>700.82</x:v>
      </x:c>
    </x:row>
    <x:row r="310">
      <x:c r="A310" s="85" t="n">
        <x:v>309</x:v>
      </x:c>
      <x:c r="B310" s="86" t="n">
        <x:v>179</x:v>
      </x:c>
      <x:c r="C310" s="86" t="n">
        <x:v>9</x:v>
      </x:c>
      <x:c r="D310" s="95" t="n">
        <x:v>45750</x:v>
      </x:c>
      <x:c r="E310" s="95" t="n">
        <x:v>45766</x:v>
      </x:c>
      <x:c r="F310" s="86" t="str">
        <x:v>Concluído</x:v>
      </x:c>
      <x:c r="G310" s="86" t="n">
        <x:v>8.8</x:v>
      </x:c>
      <x:c r="H310" s="93" t="n">
        <x:v>161.21</x:v>
      </x:c>
    </x:row>
    <x:row r="311">
      <x:c r="A311" s="85" t="n">
        <x:v>310</x:v>
      </x:c>
      <x:c r="B311" s="86" t="n">
        <x:v>138</x:v>
      </x:c>
      <x:c r="C311" s="86" t="n">
        <x:v>1</x:v>
      </x:c>
      <x:c r="D311" s="95" t="n">
        <x:v>45558</x:v>
      </x:c>
      <x:c r="E311" s="95" t="n">
        <x:v>45576</x:v>
      </x:c>
      <x:c r="F311" s="86" t="str">
        <x:v>Concluído</x:v>
      </x:c>
      <x:c r="G311" s="86" t="n">
        <x:v>9.7</x:v>
      </x:c>
      <x:c r="H311" s="93" t="n">
        <x:v>181.22</x:v>
      </x:c>
    </x:row>
    <x:row r="312">
      <x:c r="A312" s="85" t="n">
        <x:v>311</x:v>
      </x:c>
      <x:c r="B312" s="86" t="n">
        <x:v>401</x:v>
      </x:c>
      <x:c r="C312" s="86" t="n">
        <x:v>10</x:v>
      </x:c>
      <x:c r="D312" s="95" t="n">
        <x:v>45855</x:v>
      </x:c>
      <x:c r="E312" s="95" t="n">
        <x:v>45859</x:v>
      </x:c>
      <x:c r="F312" s="86" t="str">
        <x:v>Concluído</x:v>
      </x:c>
      <x:c r="G312" s="86" t="n">
        <x:v>9.5</x:v>
      </x:c>
      <x:c r="H312" s="93" t="n">
        <x:v>186.02</x:v>
      </x:c>
    </x:row>
    <x:row r="313">
      <x:c r="A313" s="85" t="n">
        <x:v>312</x:v>
      </x:c>
      <x:c r="B313" s="86" t="n">
        <x:v>406</x:v>
      </x:c>
      <x:c r="C313" s="86" t="n">
        <x:v>1</x:v>
      </x:c>
      <x:c r="D313" s="95" t="n">
        <x:v>45617</x:v>
      </x:c>
      <x:c r="E313" s="95" t="n">
        <x:v>45617</x:v>
      </x:c>
      <x:c r="F313" s="86" t="str">
        <x:v>Concluído</x:v>
      </x:c>
      <x:c r="G313" s="86" t="n">
        <x:v>6.9</x:v>
      </x:c>
      <x:c r="H313" s="93" t="n">
        <x:v>692.47</x:v>
      </x:c>
    </x:row>
    <x:row r="314">
      <x:c r="A314" s="85" t="n">
        <x:v>313</x:v>
      </x:c>
      <x:c r="B314" s="86" t="n">
        <x:v>134</x:v>
      </x:c>
      <x:c r="C314" s="86" t="n">
        <x:v>9</x:v>
      </x:c>
      <x:c r="D314" s="95" t="n">
        <x:v>45534</x:v>
      </x:c>
      <x:c r="E314" s="95" t="n">
        <x:v>45552</x:v>
      </x:c>
      <x:c r="F314" s="86" t="str">
        <x:v>Concluído</x:v>
      </x:c>
      <x:c r="G314" s="86" t="n">
        <x:v>9.8</x:v>
      </x:c>
      <x:c r="H314" s="93" t="n">
        <x:v>678.31</x:v>
      </x:c>
    </x:row>
    <x:row r="315">
      <x:c r="A315" s="85" t="n">
        <x:v>314</x:v>
      </x:c>
      <x:c r="B315" s="86" t="n">
        <x:v>288</x:v>
      </x:c>
      <x:c r="C315" s="86" t="n">
        <x:v>10</x:v>
      </x:c>
      <x:c r="D315" s="95" t="n">
        <x:v>45826</x:v>
      </x:c>
      <x:c r="E315" s="95" t="n">
        <x:v>45844</x:v>
      </x:c>
      <x:c r="F315" s="86" t="str">
        <x:v>Concluído</x:v>
      </x:c>
      <x:c r="G315" s="86" t="n">
        <x:v>8.3</x:v>
      </x:c>
      <x:c r="H315" s="93" t="n">
        <x:v>401.47</x:v>
      </x:c>
    </x:row>
    <x:row r="316">
      <x:c r="A316" s="85" t="n">
        <x:v>315</x:v>
      </x:c>
      <x:c r="B316" s="86" t="n">
        <x:v>293</x:v>
      </x:c>
      <x:c r="C316" s="86" t="n">
        <x:v>3</x:v>
      </x:c>
      <x:c r="D316" s="95" t="n">
        <x:v>45646</x:v>
      </x:c>
      <x:c r="E316" s="95"/>
      <x:c r="F316" s="86" t="str">
        <x:v>Não iniciado</x:v>
      </x:c>
      <x:c r="G316" s="86"/>
      <x:c r="H316" s="93" t="n">
        <x:v>179.58</x:v>
      </x:c>
    </x:row>
    <x:row r="317">
      <x:c r="A317" s="85" t="n">
        <x:v>316</x:v>
      </x:c>
      <x:c r="B317" s="86" t="n">
        <x:v>307</x:v>
      </x:c>
      <x:c r="C317" s="86" t="n">
        <x:v>10</x:v>
      </x:c>
      <x:c r="D317" s="95" t="n">
        <x:v>45888</x:v>
      </x:c>
      <x:c r="E317" s="95" t="n">
        <x:v>45894</x:v>
      </x:c>
      <x:c r="F317" s="86" t="str">
        <x:v>Concluído</x:v>
      </x:c>
      <x:c r="G317" s="86" t="n">
        <x:v>7.9</x:v>
      </x:c>
      <x:c r="H317" s="93" t="n">
        <x:v>797.04</x:v>
      </x:c>
    </x:row>
    <x:row r="318">
      <x:c r="A318" s="85" t="n">
        <x:v>317</x:v>
      </x:c>
      <x:c r="B318" s="86" t="n">
        <x:v>87</x:v>
      </x:c>
      <x:c r="C318" s="86" t="n">
        <x:v>5</x:v>
      </x:c>
      <x:c r="D318" s="95" t="n">
        <x:v>45994</x:v>
      </x:c>
      <x:c r="E318" s="95"/>
      <x:c r="F318" s="86" t="str">
        <x:v>Em andamento</x:v>
      </x:c>
      <x:c r="G318" s="86"/>
      <x:c r="H318" s="93" t="n">
        <x:v>311.21</x:v>
      </x:c>
    </x:row>
    <x:row r="319">
      <x:c r="A319" s="85" t="n">
        <x:v>318</x:v>
      </x:c>
      <x:c r="B319" s="86" t="n">
        <x:v>394</x:v>
      </x:c>
      <x:c r="C319" s="86" t="n">
        <x:v>1</x:v>
      </x:c>
      <x:c r="D319" s="95" t="n">
        <x:v>45975</x:v>
      </x:c>
      <x:c r="E319" s="95" t="n">
        <x:v>45981</x:v>
      </x:c>
      <x:c r="F319" s="86" t="str">
        <x:v>Concluído</x:v>
      </x:c>
      <x:c r="G319" s="86" t="n">
        <x:v>5.1</x:v>
      </x:c>
      <x:c r="H319" s="93" t="n">
        <x:v>648.56</x:v>
      </x:c>
    </x:row>
    <x:row r="320">
      <x:c r="A320" s="85" t="n">
        <x:v>319</x:v>
      </x:c>
      <x:c r="B320" s="86" t="n">
        <x:v>134</x:v>
      </x:c>
      <x:c r="C320" s="86" t="n">
        <x:v>6</x:v>
      </x:c>
      <x:c r="D320" s="95" t="n">
        <x:v>45663</x:v>
      </x:c>
      <x:c r="E320" s="95" t="n">
        <x:v>45680</x:v>
      </x:c>
      <x:c r="F320" s="86" t="str">
        <x:v>Concluído</x:v>
      </x:c>
      <x:c r="G320" s="86" t="n">
        <x:v>8.1</x:v>
      </x:c>
      <x:c r="H320" s="93" t="n">
        <x:v>208.31</x:v>
      </x:c>
    </x:row>
    <x:row r="321">
      <x:c r="A321" s="85" t="n">
        <x:v>320</x:v>
      </x:c>
      <x:c r="B321" s="86" t="n">
        <x:v>287</x:v>
      </x:c>
      <x:c r="C321" s="86" t="n">
        <x:v>7</x:v>
      </x:c>
      <x:c r="D321" s="95" t="n">
        <x:v>45306</x:v>
      </x:c>
      <x:c r="E321" s="95" t="n">
        <x:v>45317</x:v>
      </x:c>
      <x:c r="F321" s="86" t="str">
        <x:v>Concluído</x:v>
      </x:c>
      <x:c r="G321" s="86" t="n">
        <x:v>7.3</x:v>
      </x:c>
      <x:c r="H321" s="93" t="n">
        <x:v>454.93</x:v>
      </x:c>
    </x:row>
    <x:row r="322">
      <x:c r="A322" s="85" t="n">
        <x:v>321</x:v>
      </x:c>
      <x:c r="B322" s="86" t="n">
        <x:v>175</x:v>
      </x:c>
      <x:c r="C322" s="86" t="n">
        <x:v>8</x:v>
      </x:c>
      <x:c r="D322" s="95" t="n">
        <x:v>45895</x:v>
      </x:c>
      <x:c r="E322" s="95" t="n">
        <x:v>45902</x:v>
      </x:c>
      <x:c r="F322" s="86" t="str">
        <x:v>Concluído</x:v>
      </x:c>
      <x:c r="G322" s="86" t="n">
        <x:v>8.3</x:v>
      </x:c>
      <x:c r="H322" s="93" t="n">
        <x:v>656</x:v>
      </x:c>
    </x:row>
    <x:row r="323">
      <x:c r="A323" s="85" t="n">
        <x:v>322</x:v>
      </x:c>
      <x:c r="B323" s="86" t="n">
        <x:v>350</x:v>
      </x:c>
      <x:c r="C323" s="86" t="n">
        <x:v>8</x:v>
      </x:c>
      <x:c r="D323" s="95" t="n">
        <x:v>45997</x:v>
      </x:c>
      <x:c r="E323" s="95"/>
      <x:c r="F323" s="86" t="str">
        <x:v>Em andamento</x:v>
      </x:c>
      <x:c r="G323" s="86"/>
      <x:c r="H323" s="93" t="n">
        <x:v>449.44</x:v>
      </x:c>
    </x:row>
    <x:row r="324">
      <x:c r="A324" s="85" t="n">
        <x:v>323</x:v>
      </x:c>
      <x:c r="B324" s="86" t="n">
        <x:v>80</x:v>
      </x:c>
      <x:c r="C324" s="86" t="n">
        <x:v>5</x:v>
      </x:c>
      <x:c r="D324" s="95" t="n">
        <x:v>45857</x:v>
      </x:c>
      <x:c r="E324" s="95" t="n">
        <x:v>45870</x:v>
      </x:c>
      <x:c r="F324" s="86" t="str">
        <x:v>Concluído</x:v>
      </x:c>
      <x:c r="G324" s="86" t="n">
        <x:v>9.4</x:v>
      </x:c>
      <x:c r="H324" s="93" t="n">
        <x:v>413.28</x:v>
      </x:c>
    </x:row>
    <x:row r="325">
      <x:c r="A325" s="85" t="n">
        <x:v>324</x:v>
      </x:c>
      <x:c r="B325" s="86" t="n">
        <x:v>209</x:v>
      </x:c>
      <x:c r="C325" s="86" t="n">
        <x:v>9</x:v>
      </x:c>
      <x:c r="D325" s="95" t="n">
        <x:v>45315</x:v>
      </x:c>
      <x:c r="E325" s="95" t="n">
        <x:v>45333</x:v>
      </x:c>
      <x:c r="F325" s="86" t="str">
        <x:v>Concluído</x:v>
      </x:c>
      <x:c r="G325" s="86" t="n">
        <x:v>6.6</x:v>
      </x:c>
      <x:c r="H325" s="93" t="n">
        <x:v>757.93</x:v>
      </x:c>
    </x:row>
    <x:row r="326">
      <x:c r="A326" s="85" t="n">
        <x:v>325</x:v>
      </x:c>
      <x:c r="B326" s="86" t="n">
        <x:v>148</x:v>
      </x:c>
      <x:c r="C326" s="86" t="n">
        <x:v>1</x:v>
      </x:c>
      <x:c r="D326" s="95" t="n">
        <x:v>45733</x:v>
      </x:c>
      <x:c r="E326" s="95" t="n">
        <x:v>45738</x:v>
      </x:c>
      <x:c r="F326" s="86" t="str">
        <x:v>Concluído</x:v>
      </x:c>
      <x:c r="G326" s="86" t="n">
        <x:v>9</x:v>
      </x:c>
      <x:c r="H326" s="93" t="n">
        <x:v>530.22</x:v>
      </x:c>
    </x:row>
    <x:row r="327">
      <x:c r="A327" s="85" t="n">
        <x:v>326</x:v>
      </x:c>
      <x:c r="B327" s="86" t="n">
        <x:v>112</x:v>
      </x:c>
      <x:c r="C327" s="86" t="n">
        <x:v>7</x:v>
      </x:c>
      <x:c r="D327" s="95" t="n">
        <x:v>45846</x:v>
      </x:c>
      <x:c r="E327" s="95" t="n">
        <x:v>45852</x:v>
      </x:c>
      <x:c r="F327" s="86" t="str">
        <x:v>Concluído</x:v>
      </x:c>
      <x:c r="G327" s="86" t="n">
        <x:v>8.2</x:v>
      </x:c>
      <x:c r="H327" s="93" t="n">
        <x:v>250.53</x:v>
      </x:c>
    </x:row>
    <x:row r="328">
      <x:c r="A328" s="85" t="n">
        <x:v>327</x:v>
      </x:c>
      <x:c r="B328" s="86" t="n">
        <x:v>230</x:v>
      </x:c>
      <x:c r="C328" s="86" t="n">
        <x:v>5</x:v>
      </x:c>
      <x:c r="D328" s="95" t="n">
        <x:v>45769</x:v>
      </x:c>
      <x:c r="E328" s="95" t="n">
        <x:v>45771</x:v>
      </x:c>
      <x:c r="F328" s="86" t="str">
        <x:v>Concluído</x:v>
      </x:c>
      <x:c r="G328" s="86" t="n">
        <x:v>8</x:v>
      </x:c>
      <x:c r="H328" s="93" t="n">
        <x:v>735.65</x:v>
      </x:c>
    </x:row>
    <x:row r="329">
      <x:c r="A329" s="85" t="n">
        <x:v>328</x:v>
      </x:c>
      <x:c r="B329" s="86" t="n">
        <x:v>84</x:v>
      </x:c>
      <x:c r="C329" s="86" t="n">
        <x:v>4</x:v>
      </x:c>
      <x:c r="D329" s="95" t="n">
        <x:v>45956</x:v>
      </x:c>
      <x:c r="E329" s="95"/>
      <x:c r="F329" s="86" t="str">
        <x:v>Não iniciado</x:v>
      </x:c>
      <x:c r="G329" s="86"/>
      <x:c r="H329" s="93" t="n">
        <x:v>249.19</x:v>
      </x:c>
    </x:row>
    <x:row r="330">
      <x:c r="A330" s="85" t="n">
        <x:v>329</x:v>
      </x:c>
      <x:c r="B330" s="86" t="n">
        <x:v>236</x:v>
      </x:c>
      <x:c r="C330" s="86" t="n">
        <x:v>6</x:v>
      </x:c>
      <x:c r="D330" s="95" t="n">
        <x:v>45563</x:v>
      </x:c>
      <x:c r="E330" s="95" t="n">
        <x:v>45579</x:v>
      </x:c>
      <x:c r="F330" s="86" t="str">
        <x:v>Concluído</x:v>
      </x:c>
      <x:c r="G330" s="86" t="n">
        <x:v>9.3</x:v>
      </x:c>
      <x:c r="H330" s="93" t="n">
        <x:v>211.96</x:v>
      </x:c>
    </x:row>
    <x:row r="331">
      <x:c r="A331" s="85" t="n">
        <x:v>330</x:v>
      </x:c>
      <x:c r="B331" s="86" t="n">
        <x:v>13</x:v>
      </x:c>
      <x:c r="C331" s="86" t="n">
        <x:v>6</x:v>
      </x:c>
      <x:c r="D331" s="95" t="n">
        <x:v>45939</x:v>
      </x:c>
      <x:c r="E331" s="95" t="n">
        <x:v>45954</x:v>
      </x:c>
      <x:c r="F331" s="86" t="str">
        <x:v>Concluído</x:v>
      </x:c>
      <x:c r="G331" s="86" t="n">
        <x:v>7.3</x:v>
      </x:c>
      <x:c r="H331" s="93" t="n">
        <x:v>620.19</x:v>
      </x:c>
    </x:row>
    <x:row r="332">
      <x:c r="A332" s="85" t="n">
        <x:v>331</x:v>
      </x:c>
      <x:c r="B332" s="86" t="n">
        <x:v>408</x:v>
      </x:c>
      <x:c r="C332" s="86" t="n">
        <x:v>7</x:v>
      </x:c>
      <x:c r="D332" s="95" t="n">
        <x:v>45405</x:v>
      </x:c>
      <x:c r="E332" s="95" t="n">
        <x:v>45418</x:v>
      </x:c>
      <x:c r="F332" s="86" t="str">
        <x:v>Concluído</x:v>
      </x:c>
      <x:c r="G332" s="86" t="n">
        <x:v>9.4</x:v>
      </x:c>
      <x:c r="H332" s="93" t="n">
        <x:v>300.62</x:v>
      </x:c>
    </x:row>
    <x:row r="333">
      <x:c r="A333" s="85" t="n">
        <x:v>332</x:v>
      </x:c>
      <x:c r="B333" s="86" t="n">
        <x:v>351</x:v>
      </x:c>
      <x:c r="C333" s="86" t="n">
        <x:v>7</x:v>
      </x:c>
      <x:c r="D333" s="95" t="n">
        <x:v>45931</x:v>
      </x:c>
      <x:c r="E333" s="95" t="n">
        <x:v>45943</x:v>
      </x:c>
      <x:c r="F333" s="86" t="str">
        <x:v>Concluído</x:v>
      </x:c>
      <x:c r="G333" s="86" t="n">
        <x:v>6</x:v>
      </x:c>
      <x:c r="H333" s="93" t="n">
        <x:v>415.8</x:v>
      </x:c>
    </x:row>
    <x:row r="334">
      <x:c r="A334" s="85" t="n">
        <x:v>333</x:v>
      </x:c>
      <x:c r="B334" s="86" t="n">
        <x:v>81</x:v>
      </x:c>
      <x:c r="C334" s="86" t="n">
        <x:v>1</x:v>
      </x:c>
      <x:c r="D334" s="95" t="n">
        <x:v>45718</x:v>
      </x:c>
      <x:c r="E334" s="95" t="n">
        <x:v>45719</x:v>
      </x:c>
      <x:c r="F334" s="86" t="str">
        <x:v>Concluído</x:v>
      </x:c>
      <x:c r="G334" s="86" t="n">
        <x:v>7.7</x:v>
      </x:c>
      <x:c r="H334" s="93" t="n">
        <x:v>406.31</x:v>
      </x:c>
    </x:row>
    <x:row r="335">
      <x:c r="A335" s="85" t="n">
        <x:v>334</x:v>
      </x:c>
      <x:c r="B335" s="86" t="n">
        <x:v>361</x:v>
      </x:c>
      <x:c r="C335" s="86" t="n">
        <x:v>6</x:v>
      </x:c>
      <x:c r="D335" s="95" t="n">
        <x:v>45831</x:v>
      </x:c>
      <x:c r="E335" s="95" t="n">
        <x:v>45839</x:v>
      </x:c>
      <x:c r="F335" s="86" t="str">
        <x:v>Concluído</x:v>
      </x:c>
      <x:c r="G335" s="86" t="n">
        <x:v>5.8</x:v>
      </x:c>
      <x:c r="H335" s="93" t="n">
        <x:v>796.47</x:v>
      </x:c>
    </x:row>
    <x:row r="336">
      <x:c r="A336" s="85" t="n">
        <x:v>335</x:v>
      </x:c>
      <x:c r="B336" s="86" t="n">
        <x:v>347</x:v>
      </x:c>
      <x:c r="C336" s="86" t="n">
        <x:v>7</x:v>
      </x:c>
      <x:c r="D336" s="95" t="n">
        <x:v>45939</x:v>
      </x:c>
      <x:c r="E336" s="95" t="n">
        <x:v>45957</x:v>
      </x:c>
      <x:c r="F336" s="86" t="str">
        <x:v>Concluído</x:v>
      </x:c>
      <x:c r="G336" s="86" t="n">
        <x:v>7.9</x:v>
      </x:c>
      <x:c r="H336" s="93" t="n">
        <x:v>286.58</x:v>
      </x:c>
    </x:row>
    <x:row r="337">
      <x:c r="A337" s="85" t="n">
        <x:v>336</x:v>
      </x:c>
      <x:c r="B337" s="86" t="n">
        <x:v>351</x:v>
      </x:c>
      <x:c r="C337" s="86" t="n">
        <x:v>3</x:v>
      </x:c>
      <x:c r="D337" s="95" t="n">
        <x:v>46004</x:v>
      </x:c>
      <x:c r="E337" s="95" t="n">
        <x:v>46007</x:v>
      </x:c>
      <x:c r="F337" s="86" t="str">
        <x:v>Concluído</x:v>
      </x:c>
      <x:c r="G337" s="86" t="n">
        <x:v>8.6</x:v>
      </x:c>
      <x:c r="H337" s="93" t="n">
        <x:v>267.63</x:v>
      </x:c>
    </x:row>
    <x:row r="338">
      <x:c r="A338" s="85" t="n">
        <x:v>337</x:v>
      </x:c>
      <x:c r="B338" s="86" t="n">
        <x:v>412</x:v>
      </x:c>
      <x:c r="C338" s="86" t="n">
        <x:v>2</x:v>
      </x:c>
      <x:c r="D338" s="95" t="n">
        <x:v>45344</x:v>
      </x:c>
      <x:c r="E338" s="95" t="n">
        <x:v>45350</x:v>
      </x:c>
      <x:c r="F338" s="86" t="str">
        <x:v>Concluído</x:v>
      </x:c>
      <x:c r="G338" s="86" t="n">
        <x:v>6.7</x:v>
      </x:c>
      <x:c r="H338" s="93" t="n">
        <x:v>318.83</x:v>
      </x:c>
    </x:row>
    <x:row r="339">
      <x:c r="A339" s="85" t="n">
        <x:v>338</x:v>
      </x:c>
      <x:c r="B339" s="86" t="n">
        <x:v>89</x:v>
      </x:c>
      <x:c r="C339" s="86" t="n">
        <x:v>2</x:v>
      </x:c>
      <x:c r="D339" s="95" t="n">
        <x:v>45976</x:v>
      </x:c>
      <x:c r="E339" s="95" t="n">
        <x:v>45991</x:v>
      </x:c>
      <x:c r="F339" s="86" t="str">
        <x:v>Concluído</x:v>
      </x:c>
      <x:c r="G339" s="86" t="n">
        <x:v>8.7</x:v>
      </x:c>
      <x:c r="H339" s="93" t="n">
        <x:v>533.43</x:v>
      </x:c>
    </x:row>
    <x:row r="340">
      <x:c r="A340" s="85" t="n">
        <x:v>339</x:v>
      </x:c>
      <x:c r="B340" s="86" t="n">
        <x:v>243</x:v>
      </x:c>
      <x:c r="C340" s="86" t="n">
        <x:v>6</x:v>
      </x:c>
      <x:c r="D340" s="95" t="n">
        <x:v>45800</x:v>
      </x:c>
      <x:c r="E340" s="95" t="n">
        <x:v>45802</x:v>
      </x:c>
      <x:c r="F340" s="86" t="str">
        <x:v>Concluído</x:v>
      </x:c>
      <x:c r="G340" s="86" t="n">
        <x:v>9.5</x:v>
      </x:c>
      <x:c r="H340" s="93" t="n">
        <x:v>140.58</x:v>
      </x:c>
    </x:row>
    <x:row r="341">
      <x:c r="A341" s="85" t="n">
        <x:v>340</x:v>
      </x:c>
      <x:c r="B341" s="86" t="n">
        <x:v>322</x:v>
      </x:c>
      <x:c r="C341" s="86" t="n">
        <x:v>5</x:v>
      </x:c>
      <x:c r="D341" s="95" t="n">
        <x:v>45447</x:v>
      </x:c>
      <x:c r="E341" s="95" t="n">
        <x:v>45450</x:v>
      </x:c>
      <x:c r="F341" s="86" t="str">
        <x:v>Concluído</x:v>
      </x:c>
      <x:c r="G341" s="86" t="n">
        <x:v>8.6</x:v>
      </x:c>
      <x:c r="H341" s="93" t="n">
        <x:v>194.65</x:v>
      </x:c>
    </x:row>
    <x:row r="342">
      <x:c r="A342" s="85" t="n">
        <x:v>341</x:v>
      </x:c>
      <x:c r="B342" s="86" t="n">
        <x:v>232</x:v>
      </x:c>
      <x:c r="C342" s="86" t="n">
        <x:v>6</x:v>
      </x:c>
      <x:c r="D342" s="95" t="n">
        <x:v>45317</x:v>
      </x:c>
      <x:c r="E342" s="95" t="n">
        <x:v>45328</x:v>
      </x:c>
      <x:c r="F342" s="86" t="str">
        <x:v>Concluído</x:v>
      </x:c>
      <x:c r="G342" s="86" t="n">
        <x:v>8.1</x:v>
      </x:c>
      <x:c r="H342" s="93" t="n">
        <x:v>717.36</x:v>
      </x:c>
    </x:row>
    <x:row r="343">
      <x:c r="A343" s="85" t="n">
        <x:v>342</x:v>
      </x:c>
      <x:c r="B343" s="86" t="n">
        <x:v>244</x:v>
      </x:c>
      <x:c r="C343" s="86" t="n">
        <x:v>7</x:v>
      </x:c>
      <x:c r="D343" s="95" t="n">
        <x:v>45848</x:v>
      </x:c>
      <x:c r="E343" s="95" t="n">
        <x:v>45852</x:v>
      </x:c>
      <x:c r="F343" s="86" t="str">
        <x:v>Concluído</x:v>
      </x:c>
      <x:c r="G343" s="86" t="n">
        <x:v>7.9</x:v>
      </x:c>
      <x:c r="H343" s="93" t="n">
        <x:v>568.16</x:v>
      </x:c>
    </x:row>
    <x:row r="344">
      <x:c r="A344" s="85" t="n">
        <x:v>343</x:v>
      </x:c>
      <x:c r="B344" s="86" t="n">
        <x:v>280</x:v>
      </x:c>
      <x:c r="C344" s="86" t="n">
        <x:v>7</x:v>
      </x:c>
      <x:c r="D344" s="95" t="n">
        <x:v>45765</x:v>
      </x:c>
      <x:c r="E344" s="95" t="n">
        <x:v>45771</x:v>
      </x:c>
      <x:c r="F344" s="86" t="str">
        <x:v>Reprovado</x:v>
      </x:c>
      <x:c r="G344" s="86" t="n">
        <x:v>7.8</x:v>
      </x:c>
      <x:c r="H344" s="93" t="n">
        <x:v>610.01</x:v>
      </x:c>
    </x:row>
    <x:row r="345">
      <x:c r="A345" s="85" t="n">
        <x:v>344</x:v>
      </x:c>
      <x:c r="B345" s="86" t="n">
        <x:v>65</x:v>
      </x:c>
      <x:c r="C345" s="86" t="n">
        <x:v>2</x:v>
      </x:c>
      <x:c r="D345" s="95" t="n">
        <x:v>45825</x:v>
      </x:c>
      <x:c r="E345" s="95" t="n">
        <x:v>45838</x:v>
      </x:c>
      <x:c r="F345" s="86" t="str">
        <x:v>Reprovado</x:v>
      </x:c>
      <x:c r="G345" s="86" t="n">
        <x:v>8.8</x:v>
      </x:c>
      <x:c r="H345" s="93" t="n">
        <x:v>482.14</x:v>
      </x:c>
    </x:row>
    <x:row r="346">
      <x:c r="A346" s="85" t="n">
        <x:v>345</x:v>
      </x:c>
      <x:c r="B346" s="86" t="n">
        <x:v>200</x:v>
      </x:c>
      <x:c r="C346" s="86" t="n">
        <x:v>1</x:v>
      </x:c>
      <x:c r="D346" s="95" t="n">
        <x:v>45493</x:v>
      </x:c>
      <x:c r="E346" s="95" t="n">
        <x:v>45493</x:v>
      </x:c>
      <x:c r="F346" s="86" t="str">
        <x:v>Concluído</x:v>
      </x:c>
      <x:c r="G346" s="86" t="n">
        <x:v>7.9</x:v>
      </x:c>
      <x:c r="H346" s="93" t="n">
        <x:v>605.72</x:v>
      </x:c>
    </x:row>
    <x:row r="347">
      <x:c r="A347" s="85" t="n">
        <x:v>346</x:v>
      </x:c>
      <x:c r="B347" s="86" t="n">
        <x:v>10</x:v>
      </x:c>
      <x:c r="C347" s="86" t="n">
        <x:v>4</x:v>
      </x:c>
      <x:c r="D347" s="95" t="n">
        <x:v>45816</x:v>
      </x:c>
      <x:c r="E347" s="95"/>
      <x:c r="F347" s="86" t="str">
        <x:v>Não iniciado</x:v>
      </x:c>
      <x:c r="G347" s="86"/>
      <x:c r="H347" s="93" t="n">
        <x:v>292.03</x:v>
      </x:c>
    </x:row>
    <x:row r="348">
      <x:c r="A348" s="85" t="n">
        <x:v>347</x:v>
      </x:c>
      <x:c r="B348" s="86" t="n">
        <x:v>166</x:v>
      </x:c>
      <x:c r="C348" s="86" t="n">
        <x:v>5</x:v>
      </x:c>
      <x:c r="D348" s="95" t="n">
        <x:v>45977</x:v>
      </x:c>
      <x:c r="E348" s="95" t="n">
        <x:v>45986</x:v>
      </x:c>
      <x:c r="F348" s="86" t="str">
        <x:v>Reprovado</x:v>
      </x:c>
      <x:c r="G348" s="86" t="n">
        <x:v>5.8</x:v>
      </x:c>
      <x:c r="H348" s="93" t="n">
        <x:v>568.51</x:v>
      </x:c>
    </x:row>
    <x:row r="349">
      <x:c r="A349" s="85" t="n">
        <x:v>348</x:v>
      </x:c>
      <x:c r="B349" s="86" t="n">
        <x:v>259</x:v>
      </x:c>
      <x:c r="C349" s="86" t="n">
        <x:v>8</x:v>
      </x:c>
      <x:c r="D349" s="95" t="n">
        <x:v>45677</x:v>
      </x:c>
      <x:c r="E349" s="95" t="n">
        <x:v>45680</x:v>
      </x:c>
      <x:c r="F349" s="86" t="str">
        <x:v>Concluído</x:v>
      </x:c>
      <x:c r="G349" s="86" t="n">
        <x:v>9.5</x:v>
      </x:c>
      <x:c r="H349" s="93" t="n">
        <x:v>136.26</x:v>
      </x:c>
    </x:row>
    <x:row r="350">
      <x:c r="A350" s="85" t="n">
        <x:v>349</x:v>
      </x:c>
      <x:c r="B350" s="86" t="n">
        <x:v>44</x:v>
      </x:c>
      <x:c r="C350" s="86" t="n">
        <x:v>2</x:v>
      </x:c>
      <x:c r="D350" s="95" t="n">
        <x:v>45983</x:v>
      </x:c>
      <x:c r="E350" s="95" t="n">
        <x:v>45988</x:v>
      </x:c>
      <x:c r="F350" s="86" t="str">
        <x:v>Concluído</x:v>
      </x:c>
      <x:c r="G350" s="86" t="n">
        <x:v>6.7</x:v>
      </x:c>
      <x:c r="H350" s="93" t="n">
        <x:v>108.28</x:v>
      </x:c>
    </x:row>
    <x:row r="351">
      <x:c r="A351" s="85" t="n">
        <x:v>350</x:v>
      </x:c>
      <x:c r="B351" s="86" t="n">
        <x:v>353</x:v>
      </x:c>
      <x:c r="C351" s="86" t="n">
        <x:v>6</x:v>
      </x:c>
      <x:c r="D351" s="95" t="n">
        <x:v>45959</x:v>
      </x:c>
      <x:c r="E351" s="95" t="n">
        <x:v>45960</x:v>
      </x:c>
      <x:c r="F351" s="86" t="str">
        <x:v>Concluído</x:v>
      </x:c>
      <x:c r="G351" s="86" t="n">
        <x:v>8.2</x:v>
      </x:c>
      <x:c r="H351" s="93" t="n">
        <x:v>153.87</x:v>
      </x:c>
    </x:row>
    <x:row r="352">
      <x:c r="A352" s="85" t="n">
        <x:v>351</x:v>
      </x:c>
      <x:c r="B352" s="86" t="n">
        <x:v>229</x:v>
      </x:c>
      <x:c r="C352" s="86" t="n">
        <x:v>3</x:v>
      </x:c>
      <x:c r="D352" s="95" t="n">
        <x:v>45324</x:v>
      </x:c>
      <x:c r="E352" s="95"/>
      <x:c r="F352" s="86" t="str">
        <x:v>Em andamento</x:v>
      </x:c>
      <x:c r="G352" s="86"/>
      <x:c r="H352" s="93" t="n">
        <x:v>134.37</x:v>
      </x:c>
    </x:row>
    <x:row r="353">
      <x:c r="A353" s="85" t="n">
        <x:v>352</x:v>
      </x:c>
      <x:c r="B353" s="86" t="n">
        <x:v>100</x:v>
      </x:c>
      <x:c r="C353" s="86" t="n">
        <x:v>2</x:v>
      </x:c>
      <x:c r="D353" s="95" t="n">
        <x:v>45846</x:v>
      </x:c>
      <x:c r="E353" s="95" t="n">
        <x:v>45846</x:v>
      </x:c>
      <x:c r="F353" s="86" t="str">
        <x:v>Concluído</x:v>
      </x:c>
      <x:c r="G353" s="86" t="n">
        <x:v>9.3</x:v>
      </x:c>
      <x:c r="H353" s="93" t="n">
        <x:v>259.29</x:v>
      </x:c>
    </x:row>
    <x:row r="354">
      <x:c r="A354" s="85" t="n">
        <x:v>353</x:v>
      </x:c>
      <x:c r="B354" s="86" t="n">
        <x:v>8</x:v>
      </x:c>
      <x:c r="C354" s="86" t="n">
        <x:v>3</x:v>
      </x:c>
      <x:c r="D354" s="95" t="n">
        <x:v>45878</x:v>
      </x:c>
      <x:c r="E354" s="95" t="n">
        <x:v>45887</x:v>
      </x:c>
      <x:c r="F354" s="86" t="str">
        <x:v>Concluído</x:v>
      </x:c>
      <x:c r="G354" s="86" t="n">
        <x:v>8.9</x:v>
      </x:c>
      <x:c r="H354" s="93" t="n">
        <x:v>143.9</x:v>
      </x:c>
    </x:row>
    <x:row r="355">
      <x:c r="A355" s="85" t="n">
        <x:v>354</x:v>
      </x:c>
      <x:c r="B355" s="86" t="n">
        <x:v>224</x:v>
      </x:c>
      <x:c r="C355" s="86" t="n">
        <x:v>3</x:v>
      </x:c>
      <x:c r="D355" s="95" t="n">
        <x:v>45917</x:v>
      </x:c>
      <x:c r="E355" s="95" t="n">
        <x:v>45924</x:v>
      </x:c>
      <x:c r="F355" s="86" t="str">
        <x:v>Concluído</x:v>
      </x:c>
      <x:c r="G355" s="86" t="n">
        <x:v>9</x:v>
      </x:c>
      <x:c r="H355" s="93" t="n">
        <x:v>101.72</x:v>
      </x:c>
    </x:row>
    <x:row r="356">
      <x:c r="A356" s="85" t="n">
        <x:v>355</x:v>
      </x:c>
      <x:c r="B356" s="86" t="n">
        <x:v>60</x:v>
      </x:c>
      <x:c r="C356" s="86" t="n">
        <x:v>3</x:v>
      </x:c>
      <x:c r="D356" s="95" t="n">
        <x:v>45921</x:v>
      </x:c>
      <x:c r="E356" s="95" t="n">
        <x:v>45936</x:v>
      </x:c>
      <x:c r="F356" s="86" t="str">
        <x:v>Concluído</x:v>
      </x:c>
      <x:c r="G356" s="86" t="n">
        <x:v>5.1</x:v>
      </x:c>
      <x:c r="H356" s="93" t="n">
        <x:v>751.89</x:v>
      </x:c>
    </x:row>
    <x:row r="357">
      <x:c r="A357" s="85" t="n">
        <x:v>356</x:v>
      </x:c>
      <x:c r="B357" s="86" t="n">
        <x:v>125</x:v>
      </x:c>
      <x:c r="C357" s="86" t="n">
        <x:v>6</x:v>
      </x:c>
      <x:c r="D357" s="95" t="n">
        <x:v>45520</x:v>
      </x:c>
      <x:c r="E357" s="95" t="n">
        <x:v>45531</x:v>
      </x:c>
      <x:c r="F357" s="86" t="str">
        <x:v>Concluído</x:v>
      </x:c>
      <x:c r="G357" s="86" t="n">
        <x:v>9.1</x:v>
      </x:c>
      <x:c r="H357" s="93" t="n">
        <x:v>676.1</x:v>
      </x:c>
    </x:row>
    <x:row r="358">
      <x:c r="A358" s="85" t="n">
        <x:v>357</x:v>
      </x:c>
      <x:c r="B358" s="86" t="n">
        <x:v>136</x:v>
      </x:c>
      <x:c r="C358" s="86" t="n">
        <x:v>1</x:v>
      </x:c>
      <x:c r="D358" s="95" t="n">
        <x:v>46021</x:v>
      </x:c>
      <x:c r="E358" s="95" t="n">
        <x:v>46039</x:v>
      </x:c>
      <x:c r="F358" s="86" t="str">
        <x:v>Concluído</x:v>
      </x:c>
      <x:c r="G358" s="86" t="n">
        <x:v>7.8</x:v>
      </x:c>
      <x:c r="H358" s="93" t="n">
        <x:v>309.36</x:v>
      </x:c>
    </x:row>
    <x:row r="359">
      <x:c r="A359" s="85" t="n">
        <x:v>358</x:v>
      </x:c>
      <x:c r="B359" s="86" t="n">
        <x:v>51</x:v>
      </x:c>
      <x:c r="C359" s="86" t="n">
        <x:v>6</x:v>
      </x:c>
      <x:c r="D359" s="95" t="n">
        <x:v>45770</x:v>
      </x:c>
      <x:c r="E359" s="95" t="n">
        <x:v>45784</x:v>
      </x:c>
      <x:c r="F359" s="86" t="str">
        <x:v>Concluído</x:v>
      </x:c>
      <x:c r="G359" s="86" t="n">
        <x:v>8.2</x:v>
      </x:c>
      <x:c r="H359" s="93" t="n">
        <x:v>282.87</x:v>
      </x:c>
    </x:row>
    <x:row r="360">
      <x:c r="A360" s="85" t="n">
        <x:v>359</x:v>
      </x:c>
      <x:c r="B360" s="86" t="n">
        <x:v>382</x:v>
      </x:c>
      <x:c r="C360" s="86" t="n">
        <x:v>2</x:v>
      </x:c>
      <x:c r="D360" s="95" t="n">
        <x:v>45870</x:v>
      </x:c>
      <x:c r="E360" s="95" t="n">
        <x:v>45878</x:v>
      </x:c>
      <x:c r="F360" s="86" t="str">
        <x:v>Concluído</x:v>
      </x:c>
      <x:c r="G360" s="86" t="n">
        <x:v>7.5</x:v>
      </x:c>
      <x:c r="H360" s="93" t="n">
        <x:v>186.7</x:v>
      </x:c>
    </x:row>
    <x:row r="361">
      <x:c r="A361" s="85" t="n">
        <x:v>360</x:v>
      </x:c>
      <x:c r="B361" s="86" t="n">
        <x:v>28</x:v>
      </x:c>
      <x:c r="C361" s="86" t="n">
        <x:v>6</x:v>
      </x:c>
      <x:c r="D361" s="95" t="n">
        <x:v>45995</x:v>
      </x:c>
      <x:c r="E361" s="95" t="n">
        <x:v>46013</x:v>
      </x:c>
      <x:c r="F361" s="86" t="str">
        <x:v>Concluído</x:v>
      </x:c>
      <x:c r="G361" s="86" t="n">
        <x:v>5.3</x:v>
      </x:c>
      <x:c r="H361" s="93" t="n">
        <x:v>510.58</x:v>
      </x:c>
    </x:row>
    <x:row r="362">
      <x:c r="A362" s="85" t="n">
        <x:v>361</x:v>
      </x:c>
      <x:c r="B362" s="86" t="n">
        <x:v>310</x:v>
      </x:c>
      <x:c r="C362" s="86" t="n">
        <x:v>2</x:v>
      </x:c>
      <x:c r="D362" s="95" t="n">
        <x:v>45761</x:v>
      </x:c>
      <x:c r="E362" s="95" t="n">
        <x:v>45774</x:v>
      </x:c>
      <x:c r="F362" s="86" t="str">
        <x:v>Concluído</x:v>
      </x:c>
      <x:c r="G362" s="86" t="n">
        <x:v>9</x:v>
      </x:c>
      <x:c r="H362" s="93" t="n">
        <x:v>152.68</x:v>
      </x:c>
    </x:row>
    <x:row r="363">
      <x:c r="A363" s="85" t="n">
        <x:v>362</x:v>
      </x:c>
      <x:c r="B363" s="86" t="n">
        <x:v>222</x:v>
      </x:c>
      <x:c r="C363" s="86" t="n">
        <x:v>7</x:v>
      </x:c>
      <x:c r="D363" s="95" t="n">
        <x:v>45884</x:v>
      </x:c>
      <x:c r="E363" s="95" t="n">
        <x:v>45886</x:v>
      </x:c>
      <x:c r="F363" s="86" t="str">
        <x:v>Concluído</x:v>
      </x:c>
      <x:c r="G363" s="86" t="n">
        <x:v>8</x:v>
      </x:c>
      <x:c r="H363" s="93" t="n">
        <x:v>276.91</x:v>
      </x:c>
    </x:row>
    <x:row r="364">
      <x:c r="A364" s="85" t="n">
        <x:v>363</x:v>
      </x:c>
      <x:c r="B364" s="86" t="n">
        <x:v>175</x:v>
      </x:c>
      <x:c r="C364" s="86" t="n">
        <x:v>5</x:v>
      </x:c>
      <x:c r="D364" s="95" t="n">
        <x:v>45973</x:v>
      </x:c>
      <x:c r="E364" s="95" t="n">
        <x:v>45975</x:v>
      </x:c>
      <x:c r="F364" s="86" t="str">
        <x:v>Concluído</x:v>
      </x:c>
      <x:c r="G364" s="86" t="n">
        <x:v>8.3</x:v>
      </x:c>
      <x:c r="H364" s="93" t="n">
        <x:v>605.26</x:v>
      </x:c>
    </x:row>
    <x:row r="365">
      <x:c r="A365" s="85" t="n">
        <x:v>364</x:v>
      </x:c>
      <x:c r="B365" s="86" t="n">
        <x:v>349</x:v>
      </x:c>
      <x:c r="C365" s="86" t="n">
        <x:v>8</x:v>
      </x:c>
      <x:c r="D365" s="95" t="n">
        <x:v>45496</x:v>
      </x:c>
      <x:c r="E365" s="95" t="n">
        <x:v>45514</x:v>
      </x:c>
      <x:c r="F365" s="86" t="str">
        <x:v>Concluído</x:v>
      </x:c>
      <x:c r="G365" s="86" t="n">
        <x:v>6.5</x:v>
      </x:c>
      <x:c r="H365" s="93" t="n">
        <x:v>672</x:v>
      </x:c>
    </x:row>
    <x:row r="366">
      <x:c r="A366" s="85" t="n">
        <x:v>365</x:v>
      </x:c>
      <x:c r="B366" s="86" t="n">
        <x:v>173</x:v>
      </x:c>
      <x:c r="C366" s="86" t="n">
        <x:v>1</x:v>
      </x:c>
      <x:c r="D366" s="95" t="n">
        <x:v>45885</x:v>
      </x:c>
      <x:c r="E366" s="95" t="n">
        <x:v>45892</x:v>
      </x:c>
      <x:c r="F366" s="86" t="str">
        <x:v>Concluído</x:v>
      </x:c>
      <x:c r="G366" s="86" t="n">
        <x:v>8.4</x:v>
      </x:c>
      <x:c r="H366" s="93" t="n">
        <x:v>486.68</x:v>
      </x:c>
    </x:row>
    <x:row r="367">
      <x:c r="A367" s="85" t="n">
        <x:v>366</x:v>
      </x:c>
      <x:c r="B367" s="86" t="n">
        <x:v>412</x:v>
      </x:c>
      <x:c r="C367" s="86" t="n">
        <x:v>2</x:v>
      </x:c>
      <x:c r="D367" s="95" t="n">
        <x:v>45735</x:v>
      </x:c>
      <x:c r="E367" s="95" t="n">
        <x:v>45754</x:v>
      </x:c>
      <x:c r="F367" s="86" t="str">
        <x:v>Concluído</x:v>
      </x:c>
      <x:c r="G367" s="86" t="n">
        <x:v>5.2</x:v>
      </x:c>
      <x:c r="H367" s="93" t="n">
        <x:v>751.67</x:v>
      </x:c>
    </x:row>
    <x:row r="368">
      <x:c r="A368" s="85" t="n">
        <x:v>367</x:v>
      </x:c>
      <x:c r="B368" s="86" t="n">
        <x:v>88</x:v>
      </x:c>
      <x:c r="C368" s="86" t="n">
        <x:v>3</x:v>
      </x:c>
      <x:c r="D368" s="95" t="n">
        <x:v>46007</x:v>
      </x:c>
      <x:c r="E368" s="95" t="n">
        <x:v>46019</x:v>
      </x:c>
      <x:c r="F368" s="86" t="str">
        <x:v>Concluído</x:v>
      </x:c>
      <x:c r="G368" s="86" t="n">
        <x:v>6.6</x:v>
      </x:c>
      <x:c r="H368" s="93" t="n">
        <x:v>235.22</x:v>
      </x:c>
    </x:row>
    <x:row r="369">
      <x:c r="A369" s="85" t="n">
        <x:v>368</x:v>
      </x:c>
      <x:c r="B369" s="86" t="n">
        <x:v>220</x:v>
      </x:c>
      <x:c r="C369" s="86" t="n">
        <x:v>10</x:v>
      </x:c>
      <x:c r="D369" s="95" t="n">
        <x:v>45779</x:v>
      </x:c>
      <x:c r="E369" s="95" t="n">
        <x:v>45787</x:v>
      </x:c>
      <x:c r="F369" s="86" t="str">
        <x:v>Concluído</x:v>
      </x:c>
      <x:c r="G369" s="86" t="n">
        <x:v>9.3</x:v>
      </x:c>
      <x:c r="H369" s="93" t="n">
        <x:v>102.78</x:v>
      </x:c>
    </x:row>
    <x:row r="370">
      <x:c r="A370" s="85" t="n">
        <x:v>369</x:v>
      </x:c>
      <x:c r="B370" s="86" t="n">
        <x:v>79</x:v>
      </x:c>
      <x:c r="C370" s="86" t="n">
        <x:v>1</x:v>
      </x:c>
      <x:c r="D370" s="95" t="n">
        <x:v>45950</x:v>
      </x:c>
      <x:c r="E370" s="95" t="n">
        <x:v>45963</x:v>
      </x:c>
      <x:c r="F370" s="86" t="str">
        <x:v>Concluído</x:v>
      </x:c>
      <x:c r="G370" s="86" t="n">
        <x:v>9.7</x:v>
      </x:c>
      <x:c r="H370" s="93" t="n">
        <x:v>436.89</x:v>
      </x:c>
    </x:row>
    <x:row r="371">
      <x:c r="A371" s="85" t="n">
        <x:v>370</x:v>
      </x:c>
      <x:c r="B371" s="86" t="n">
        <x:v>235</x:v>
      </x:c>
      <x:c r="C371" s="86" t="n">
        <x:v>2</x:v>
      </x:c>
      <x:c r="D371" s="95" t="n">
        <x:v>45799</x:v>
      </x:c>
      <x:c r="E371" s="95" t="n">
        <x:v>45800</x:v>
      </x:c>
      <x:c r="F371" s="86" t="str">
        <x:v>Concluído</x:v>
      </x:c>
      <x:c r="G371" s="86" t="n">
        <x:v>7.6</x:v>
      </x:c>
      <x:c r="H371" s="93" t="n">
        <x:v>540.83</x:v>
      </x:c>
    </x:row>
    <x:row r="372">
      <x:c r="A372" s="85" t="n">
        <x:v>371</x:v>
      </x:c>
      <x:c r="B372" s="86" t="n">
        <x:v>359</x:v>
      </x:c>
      <x:c r="C372" s="86" t="n">
        <x:v>3</x:v>
      </x:c>
      <x:c r="D372" s="95" t="n">
        <x:v>45365</x:v>
      </x:c>
      <x:c r="E372" s="95" t="n">
        <x:v>45371</x:v>
      </x:c>
      <x:c r="F372" s="86" t="str">
        <x:v>Concluído</x:v>
      </x:c>
      <x:c r="G372" s="86" t="n">
        <x:v>8.1</x:v>
      </x:c>
      <x:c r="H372" s="93" t="n">
        <x:v>311.1</x:v>
      </x:c>
    </x:row>
    <x:row r="373">
      <x:c r="A373" s="85" t="n">
        <x:v>372</x:v>
      </x:c>
      <x:c r="B373" s="86" t="n">
        <x:v>23</x:v>
      </x:c>
      <x:c r="C373" s="86" t="n">
        <x:v>8</x:v>
      </x:c>
      <x:c r="D373" s="95" t="n">
        <x:v>45928</x:v>
      </x:c>
      <x:c r="E373" s="95"/>
      <x:c r="F373" s="86" t="str">
        <x:v>Em andamento</x:v>
      </x:c>
      <x:c r="G373" s="86"/>
      <x:c r="H373" s="93" t="n">
        <x:v>687.36</x:v>
      </x:c>
    </x:row>
    <x:row r="374">
      <x:c r="A374" s="85" t="n">
        <x:v>373</x:v>
      </x:c>
      <x:c r="B374" s="86" t="n">
        <x:v>340</x:v>
      </x:c>
      <x:c r="C374" s="86" t="n">
        <x:v>7</x:v>
      </x:c>
      <x:c r="D374" s="95" t="n">
        <x:v>45760</x:v>
      </x:c>
      <x:c r="E374" s="95" t="n">
        <x:v>45779</x:v>
      </x:c>
      <x:c r="F374" s="86" t="str">
        <x:v>Concluído</x:v>
      </x:c>
      <x:c r="G374" s="86" t="n">
        <x:v>7.7</x:v>
      </x:c>
      <x:c r="H374" s="93" t="n">
        <x:v>258.71</x:v>
      </x:c>
    </x:row>
    <x:row r="375">
      <x:c r="A375" s="85" t="n">
        <x:v>374</x:v>
      </x:c>
      <x:c r="B375" s="86" t="n">
        <x:v>370</x:v>
      </x:c>
      <x:c r="C375" s="86" t="n">
        <x:v>1</x:v>
      </x:c>
      <x:c r="D375" s="95" t="n">
        <x:v>45952</x:v>
      </x:c>
      <x:c r="E375" s="95" t="n">
        <x:v>45961</x:v>
      </x:c>
      <x:c r="F375" s="86" t="str">
        <x:v>Concluído</x:v>
      </x:c>
      <x:c r="G375" s="86" t="n">
        <x:v>6</x:v>
      </x:c>
      <x:c r="H375" s="93" t="n">
        <x:v>679.28</x:v>
      </x:c>
    </x:row>
    <x:row r="376">
      <x:c r="A376" s="85" t="n">
        <x:v>375</x:v>
      </x:c>
      <x:c r="B376" s="86" t="n">
        <x:v>401</x:v>
      </x:c>
      <x:c r="C376" s="86" t="n">
        <x:v>8</x:v>
      </x:c>
      <x:c r="D376" s="95" t="n">
        <x:v>45950</x:v>
      </x:c>
      <x:c r="E376" s="95" t="n">
        <x:v>45962</x:v>
      </x:c>
      <x:c r="F376" s="86" t="str">
        <x:v>Concluído</x:v>
      </x:c>
      <x:c r="G376" s="86" t="n">
        <x:v>9.2</x:v>
      </x:c>
      <x:c r="H376" s="93" t="n">
        <x:v>219.15</x:v>
      </x:c>
    </x:row>
    <x:row r="377">
      <x:c r="A377" s="85" t="n">
        <x:v>376</x:v>
      </x:c>
      <x:c r="B377" s="86" t="n">
        <x:v>236</x:v>
      </x:c>
      <x:c r="C377" s="86" t="n">
        <x:v>6</x:v>
      </x:c>
      <x:c r="D377" s="95" t="n">
        <x:v>45787</x:v>
      </x:c>
      <x:c r="E377" s="95" t="n">
        <x:v>45788</x:v>
      </x:c>
      <x:c r="F377" s="86" t="str">
        <x:v>Concluído</x:v>
      </x:c>
      <x:c r="G377" s="86" t="n">
        <x:v>6.1</x:v>
      </x:c>
      <x:c r="H377" s="93" t="n">
        <x:v>233.92</x:v>
      </x:c>
    </x:row>
    <x:row r="378">
      <x:c r="A378" s="85" t="n">
        <x:v>377</x:v>
      </x:c>
      <x:c r="B378" s="86" t="n">
        <x:v>103</x:v>
      </x:c>
      <x:c r="C378" s="86" t="n">
        <x:v>4</x:v>
      </x:c>
      <x:c r="D378" s="95" t="n">
        <x:v>45968</x:v>
      </x:c>
      <x:c r="E378" s="95" t="n">
        <x:v>45973</x:v>
      </x:c>
      <x:c r="F378" s="86" t="str">
        <x:v>Concluído</x:v>
      </x:c>
      <x:c r="G378" s="86" t="n">
        <x:v>5.3</x:v>
      </x:c>
      <x:c r="H378" s="93" t="n">
        <x:v>82.25</x:v>
      </x:c>
    </x:row>
    <x:row r="379">
      <x:c r="A379" s="85" t="n">
        <x:v>378</x:v>
      </x:c>
      <x:c r="B379" s="86" t="n">
        <x:v>47</x:v>
      </x:c>
      <x:c r="C379" s="86" t="n">
        <x:v>9</x:v>
      </x:c>
      <x:c r="D379" s="95" t="n">
        <x:v>45321</x:v>
      </x:c>
      <x:c r="E379" s="95" t="n">
        <x:v>45340</x:v>
      </x:c>
      <x:c r="F379" s="86" t="str">
        <x:v>Concluído</x:v>
      </x:c>
      <x:c r="G379" s="86" t="n">
        <x:v>8.7</x:v>
      </x:c>
      <x:c r="H379" s="93" t="n">
        <x:v>717.33</x:v>
      </x:c>
    </x:row>
    <x:row r="380">
      <x:c r="A380" s="85" t="n">
        <x:v>379</x:v>
      </x:c>
      <x:c r="B380" s="86" t="n">
        <x:v>25</x:v>
      </x:c>
      <x:c r="C380" s="86" t="n">
        <x:v>5</x:v>
      </x:c>
      <x:c r="D380" s="95" t="n">
        <x:v>45936</x:v>
      </x:c>
      <x:c r="E380" s="95"/>
      <x:c r="F380" s="86" t="str">
        <x:v>Não iniciado</x:v>
      </x:c>
      <x:c r="G380" s="86"/>
      <x:c r="H380" s="93" t="n">
        <x:v>244.11</x:v>
      </x:c>
    </x:row>
    <x:row r="381">
      <x:c r="A381" s="85" t="n">
        <x:v>380</x:v>
      </x:c>
      <x:c r="B381" s="86" t="n">
        <x:v>117</x:v>
      </x:c>
      <x:c r="C381" s="86" t="n">
        <x:v>8</x:v>
      </x:c>
      <x:c r="D381" s="95" t="n">
        <x:v>45937</x:v>
      </x:c>
      <x:c r="E381" s="95" t="n">
        <x:v>45956</x:v>
      </x:c>
      <x:c r="F381" s="86" t="str">
        <x:v>Concluído</x:v>
      </x:c>
      <x:c r="G381" s="86" t="n">
        <x:v>5.9</x:v>
      </x:c>
      <x:c r="H381" s="93" t="n">
        <x:v>434</x:v>
      </x:c>
    </x:row>
    <x:row r="382">
      <x:c r="A382" s="85" t="n">
        <x:v>381</x:v>
      </x:c>
      <x:c r="B382" s="86" t="n">
        <x:v>324</x:v>
      </x:c>
      <x:c r="C382" s="86" t="n">
        <x:v>9</x:v>
      </x:c>
      <x:c r="D382" s="95" t="n">
        <x:v>45957</x:v>
      </x:c>
      <x:c r="E382" s="95" t="n">
        <x:v>45974</x:v>
      </x:c>
      <x:c r="F382" s="86" t="str">
        <x:v>Concluído</x:v>
      </x:c>
      <x:c r="G382" s="86" t="n">
        <x:v>5.8</x:v>
      </x:c>
      <x:c r="H382" s="93" t="n">
        <x:v>533.81</x:v>
      </x:c>
    </x:row>
    <x:row r="383">
      <x:c r="A383" s="85" t="n">
        <x:v>382</x:v>
      </x:c>
      <x:c r="B383" s="86" t="n">
        <x:v>43</x:v>
      </x:c>
      <x:c r="C383" s="86" t="n">
        <x:v>8</x:v>
      </x:c>
      <x:c r="D383" s="95" t="n">
        <x:v>45996</x:v>
      </x:c>
      <x:c r="E383" s="95" t="n">
        <x:v>46002</x:v>
      </x:c>
      <x:c r="F383" s="86" t="str">
        <x:v>Concluído</x:v>
      </x:c>
      <x:c r="G383" s="86" t="n">
        <x:v>7.2</x:v>
      </x:c>
      <x:c r="H383" s="93" t="n">
        <x:v>306.83</x:v>
      </x:c>
    </x:row>
    <x:row r="384">
      <x:c r="A384" s="85" t="n">
        <x:v>383</x:v>
      </x:c>
      <x:c r="B384" s="86" t="n">
        <x:v>238</x:v>
      </x:c>
      <x:c r="C384" s="86" t="n">
        <x:v>2</x:v>
      </x:c>
      <x:c r="D384" s="95" t="n">
        <x:v>45700</x:v>
      </x:c>
      <x:c r="E384" s="95" t="n">
        <x:v>45709</x:v>
      </x:c>
      <x:c r="F384" s="86" t="str">
        <x:v>Concluído</x:v>
      </x:c>
      <x:c r="G384" s="86" t="n">
        <x:v>6.8</x:v>
      </x:c>
      <x:c r="H384" s="93" t="n">
        <x:v>238.46</x:v>
      </x:c>
    </x:row>
    <x:row r="385">
      <x:c r="A385" s="85" t="n">
        <x:v>384</x:v>
      </x:c>
      <x:c r="B385" s="86" t="n">
        <x:v>251</x:v>
      </x:c>
      <x:c r="C385" s="86" t="n">
        <x:v>8</x:v>
      </x:c>
      <x:c r="D385" s="95" t="n">
        <x:v>45868</x:v>
      </x:c>
      <x:c r="E385" s="95" t="n">
        <x:v>45870</x:v>
      </x:c>
      <x:c r="F385" s="86" t="str">
        <x:v>Concluído</x:v>
      </x:c>
      <x:c r="G385" s="86" t="n">
        <x:v>9.6</x:v>
      </x:c>
      <x:c r="H385" s="93" t="n">
        <x:v>554.6</x:v>
      </x:c>
    </x:row>
    <x:row r="386">
      <x:c r="A386" s="85" t="n">
        <x:v>385</x:v>
      </x:c>
      <x:c r="B386" s="86" t="n">
        <x:v>270</x:v>
      </x:c>
      <x:c r="C386" s="86" t="n">
        <x:v>6</x:v>
      </x:c>
      <x:c r="D386" s="95" t="n">
        <x:v>45572</x:v>
      </x:c>
      <x:c r="E386" s="95"/>
      <x:c r="F386" s="86" t="str">
        <x:v>Em andamento</x:v>
      </x:c>
      <x:c r="G386" s="86"/>
      <x:c r="H386" s="93" t="n">
        <x:v>609.98</x:v>
      </x:c>
    </x:row>
    <x:row r="387">
      <x:c r="A387" s="85" t="n">
        <x:v>386</x:v>
      </x:c>
      <x:c r="B387" s="86" t="n">
        <x:v>181</x:v>
      </x:c>
      <x:c r="C387" s="86" t="n">
        <x:v>7</x:v>
      </x:c>
      <x:c r="D387" s="95" t="n">
        <x:v>45923</x:v>
      </x:c>
      <x:c r="E387" s="95" t="n">
        <x:v>45930</x:v>
      </x:c>
      <x:c r="F387" s="86" t="str">
        <x:v>Concluído</x:v>
      </x:c>
      <x:c r="G387" s="86" t="n">
        <x:v>8.2</x:v>
      </x:c>
      <x:c r="H387" s="93" t="n">
        <x:v>434.55</x:v>
      </x:c>
    </x:row>
    <x:row r="388">
      <x:c r="A388" s="85" t="n">
        <x:v>387</x:v>
      </x:c>
      <x:c r="B388" s="86" t="n">
        <x:v>24</x:v>
      </x:c>
      <x:c r="C388" s="86" t="n">
        <x:v>7</x:v>
      </x:c>
      <x:c r="D388" s="95" t="n">
        <x:v>45605</x:v>
      </x:c>
      <x:c r="E388" s="95"/>
      <x:c r="F388" s="86" t="str">
        <x:v>Não iniciado</x:v>
      </x:c>
      <x:c r="G388" s="86"/>
      <x:c r="H388" s="93" t="n">
        <x:v>173.82</x:v>
      </x:c>
    </x:row>
    <x:row r="389">
      <x:c r="A389" s="85" t="n">
        <x:v>388</x:v>
      </x:c>
      <x:c r="B389" s="86" t="n">
        <x:v>331</x:v>
      </x:c>
      <x:c r="C389" s="86" t="n">
        <x:v>1</x:v>
      </x:c>
      <x:c r="D389" s="95" t="n">
        <x:v>45632</x:v>
      </x:c>
      <x:c r="E389" s="95" t="n">
        <x:v>45637</x:v>
      </x:c>
      <x:c r="F389" s="86" t="str">
        <x:v>Concluído</x:v>
      </x:c>
      <x:c r="G389" s="86" t="n">
        <x:v>9.6</x:v>
      </x:c>
      <x:c r="H389" s="93" t="n">
        <x:v>673.86</x:v>
      </x:c>
    </x:row>
    <x:row r="390">
      <x:c r="A390" s="85" t="n">
        <x:v>389</x:v>
      </x:c>
      <x:c r="B390" s="86" t="n">
        <x:v>387</x:v>
      </x:c>
      <x:c r="C390" s="86" t="n">
        <x:v>4</x:v>
      </x:c>
      <x:c r="D390" s="95" t="n">
        <x:v>45875</x:v>
      </x:c>
      <x:c r="E390" s="95" t="n">
        <x:v>45877</x:v>
      </x:c>
      <x:c r="F390" s="86" t="str">
        <x:v>Reprovado</x:v>
      </x:c>
      <x:c r="G390" s="86" t="n">
        <x:v>9.2</x:v>
      </x:c>
      <x:c r="H390" s="93" t="n">
        <x:v>596.71</x:v>
      </x:c>
    </x:row>
    <x:row r="391">
      <x:c r="A391" s="85" t="n">
        <x:v>390</x:v>
      </x:c>
      <x:c r="B391" s="86" t="n">
        <x:v>18</x:v>
      </x:c>
      <x:c r="C391" s="86" t="n">
        <x:v>10</x:v>
      </x:c>
      <x:c r="D391" s="95" t="n">
        <x:v>45967</x:v>
      </x:c>
      <x:c r="E391" s="95" t="n">
        <x:v>45971</x:v>
      </x:c>
      <x:c r="F391" s="86" t="str">
        <x:v>Concluído</x:v>
      </x:c>
      <x:c r="G391" s="86" t="n">
        <x:v>7.7</x:v>
      </x:c>
      <x:c r="H391" s="93" t="n">
        <x:v>538.13</x:v>
      </x:c>
    </x:row>
    <x:row r="392">
      <x:c r="A392" s="85" t="n">
        <x:v>391</x:v>
      </x:c>
      <x:c r="B392" s="86" t="n">
        <x:v>246</x:v>
      </x:c>
      <x:c r="C392" s="86" t="n">
        <x:v>8</x:v>
      </x:c>
      <x:c r="D392" s="95" t="n">
        <x:v>45900</x:v>
      </x:c>
      <x:c r="E392" s="95" t="n">
        <x:v>45907</x:v>
      </x:c>
      <x:c r="F392" s="86" t="str">
        <x:v>Concluído</x:v>
      </x:c>
      <x:c r="G392" s="86" t="n">
        <x:v>7.6</x:v>
      </x:c>
      <x:c r="H392" s="93" t="n">
        <x:v>764.7</x:v>
      </x:c>
    </x:row>
    <x:row r="393">
      <x:c r="A393" s="85" t="n">
        <x:v>392</x:v>
      </x:c>
      <x:c r="B393" s="86" t="n">
        <x:v>199</x:v>
      </x:c>
      <x:c r="C393" s="86" t="n">
        <x:v>4</x:v>
      </x:c>
      <x:c r="D393" s="95" t="n">
        <x:v>45365</x:v>
      </x:c>
      <x:c r="E393" s="95" t="n">
        <x:v>45369</x:v>
      </x:c>
      <x:c r="F393" s="86" t="str">
        <x:v>Concluído</x:v>
      </x:c>
      <x:c r="G393" s="86" t="n">
        <x:v>9.8</x:v>
      </x:c>
      <x:c r="H393" s="93" t="n">
        <x:v>697.26</x:v>
      </x:c>
    </x:row>
    <x:row r="394">
      <x:c r="A394" s="85" t="n">
        <x:v>393</x:v>
      </x:c>
      <x:c r="B394" s="86" t="n">
        <x:v>384</x:v>
      </x:c>
      <x:c r="C394" s="86" t="n">
        <x:v>3</x:v>
      </x:c>
      <x:c r="D394" s="95" t="n">
        <x:v>46014</x:v>
      </x:c>
      <x:c r="E394" s="95" t="n">
        <x:v>46015</x:v>
      </x:c>
      <x:c r="F394" s="86" t="str">
        <x:v>Concluído</x:v>
      </x:c>
      <x:c r="G394" s="86" t="n">
        <x:v>7.4</x:v>
      </x:c>
      <x:c r="H394" s="93" t="n">
        <x:v>110.34</x:v>
      </x:c>
    </x:row>
    <x:row r="395">
      <x:c r="A395" s="85" t="n">
        <x:v>394</x:v>
      </x:c>
      <x:c r="B395" s="86" t="n">
        <x:v>337</x:v>
      </x:c>
      <x:c r="C395" s="86" t="n">
        <x:v>7</x:v>
      </x:c>
      <x:c r="D395" s="95" t="n">
        <x:v>45463</x:v>
      </x:c>
      <x:c r="E395" s="95"/>
      <x:c r="F395" s="86" t="str">
        <x:v>Não iniciado</x:v>
      </x:c>
      <x:c r="G395" s="86"/>
      <x:c r="H395" s="93" t="n">
        <x:v>408.93</x:v>
      </x:c>
    </x:row>
    <x:row r="396">
      <x:c r="A396" s="85" t="n">
        <x:v>395</x:v>
      </x:c>
      <x:c r="B396" s="86" t="n">
        <x:v>124</x:v>
      </x:c>
      <x:c r="C396" s="86" t="n">
        <x:v>1</x:v>
      </x:c>
      <x:c r="D396" s="95" t="n">
        <x:v>45843</x:v>
      </x:c>
      <x:c r="E396" s="95" t="n">
        <x:v>45844</x:v>
      </x:c>
      <x:c r="F396" s="86" t="str">
        <x:v>Concluído</x:v>
      </x:c>
      <x:c r="G396" s="86" t="n">
        <x:v>9.4</x:v>
      </x:c>
      <x:c r="H396" s="93" t="n">
        <x:v>197.15</x:v>
      </x:c>
    </x:row>
    <x:row r="397">
      <x:c r="A397" s="85" t="n">
        <x:v>396</x:v>
      </x:c>
      <x:c r="B397" s="86" t="n">
        <x:v>10</x:v>
      </x:c>
      <x:c r="C397" s="86" t="n">
        <x:v>6</x:v>
      </x:c>
      <x:c r="D397" s="95" t="n">
        <x:v>45635</x:v>
      </x:c>
      <x:c r="E397" s="95" t="n">
        <x:v>45637</x:v>
      </x:c>
      <x:c r="F397" s="86" t="str">
        <x:v>Concluído</x:v>
      </x:c>
      <x:c r="G397" s="86" t="n">
        <x:v>7.9</x:v>
      </x:c>
      <x:c r="H397" s="93" t="n">
        <x:v>514.45</x:v>
      </x:c>
    </x:row>
    <x:row r="398">
      <x:c r="A398" s="85" t="n">
        <x:v>397</x:v>
      </x:c>
      <x:c r="B398" s="86" t="n">
        <x:v>22</x:v>
      </x:c>
      <x:c r="C398" s="86" t="n">
        <x:v>2</x:v>
      </x:c>
      <x:c r="D398" s="95" t="n">
        <x:v>45442</x:v>
      </x:c>
      <x:c r="E398" s="95" t="n">
        <x:v>45453</x:v>
      </x:c>
      <x:c r="F398" s="86" t="str">
        <x:v>Concluído</x:v>
      </x:c>
      <x:c r="G398" s="86" t="n">
        <x:v>7.5</x:v>
      </x:c>
      <x:c r="H398" s="93" t="n">
        <x:v>196.28</x:v>
      </x:c>
    </x:row>
    <x:row r="399">
      <x:c r="A399" s="85" t="n">
        <x:v>398</x:v>
      </x:c>
      <x:c r="B399" s="86" t="n">
        <x:v>369</x:v>
      </x:c>
      <x:c r="C399" s="86" t="n">
        <x:v>3</x:v>
      </x:c>
      <x:c r="D399" s="95" t="n">
        <x:v>45656</x:v>
      </x:c>
      <x:c r="E399" s="95" t="n">
        <x:v>45665</x:v>
      </x:c>
      <x:c r="F399" s="86" t="str">
        <x:v>Reprovado</x:v>
      </x:c>
      <x:c r="G399" s="86" t="n">
        <x:v>9.9</x:v>
      </x:c>
      <x:c r="H399" s="93" t="n">
        <x:v>807.93</x:v>
      </x:c>
    </x:row>
    <x:row r="400">
      <x:c r="A400" s="85" t="n">
        <x:v>399</x:v>
      </x:c>
      <x:c r="B400" s="86" t="n">
        <x:v>189</x:v>
      </x:c>
      <x:c r="C400" s="86" t="n">
        <x:v>9</x:v>
      </x:c>
      <x:c r="D400" s="95" t="n">
        <x:v>45954</x:v>
      </x:c>
      <x:c r="E400" s="95" t="n">
        <x:v>45972</x:v>
      </x:c>
      <x:c r="F400" s="86" t="str">
        <x:v>Concluído</x:v>
      </x:c>
      <x:c r="G400" s="86" t="n">
        <x:v>6.7</x:v>
      </x:c>
      <x:c r="H400" s="93" t="n">
        <x:v>85.62</x:v>
      </x:c>
    </x:row>
    <x:row r="401">
      <x:c r="A401" s="85" t="n">
        <x:v>400</x:v>
      </x:c>
      <x:c r="B401" s="86" t="n">
        <x:v>322</x:v>
      </x:c>
      <x:c r="C401" s="86" t="n">
        <x:v>5</x:v>
      </x:c>
      <x:c r="D401" s="95" t="n">
        <x:v>45829</x:v>
      </x:c>
      <x:c r="E401" s="95" t="n">
        <x:v>45831</x:v>
      </x:c>
      <x:c r="F401" s="86" t="str">
        <x:v>Concluído</x:v>
      </x:c>
      <x:c r="G401" s="86" t="n">
        <x:v>5.1</x:v>
      </x:c>
      <x:c r="H401" s="93" t="n">
        <x:v>722.21</x:v>
      </x:c>
    </x:row>
    <x:row r="402">
      <x:c r="A402" s="85" t="n">
        <x:v>401</x:v>
      </x:c>
      <x:c r="B402" s="86" t="n">
        <x:v>1</x:v>
      </x:c>
      <x:c r="C402" s="86" t="n">
        <x:v>2</x:v>
      </x:c>
      <x:c r="D402" s="95" t="n">
        <x:v>45568</x:v>
      </x:c>
      <x:c r="E402" s="95" t="n">
        <x:v>45585</x:v>
      </x:c>
      <x:c r="F402" s="86" t="str">
        <x:v>Concluído</x:v>
      </x:c>
      <x:c r="G402" s="86" t="n">
        <x:v>6.2</x:v>
      </x:c>
      <x:c r="H402" s="93" t="n">
        <x:v>389.72</x:v>
      </x:c>
    </x:row>
    <x:row r="403">
      <x:c r="A403" s="85" t="n">
        <x:v>402</x:v>
      </x:c>
      <x:c r="B403" s="86" t="n">
        <x:v>25</x:v>
      </x:c>
      <x:c r="C403" s="86" t="n">
        <x:v>6</x:v>
      </x:c>
      <x:c r="D403" s="95" t="n">
        <x:v>45816</x:v>
      </x:c>
      <x:c r="E403" s="95" t="n">
        <x:v>45835</x:v>
      </x:c>
      <x:c r="F403" s="86" t="str">
        <x:v>Concluído</x:v>
      </x:c>
      <x:c r="G403" s="86" t="n">
        <x:v>9.3</x:v>
      </x:c>
      <x:c r="H403" s="93" t="n">
        <x:v>217.22</x:v>
      </x:c>
    </x:row>
    <x:row r="404">
      <x:c r="A404" s="85" t="n">
        <x:v>403</x:v>
      </x:c>
      <x:c r="B404" s="86" t="n">
        <x:v>22</x:v>
      </x:c>
      <x:c r="C404" s="86" t="n">
        <x:v>8</x:v>
      </x:c>
      <x:c r="D404" s="95" t="n">
        <x:v>45787</x:v>
      </x:c>
      <x:c r="E404" s="95" t="n">
        <x:v>45803</x:v>
      </x:c>
      <x:c r="F404" s="86" t="str">
        <x:v>Concluído</x:v>
      </x:c>
      <x:c r="G404" s="86" t="n">
        <x:v>6.6</x:v>
      </x:c>
      <x:c r="H404" s="93" t="n">
        <x:v>590.41</x:v>
      </x:c>
    </x:row>
    <x:row r="405">
      <x:c r="A405" s="85" t="n">
        <x:v>404</x:v>
      </x:c>
      <x:c r="B405" s="86" t="n">
        <x:v>214</x:v>
      </x:c>
      <x:c r="C405" s="86" t="n">
        <x:v>6</x:v>
      </x:c>
      <x:c r="D405" s="95" t="n">
        <x:v>45991</x:v>
      </x:c>
      <x:c r="E405" s="95" t="n">
        <x:v>46001</x:v>
      </x:c>
      <x:c r="F405" s="86" t="str">
        <x:v>Concluído</x:v>
      </x:c>
      <x:c r="G405" s="86" t="n">
        <x:v>5.3</x:v>
      </x:c>
      <x:c r="H405" s="93" t="n">
        <x:v>537.33</x:v>
      </x:c>
    </x:row>
    <x:row r="406">
      <x:c r="A406" s="85" t="n">
        <x:v>405</x:v>
      </x:c>
      <x:c r="B406" s="86" t="n">
        <x:v>213</x:v>
      </x:c>
      <x:c r="C406" s="86" t="n">
        <x:v>10</x:v>
      </x:c>
      <x:c r="D406" s="95" t="n">
        <x:v>45786</x:v>
      </x:c>
      <x:c r="E406" s="95"/>
      <x:c r="F406" s="86" t="str">
        <x:v>Não iniciado</x:v>
      </x:c>
      <x:c r="G406" s="86"/>
      <x:c r="H406" s="93" t="n">
        <x:v>355.14</x:v>
      </x:c>
    </x:row>
    <x:row r="407">
      <x:c r="A407" s="85" t="n">
        <x:v>406</x:v>
      </x:c>
      <x:c r="B407" s="86" t="n">
        <x:v>10</x:v>
      </x:c>
      <x:c r="C407" s="86" t="n">
        <x:v>3</x:v>
      </x:c>
      <x:c r="D407" s="95" t="n">
        <x:v>45474</x:v>
      </x:c>
      <x:c r="E407" s="95" t="n">
        <x:v>45486</x:v>
      </x:c>
      <x:c r="F407" s="86" t="str">
        <x:v>Concluído</x:v>
      </x:c>
      <x:c r="G407" s="86" t="n">
        <x:v>8.7</x:v>
      </x:c>
      <x:c r="H407" s="93" t="n">
        <x:v>385.46</x:v>
      </x:c>
    </x:row>
    <x:row r="408">
      <x:c r="A408" s="85" t="n">
        <x:v>407</x:v>
      </x:c>
      <x:c r="B408" s="86" t="n">
        <x:v>52</x:v>
      </x:c>
      <x:c r="C408" s="86" t="n">
        <x:v>4</x:v>
      </x:c>
      <x:c r="D408" s="95" t="n">
        <x:v>45523</x:v>
      </x:c>
      <x:c r="E408" s="95" t="n">
        <x:v>45530</x:v>
      </x:c>
      <x:c r="F408" s="86" t="str">
        <x:v>Concluído</x:v>
      </x:c>
      <x:c r="G408" s="86" t="n">
        <x:v>9.3</x:v>
      </x:c>
      <x:c r="H408" s="93" t="n">
        <x:v>643.73</x:v>
      </x:c>
    </x:row>
    <x:row r="409">
      <x:c r="A409" s="85" t="n">
        <x:v>408</x:v>
      </x:c>
      <x:c r="B409" s="86" t="n">
        <x:v>325</x:v>
      </x:c>
      <x:c r="C409" s="86" t="n">
        <x:v>4</x:v>
      </x:c>
      <x:c r="D409" s="95" t="n">
        <x:v>45617</x:v>
      </x:c>
      <x:c r="E409" s="95" t="n">
        <x:v>45625</x:v>
      </x:c>
      <x:c r="F409" s="86" t="str">
        <x:v>Concluído</x:v>
      </x:c>
      <x:c r="G409" s="86" t="n">
        <x:v>7.7</x:v>
      </x:c>
      <x:c r="H409" s="93" t="n">
        <x:v>643.72</x:v>
      </x:c>
    </x:row>
    <x:row r="410">
      <x:c r="A410" s="85" t="n">
        <x:v>409</x:v>
      </x:c>
      <x:c r="B410" s="86" t="n">
        <x:v>187</x:v>
      </x:c>
      <x:c r="C410" s="86" t="n">
        <x:v>5</x:v>
      </x:c>
      <x:c r="D410" s="95" t="n">
        <x:v>45922</x:v>
      </x:c>
      <x:c r="E410" s="95" t="n">
        <x:v>45923</x:v>
      </x:c>
      <x:c r="F410" s="86" t="str">
        <x:v>Concluído</x:v>
      </x:c>
      <x:c r="G410" s="86" t="n">
        <x:v>5.3</x:v>
      </x:c>
      <x:c r="H410" s="93" t="n">
        <x:v>624.61</x:v>
      </x:c>
    </x:row>
    <x:row r="411">
      <x:c r="A411" s="85" t="n">
        <x:v>410</x:v>
      </x:c>
      <x:c r="B411" s="86" t="n">
        <x:v>348</x:v>
      </x:c>
      <x:c r="C411" s="86" t="n">
        <x:v>4</x:v>
      </x:c>
      <x:c r="D411" s="95" t="n">
        <x:v>45488</x:v>
      </x:c>
      <x:c r="E411" s="95" t="n">
        <x:v>45493</x:v>
      </x:c>
      <x:c r="F411" s="86" t="str">
        <x:v>Concluído</x:v>
      </x:c>
      <x:c r="G411" s="86" t="n">
        <x:v>7.3</x:v>
      </x:c>
      <x:c r="H411" s="93" t="n">
        <x:v>769.09</x:v>
      </x:c>
    </x:row>
    <x:row r="412">
      <x:c r="A412" s="85" t="n">
        <x:v>411</x:v>
      </x:c>
      <x:c r="B412" s="86" t="n">
        <x:v>328</x:v>
      </x:c>
      <x:c r="C412" s="86" t="n">
        <x:v>10</x:v>
      </x:c>
      <x:c r="D412" s="95" t="n">
        <x:v>45674</x:v>
      </x:c>
      <x:c r="E412" s="95" t="n">
        <x:v>45683</x:v>
      </x:c>
      <x:c r="F412" s="86" t="str">
        <x:v>Concluído</x:v>
      </x:c>
      <x:c r="G412" s="86" t="n">
        <x:v>9.4</x:v>
      </x:c>
      <x:c r="H412" s="93" t="n">
        <x:v>186.59</x:v>
      </x:c>
    </x:row>
    <x:row r="413">
      <x:c r="A413" s="85" t="n">
        <x:v>412</x:v>
      </x:c>
      <x:c r="B413" s="86" t="n">
        <x:v>342</x:v>
      </x:c>
      <x:c r="C413" s="86" t="n">
        <x:v>3</x:v>
      </x:c>
      <x:c r="D413" s="95" t="n">
        <x:v>45952</x:v>
      </x:c>
      <x:c r="E413" s="95" t="n">
        <x:v>45955</x:v>
      </x:c>
      <x:c r="F413" s="86" t="str">
        <x:v>Concluído</x:v>
      </x:c>
      <x:c r="G413" s="86" t="n">
        <x:v>8.8</x:v>
      </x:c>
      <x:c r="H413" s="93" t="n">
        <x:v>80.92</x:v>
      </x:c>
    </x:row>
    <x:row r="414">
      <x:c r="A414" s="85" t="n">
        <x:v>413</x:v>
      </x:c>
      <x:c r="B414" s="86" t="n">
        <x:v>302</x:v>
      </x:c>
      <x:c r="C414" s="86" t="n">
        <x:v>8</x:v>
      </x:c>
      <x:c r="D414" s="95" t="n">
        <x:v>45554</x:v>
      </x:c>
      <x:c r="E414" s="95" t="n">
        <x:v>45565</x:v>
      </x:c>
      <x:c r="F414" s="86" t="str">
        <x:v>Concluído</x:v>
      </x:c>
      <x:c r="G414" s="86" t="n">
        <x:v>8.7</x:v>
      </x:c>
      <x:c r="H414" s="93" t="n">
        <x:v>196.62</x:v>
      </x:c>
    </x:row>
    <x:row r="415">
      <x:c r="A415" s="85" t="n">
        <x:v>414</x:v>
      </x:c>
      <x:c r="B415" s="86" t="n">
        <x:v>4</x:v>
      </x:c>
      <x:c r="C415" s="86" t="n">
        <x:v>6</x:v>
      </x:c>
      <x:c r="D415" s="95" t="n">
        <x:v>46010</x:v>
      </x:c>
      <x:c r="E415" s="95" t="n">
        <x:v>46021</x:v>
      </x:c>
      <x:c r="F415" s="86" t="str">
        <x:v>Reprovado</x:v>
      </x:c>
      <x:c r="G415" s="86" t="n">
        <x:v>7</x:v>
      </x:c>
      <x:c r="H415" s="93" t="n">
        <x:v>239.95</x:v>
      </x:c>
    </x:row>
    <x:row r="416">
      <x:c r="A416" s="85" t="n">
        <x:v>415</x:v>
      </x:c>
      <x:c r="B416" s="86" t="n">
        <x:v>325</x:v>
      </x:c>
      <x:c r="C416" s="86" t="n">
        <x:v>8</x:v>
      </x:c>
      <x:c r="D416" s="95" t="n">
        <x:v>45677</x:v>
      </x:c>
      <x:c r="E416" s="95" t="n">
        <x:v>45692</x:v>
      </x:c>
      <x:c r="F416" s="86" t="str">
        <x:v>Concluído</x:v>
      </x:c>
      <x:c r="G416" s="86" t="n">
        <x:v>7.3</x:v>
      </x:c>
      <x:c r="H416" s="93" t="n">
        <x:v>435.58</x:v>
      </x:c>
    </x:row>
    <x:row r="417">
      <x:c r="A417" s="85" t="n">
        <x:v>416</x:v>
      </x:c>
      <x:c r="B417" s="86" t="n">
        <x:v>38</x:v>
      </x:c>
      <x:c r="C417" s="86" t="n">
        <x:v>9</x:v>
      </x:c>
      <x:c r="D417" s="95" t="n">
        <x:v>45456</x:v>
      </x:c>
      <x:c r="E417" s="95"/>
      <x:c r="F417" s="86" t="str">
        <x:v>Não iniciado</x:v>
      </x:c>
      <x:c r="G417" s="86"/>
      <x:c r="H417" s="93" t="n">
        <x:v>555.06</x:v>
      </x:c>
    </x:row>
    <x:row r="418">
      <x:c r="A418" s="85" t="n">
        <x:v>417</x:v>
      </x:c>
      <x:c r="B418" s="86" t="n">
        <x:v>129</x:v>
      </x:c>
      <x:c r="C418" s="86" t="n">
        <x:v>8</x:v>
      </x:c>
      <x:c r="D418" s="95" t="n">
        <x:v>45954</x:v>
      </x:c>
      <x:c r="E418" s="95" t="n">
        <x:v>45954</x:v>
      </x:c>
      <x:c r="F418" s="86" t="str">
        <x:v>Concluído</x:v>
      </x:c>
      <x:c r="G418" s="86" t="n">
        <x:v>6.2</x:v>
      </x:c>
      <x:c r="H418" s="93" t="n">
        <x:v>230.3</x:v>
      </x:c>
    </x:row>
    <x:row r="419">
      <x:c r="A419" s="85" t="n">
        <x:v>418</x:v>
      </x:c>
      <x:c r="B419" s="86" t="n">
        <x:v>298</x:v>
      </x:c>
      <x:c r="C419" s="86" t="n">
        <x:v>9</x:v>
      </x:c>
      <x:c r="D419" s="95" t="n">
        <x:v>45547</x:v>
      </x:c>
      <x:c r="E419" s="95" t="n">
        <x:v>45567</x:v>
      </x:c>
      <x:c r="F419" s="86" t="str">
        <x:v>Concluído</x:v>
      </x:c>
      <x:c r="G419" s="86" t="n">
        <x:v>8.2</x:v>
      </x:c>
      <x:c r="H419" s="93" t="n">
        <x:v>341.03</x:v>
      </x:c>
    </x:row>
    <x:row r="420">
      <x:c r="A420" s="85" t="n">
        <x:v>419</x:v>
      </x:c>
      <x:c r="B420" s="86" t="n">
        <x:v>254</x:v>
      </x:c>
      <x:c r="C420" s="86" t="n">
        <x:v>1</x:v>
      </x:c>
      <x:c r="D420" s="95" t="n">
        <x:v>45701</x:v>
      </x:c>
      <x:c r="E420" s="95"/>
      <x:c r="F420" s="86" t="str">
        <x:v>Em andamento</x:v>
      </x:c>
      <x:c r="G420" s="86"/>
      <x:c r="H420" s="93" t="n">
        <x:v>591.5</x:v>
      </x:c>
    </x:row>
    <x:row r="421">
      <x:c r="A421" s="85" t="n">
        <x:v>420</x:v>
      </x:c>
      <x:c r="B421" s="86" t="n">
        <x:v>282</x:v>
      </x:c>
      <x:c r="C421" s="86" t="n">
        <x:v>7</x:v>
      </x:c>
      <x:c r="D421" s="95" t="n">
        <x:v>45938</x:v>
      </x:c>
      <x:c r="E421" s="95"/>
      <x:c r="F421" s="86" t="str">
        <x:v>Em andamento</x:v>
      </x:c>
      <x:c r="G421" s="86"/>
      <x:c r="H421" s="93" t="n">
        <x:v>656.02</x:v>
      </x:c>
    </x:row>
    <x:row r="422">
      <x:c r="A422" s="85" t="n">
        <x:v>421</x:v>
      </x:c>
      <x:c r="B422" s="86" t="n">
        <x:v>132</x:v>
      </x:c>
      <x:c r="C422" s="86" t="n">
        <x:v>7</x:v>
      </x:c>
      <x:c r="D422" s="95" t="n">
        <x:v>45924</x:v>
      </x:c>
      <x:c r="E422" s="95" t="n">
        <x:v>45925</x:v>
      </x:c>
      <x:c r="F422" s="86" t="str">
        <x:v>Concluído</x:v>
      </x:c>
      <x:c r="G422" s="86" t="n">
        <x:v>6.7</x:v>
      </x:c>
      <x:c r="H422" s="93" t="n">
        <x:v>404.79</x:v>
      </x:c>
    </x:row>
    <x:row r="423">
      <x:c r="A423" s="85" t="n">
        <x:v>422</x:v>
      </x:c>
      <x:c r="B423" s="86" t="n">
        <x:v>329</x:v>
      </x:c>
      <x:c r="C423" s="86" t="n">
        <x:v>2</x:v>
      </x:c>
      <x:c r="D423" s="95" t="n">
        <x:v>45916</x:v>
      </x:c>
      <x:c r="E423" s="95" t="n">
        <x:v>45918</x:v>
      </x:c>
      <x:c r="F423" s="86" t="str">
        <x:v>Concluído</x:v>
      </x:c>
      <x:c r="G423" s="86" t="n">
        <x:v>9.2</x:v>
      </x:c>
      <x:c r="H423" s="93" t="n">
        <x:v>757.41</x:v>
      </x:c>
    </x:row>
    <x:row r="424">
      <x:c r="A424" s="85" t="n">
        <x:v>423</x:v>
      </x:c>
      <x:c r="B424" s="86" t="n">
        <x:v>359</x:v>
      </x:c>
      <x:c r="C424" s="86" t="n">
        <x:v>10</x:v>
      </x:c>
      <x:c r="D424" s="95" t="n">
        <x:v>45851</x:v>
      </x:c>
      <x:c r="E424" s="95"/>
      <x:c r="F424" s="86" t="str">
        <x:v>Em andamento</x:v>
      </x:c>
      <x:c r="G424" s="86"/>
      <x:c r="H424" s="93" t="n">
        <x:v>398.04</x:v>
      </x:c>
    </x:row>
    <x:row r="425">
      <x:c r="A425" s="85" t="n">
        <x:v>424</x:v>
      </x:c>
      <x:c r="B425" s="86" t="n">
        <x:v>31</x:v>
      </x:c>
      <x:c r="C425" s="86" t="n">
        <x:v>9</x:v>
      </x:c>
      <x:c r="D425" s="95" t="n">
        <x:v>45670</x:v>
      </x:c>
      <x:c r="E425" s="95"/>
      <x:c r="F425" s="86" t="str">
        <x:v>Em andamento</x:v>
      </x:c>
      <x:c r="G425" s="86"/>
      <x:c r="H425" s="93" t="n">
        <x:v>295.63</x:v>
      </x:c>
    </x:row>
    <x:row r="426">
      <x:c r="A426" s="85" t="n">
        <x:v>425</x:v>
      </x:c>
      <x:c r="B426" s="86" t="n">
        <x:v>48</x:v>
      </x:c>
      <x:c r="C426" s="86" t="n">
        <x:v>10</x:v>
      </x:c>
      <x:c r="D426" s="95" t="n">
        <x:v>45872</x:v>
      </x:c>
      <x:c r="E426" s="95"/>
      <x:c r="F426" s="86" t="str">
        <x:v>Não iniciado</x:v>
      </x:c>
      <x:c r="G426" s="86"/>
      <x:c r="H426" s="93" t="n">
        <x:v>837.05</x:v>
      </x:c>
    </x:row>
    <x:row r="427">
      <x:c r="A427" s="85" t="n">
        <x:v>426</x:v>
      </x:c>
      <x:c r="B427" s="86" t="n">
        <x:v>81</x:v>
      </x:c>
      <x:c r="C427" s="86" t="n">
        <x:v>9</x:v>
      </x:c>
      <x:c r="D427" s="95" t="n">
        <x:v>45795</x:v>
      </x:c>
      <x:c r="E427" s="95" t="n">
        <x:v>45802</x:v>
      </x:c>
      <x:c r="F427" s="86" t="str">
        <x:v>Concluído</x:v>
      </x:c>
      <x:c r="G427" s="86" t="n">
        <x:v>9.2</x:v>
      </x:c>
      <x:c r="H427" s="93" t="n">
        <x:v>152.66</x:v>
      </x:c>
    </x:row>
    <x:row r="428">
      <x:c r="A428" s="85" t="n">
        <x:v>427</x:v>
      </x:c>
      <x:c r="B428" s="86" t="n">
        <x:v>367</x:v>
      </x:c>
      <x:c r="C428" s="86" t="n">
        <x:v>2</x:v>
      </x:c>
      <x:c r="D428" s="95" t="n">
        <x:v>45978</x:v>
      </x:c>
      <x:c r="E428" s="95" t="n">
        <x:v>45986</x:v>
      </x:c>
      <x:c r="F428" s="86" t="str">
        <x:v>Concluído</x:v>
      </x:c>
      <x:c r="G428" s="86" t="n">
        <x:v>5.7</x:v>
      </x:c>
      <x:c r="H428" s="93" t="n">
        <x:v>359.43</x:v>
      </x:c>
    </x:row>
    <x:row r="429">
      <x:c r="A429" s="85" t="n">
        <x:v>428</x:v>
      </x:c>
      <x:c r="B429" s="86" t="n">
        <x:v>359</x:v>
      </x:c>
      <x:c r="C429" s="86" t="n">
        <x:v>10</x:v>
      </x:c>
      <x:c r="D429" s="95" t="n">
        <x:v>45727</x:v>
      </x:c>
      <x:c r="E429" s="95" t="n">
        <x:v>45732</x:v>
      </x:c>
      <x:c r="F429" s="86" t="str">
        <x:v>Concluído</x:v>
      </x:c>
      <x:c r="G429" s="86" t="n">
        <x:v>9</x:v>
      </x:c>
      <x:c r="H429" s="93" t="n">
        <x:v>392.04</x:v>
      </x:c>
    </x:row>
    <x:row r="430">
      <x:c r="A430" s="85" t="n">
        <x:v>429</x:v>
      </x:c>
      <x:c r="B430" s="86" t="n">
        <x:v>290</x:v>
      </x:c>
      <x:c r="C430" s="86" t="n">
        <x:v>8</x:v>
      </x:c>
      <x:c r="D430" s="95" t="n">
        <x:v>45617</x:v>
      </x:c>
      <x:c r="E430" s="95" t="n">
        <x:v>45629</x:v>
      </x:c>
      <x:c r="F430" s="86" t="str">
        <x:v>Reprovado</x:v>
      </x:c>
      <x:c r="G430" s="86" t="n">
        <x:v>5.8</x:v>
      </x:c>
      <x:c r="H430" s="93" t="n">
        <x:v>142.72</x:v>
      </x:c>
    </x:row>
    <x:row r="431">
      <x:c r="A431" s="85" t="n">
        <x:v>430</x:v>
      </x:c>
      <x:c r="B431" s="86" t="n">
        <x:v>82</x:v>
      </x:c>
      <x:c r="C431" s="86" t="n">
        <x:v>9</x:v>
      </x:c>
      <x:c r="D431" s="95" t="n">
        <x:v>45624</x:v>
      </x:c>
      <x:c r="E431" s="95" t="n">
        <x:v>45640</x:v>
      </x:c>
      <x:c r="F431" s="86" t="str">
        <x:v>Concluído</x:v>
      </x:c>
      <x:c r="G431" s="86" t="n">
        <x:v>6.2</x:v>
      </x:c>
      <x:c r="H431" s="93" t="n">
        <x:v>590.28</x:v>
      </x:c>
    </x:row>
    <x:row r="432">
      <x:c r="A432" s="85" t="n">
        <x:v>431</x:v>
      </x:c>
      <x:c r="B432" s="86" t="n">
        <x:v>132</x:v>
      </x:c>
      <x:c r="C432" s="86" t="n">
        <x:v>1</x:v>
      </x:c>
      <x:c r="D432" s="95" t="n">
        <x:v>45931</x:v>
      </x:c>
      <x:c r="E432" s="95" t="n">
        <x:v>45931</x:v>
      </x:c>
      <x:c r="F432" s="86" t="str">
        <x:v>Concluído</x:v>
      </x:c>
      <x:c r="G432" s="86" t="n">
        <x:v>5.4</x:v>
      </x:c>
      <x:c r="H432" s="93" t="n">
        <x:v>839.05</x:v>
      </x:c>
    </x:row>
    <x:row r="433">
      <x:c r="A433" s="85" t="n">
        <x:v>432</x:v>
      </x:c>
      <x:c r="B433" s="86" t="n">
        <x:v>414</x:v>
      </x:c>
      <x:c r="C433" s="86" t="n">
        <x:v>9</x:v>
      </x:c>
      <x:c r="D433" s="95" t="n">
        <x:v>45737</x:v>
      </x:c>
      <x:c r="E433" s="95" t="n">
        <x:v>45741</x:v>
      </x:c>
      <x:c r="F433" s="86" t="str">
        <x:v>Concluído</x:v>
      </x:c>
      <x:c r="G433" s="86" t="n">
        <x:v>9.6</x:v>
      </x:c>
      <x:c r="H433" s="93" t="n">
        <x:v>162.63</x:v>
      </x:c>
    </x:row>
    <x:row r="434">
      <x:c r="A434" s="85" t="n">
        <x:v>433</x:v>
      </x:c>
      <x:c r="B434" s="86" t="n">
        <x:v>320</x:v>
      </x:c>
      <x:c r="C434" s="86" t="n">
        <x:v>2</x:v>
      </x:c>
      <x:c r="D434" s="95" t="n">
        <x:v>45508</x:v>
      </x:c>
      <x:c r="E434" s="95"/>
      <x:c r="F434" s="86" t="str">
        <x:v>Em andamento</x:v>
      </x:c>
      <x:c r="G434" s="86"/>
      <x:c r="H434" s="93" t="n">
        <x:v>227.59</x:v>
      </x:c>
    </x:row>
    <x:row r="435">
      <x:c r="A435" s="85" t="n">
        <x:v>434</x:v>
      </x:c>
      <x:c r="B435" s="86" t="n">
        <x:v>123</x:v>
      </x:c>
      <x:c r="C435" s="86" t="n">
        <x:v>9</x:v>
      </x:c>
      <x:c r="D435" s="95" t="n">
        <x:v>45979</x:v>
      </x:c>
      <x:c r="E435" s="95" t="n">
        <x:v>45984</x:v>
      </x:c>
      <x:c r="F435" s="86" t="str">
        <x:v>Reprovado</x:v>
      </x:c>
      <x:c r="G435" s="86" t="n">
        <x:v>5.4</x:v>
      </x:c>
      <x:c r="H435" s="93" t="n">
        <x:v>462.69</x:v>
      </x:c>
    </x:row>
    <x:row r="436">
      <x:c r="A436" s="85" t="n">
        <x:v>435</x:v>
      </x:c>
      <x:c r="B436" s="86" t="n">
        <x:v>408</x:v>
      </x:c>
      <x:c r="C436" s="86" t="n">
        <x:v>9</x:v>
      </x:c>
      <x:c r="D436" s="95" t="n">
        <x:v>45737</x:v>
      </x:c>
      <x:c r="E436" s="95" t="n">
        <x:v>45755</x:v>
      </x:c>
      <x:c r="F436" s="86" t="str">
        <x:v>Concluído</x:v>
      </x:c>
      <x:c r="G436" s="86" t="n">
        <x:v>9.3</x:v>
      </x:c>
      <x:c r="H436" s="93" t="n">
        <x:v>239.47</x:v>
      </x:c>
    </x:row>
    <x:row r="437">
      <x:c r="A437" s="85" t="n">
        <x:v>436</x:v>
      </x:c>
      <x:c r="B437" s="86" t="n">
        <x:v>190</x:v>
      </x:c>
      <x:c r="C437" s="86" t="n">
        <x:v>10</x:v>
      </x:c>
      <x:c r="D437" s="95" t="n">
        <x:v>45992</x:v>
      </x:c>
      <x:c r="E437" s="95" t="n">
        <x:v>46010</x:v>
      </x:c>
      <x:c r="F437" s="86" t="str">
        <x:v>Concluído</x:v>
      </x:c>
      <x:c r="G437" s="86" t="n">
        <x:v>5.1</x:v>
      </x:c>
      <x:c r="H437" s="93" t="n">
        <x:v>187.1</x:v>
      </x:c>
    </x:row>
    <x:row r="438">
      <x:c r="A438" s="85" t="n">
        <x:v>437</x:v>
      </x:c>
      <x:c r="B438" s="86" t="n">
        <x:v>392</x:v>
      </x:c>
      <x:c r="C438" s="86" t="n">
        <x:v>1</x:v>
      </x:c>
      <x:c r="D438" s="95" t="n">
        <x:v>45452</x:v>
      </x:c>
      <x:c r="E438" s="95" t="n">
        <x:v>45461</x:v>
      </x:c>
      <x:c r="F438" s="86" t="str">
        <x:v>Concluído</x:v>
      </x:c>
      <x:c r="G438" s="86" t="n">
        <x:v>6.1</x:v>
      </x:c>
      <x:c r="H438" s="93" t="n">
        <x:v>240.28</x:v>
      </x:c>
    </x:row>
    <x:row r="439">
      <x:c r="A439" s="85" t="n">
        <x:v>438</x:v>
      </x:c>
      <x:c r="B439" s="86" t="n">
        <x:v>241</x:v>
      </x:c>
      <x:c r="C439" s="86" t="n">
        <x:v>6</x:v>
      </x:c>
      <x:c r="D439" s="95" t="n">
        <x:v>45709</x:v>
      </x:c>
      <x:c r="E439" s="95" t="n">
        <x:v>45712</x:v>
      </x:c>
      <x:c r="F439" s="86" t="str">
        <x:v>Concluído</x:v>
      </x:c>
      <x:c r="G439" s="86" t="n">
        <x:v>9.9</x:v>
      </x:c>
      <x:c r="H439" s="93" t="n">
        <x:v>162.13</x:v>
      </x:c>
    </x:row>
    <x:row r="440">
      <x:c r="A440" s="85" t="n">
        <x:v>439</x:v>
      </x:c>
      <x:c r="B440" s="86" t="n">
        <x:v>330</x:v>
      </x:c>
      <x:c r="C440" s="86" t="n">
        <x:v>3</x:v>
      </x:c>
      <x:c r="D440" s="95" t="n">
        <x:v>45762</x:v>
      </x:c>
      <x:c r="E440" s="95" t="n">
        <x:v>45779</x:v>
      </x:c>
      <x:c r="F440" s="86" t="str">
        <x:v>Concluído</x:v>
      </x:c>
      <x:c r="G440" s="86" t="n">
        <x:v>6.5</x:v>
      </x:c>
      <x:c r="H440" s="93" t="n">
        <x:v>128.8</x:v>
      </x:c>
    </x:row>
    <x:row r="441">
      <x:c r="A441" s="85" t="n">
        <x:v>440</x:v>
      </x:c>
      <x:c r="B441" s="86" t="n">
        <x:v>4</x:v>
      </x:c>
      <x:c r="C441" s="86" t="n">
        <x:v>4</x:v>
      </x:c>
      <x:c r="D441" s="95" t="n">
        <x:v>46005</x:v>
      </x:c>
      <x:c r="E441" s="95" t="n">
        <x:v>46010</x:v>
      </x:c>
      <x:c r="F441" s="86" t="str">
        <x:v>Concluído</x:v>
      </x:c>
      <x:c r="G441" s="86" t="n">
        <x:v>6.1</x:v>
      </x:c>
      <x:c r="H441" s="93" t="n">
        <x:v>804.14</x:v>
      </x:c>
    </x:row>
    <x:row r="442">
      <x:c r="A442" s="85" t="n">
        <x:v>441</x:v>
      </x:c>
      <x:c r="B442" s="86" t="n">
        <x:v>392</x:v>
      </x:c>
      <x:c r="C442" s="86" t="n">
        <x:v>3</x:v>
      </x:c>
      <x:c r="D442" s="95" t="n">
        <x:v>45450</x:v>
      </x:c>
      <x:c r="E442" s="95" t="n">
        <x:v>45459</x:v>
      </x:c>
      <x:c r="F442" s="86" t="str">
        <x:v>Concluído</x:v>
      </x:c>
      <x:c r="G442" s="86" t="n">
        <x:v>6.1</x:v>
      </x:c>
      <x:c r="H442" s="93" t="n">
        <x:v>193.56</x:v>
      </x:c>
    </x:row>
    <x:row r="443">
      <x:c r="A443" s="85" t="n">
        <x:v>442</x:v>
      </x:c>
      <x:c r="B443" s="86" t="n">
        <x:v>118</x:v>
      </x:c>
      <x:c r="C443" s="86" t="n">
        <x:v>2</x:v>
      </x:c>
      <x:c r="D443" s="95" t="n">
        <x:v>45616</x:v>
      </x:c>
      <x:c r="E443" s="95" t="n">
        <x:v>45621</x:v>
      </x:c>
      <x:c r="F443" s="86" t="str">
        <x:v>Reprovado</x:v>
      </x:c>
      <x:c r="G443" s="86" t="n">
        <x:v>6.9</x:v>
      </x:c>
      <x:c r="H443" s="93" t="n">
        <x:v>268.57</x:v>
      </x:c>
    </x:row>
    <x:row r="444">
      <x:c r="A444" s="85" t="n">
        <x:v>443</x:v>
      </x:c>
      <x:c r="B444" s="86" t="n">
        <x:v>117</x:v>
      </x:c>
      <x:c r="C444" s="86" t="n">
        <x:v>6</x:v>
      </x:c>
      <x:c r="D444" s="95" t="n">
        <x:v>45750</x:v>
      </x:c>
      <x:c r="E444" s="95" t="n">
        <x:v>45761</x:v>
      </x:c>
      <x:c r="F444" s="86" t="str">
        <x:v>Concluído</x:v>
      </x:c>
      <x:c r="G444" s="86" t="n">
        <x:v>6.6</x:v>
      </x:c>
      <x:c r="H444" s="93" t="n">
        <x:v>194.05</x:v>
      </x:c>
    </x:row>
    <x:row r="445">
      <x:c r="A445" s="85" t="n">
        <x:v>444</x:v>
      </x:c>
      <x:c r="B445" s="86" t="n">
        <x:v>289</x:v>
      </x:c>
      <x:c r="C445" s="86" t="n">
        <x:v>10</x:v>
      </x:c>
      <x:c r="D445" s="95" t="n">
        <x:v>45989</x:v>
      </x:c>
      <x:c r="E445" s="95" t="n">
        <x:v>45997</x:v>
      </x:c>
      <x:c r="F445" s="86" t="str">
        <x:v>Concluído</x:v>
      </x:c>
      <x:c r="G445" s="86" t="n">
        <x:v>9.7</x:v>
      </x:c>
      <x:c r="H445" s="93" t="n">
        <x:v>517.64</x:v>
      </x:c>
    </x:row>
    <x:row r="446">
      <x:c r="A446" s="85" t="n">
        <x:v>445</x:v>
      </x:c>
      <x:c r="B446" s="86" t="n">
        <x:v>266</x:v>
      </x:c>
      <x:c r="C446" s="86" t="n">
        <x:v>7</x:v>
      </x:c>
      <x:c r="D446" s="95" t="n">
        <x:v>45992</x:v>
      </x:c>
      <x:c r="E446" s="95" t="n">
        <x:v>46007</x:v>
      </x:c>
      <x:c r="F446" s="86" t="str">
        <x:v>Concluído</x:v>
      </x:c>
      <x:c r="G446" s="86" t="n">
        <x:v>7.2</x:v>
      </x:c>
      <x:c r="H446" s="93" t="n">
        <x:v>357.77</x:v>
      </x:c>
    </x:row>
    <x:row r="447">
      <x:c r="A447" s="85" t="n">
        <x:v>446</x:v>
      </x:c>
      <x:c r="B447" s="86" t="n">
        <x:v>27</x:v>
      </x:c>
      <x:c r="C447" s="86" t="n">
        <x:v>4</x:v>
      </x:c>
      <x:c r="D447" s="95" t="n">
        <x:v>45753</x:v>
      </x:c>
      <x:c r="E447" s="95" t="n">
        <x:v>45773</x:v>
      </x:c>
      <x:c r="F447" s="86" t="str">
        <x:v>Concluído</x:v>
      </x:c>
      <x:c r="G447" s="86" t="n">
        <x:v>5.6</x:v>
      </x:c>
      <x:c r="H447" s="93" t="n">
        <x:v>261.35</x:v>
      </x:c>
    </x:row>
    <x:row r="448">
      <x:c r="A448" s="85" t="n">
        <x:v>447</x:v>
      </x:c>
      <x:c r="B448" s="86" t="n">
        <x:v>197</x:v>
      </x:c>
      <x:c r="C448" s="86" t="n">
        <x:v>7</x:v>
      </x:c>
      <x:c r="D448" s="95" t="n">
        <x:v>45799</x:v>
      </x:c>
      <x:c r="E448" s="95"/>
      <x:c r="F448" s="86" t="str">
        <x:v>Não iniciado</x:v>
      </x:c>
      <x:c r="G448" s="86"/>
      <x:c r="H448" s="93" t="n">
        <x:v>171.07</x:v>
      </x:c>
    </x:row>
    <x:row r="449">
      <x:c r="A449" s="85" t="n">
        <x:v>448</x:v>
      </x:c>
      <x:c r="B449" s="86" t="n">
        <x:v>371</x:v>
      </x:c>
      <x:c r="C449" s="86" t="n">
        <x:v>8</x:v>
      </x:c>
      <x:c r="D449" s="95" t="n">
        <x:v>45644</x:v>
      </x:c>
      <x:c r="E449" s="95" t="n">
        <x:v>45655</x:v>
      </x:c>
      <x:c r="F449" s="86" t="str">
        <x:v>Concluído</x:v>
      </x:c>
      <x:c r="G449" s="86" t="n">
        <x:v>5.7</x:v>
      </x:c>
      <x:c r="H449" s="93" t="n">
        <x:v>722.83</x:v>
      </x:c>
    </x:row>
    <x:row r="450">
      <x:c r="A450" s="85" t="n">
        <x:v>449</x:v>
      </x:c>
      <x:c r="B450" s="86" t="n">
        <x:v>282</x:v>
      </x:c>
      <x:c r="C450" s="86" t="n">
        <x:v>5</x:v>
      </x:c>
      <x:c r="D450" s="95" t="n">
        <x:v>45676</x:v>
      </x:c>
      <x:c r="E450" s="95" t="n">
        <x:v>45689</x:v>
      </x:c>
      <x:c r="F450" s="86" t="str">
        <x:v>Concluído</x:v>
      </x:c>
      <x:c r="G450" s="86" t="n">
        <x:v>9.6</x:v>
      </x:c>
      <x:c r="H450" s="93" t="n">
        <x:v>322.69</x:v>
      </x:c>
    </x:row>
    <x:row r="451">
      <x:c r="A451" s="85" t="n">
        <x:v>450</x:v>
      </x:c>
      <x:c r="B451" s="86" t="n">
        <x:v>290</x:v>
      </x:c>
      <x:c r="C451" s="86" t="n">
        <x:v>10</x:v>
      </x:c>
      <x:c r="D451" s="95" t="n">
        <x:v>45597</x:v>
      </x:c>
      <x:c r="E451" s="95" t="n">
        <x:v>45600</x:v>
      </x:c>
      <x:c r="F451" s="86" t="str">
        <x:v>Reprovado</x:v>
      </x:c>
      <x:c r="G451" s="86" t="n">
        <x:v>8.8</x:v>
      </x:c>
      <x:c r="H451" s="93" t="n">
        <x:v>82.28</x:v>
      </x:c>
    </x:row>
    <x:row r="452">
      <x:c r="A452" s="85" t="n">
        <x:v>451</x:v>
      </x:c>
      <x:c r="B452" s="86" t="n">
        <x:v>390</x:v>
      </x:c>
      <x:c r="C452" s="86" t="n">
        <x:v>2</x:v>
      </x:c>
      <x:c r="D452" s="95" t="n">
        <x:v>45999</x:v>
      </x:c>
      <x:c r="E452" s="95" t="n">
        <x:v>46012</x:v>
      </x:c>
      <x:c r="F452" s="86" t="str">
        <x:v>Concluído</x:v>
      </x:c>
      <x:c r="G452" s="86" t="n">
        <x:v>5.8</x:v>
      </x:c>
      <x:c r="H452" s="93" t="n">
        <x:v>691.81</x:v>
      </x:c>
    </x:row>
    <x:row r="453">
      <x:c r="A453" s="85" t="n">
        <x:v>452</x:v>
      </x:c>
      <x:c r="B453" s="86" t="n">
        <x:v>102</x:v>
      </x:c>
      <x:c r="C453" s="86" t="n">
        <x:v>5</x:v>
      </x:c>
      <x:c r="D453" s="95" t="n">
        <x:v>45324</x:v>
      </x:c>
      <x:c r="E453" s="95" t="n">
        <x:v>45331</x:v>
      </x:c>
      <x:c r="F453" s="86" t="str">
        <x:v>Concluído</x:v>
      </x:c>
      <x:c r="G453" s="86" t="n">
        <x:v>9.1</x:v>
      </x:c>
      <x:c r="H453" s="93" t="n">
        <x:v>824.62</x:v>
      </x:c>
    </x:row>
    <x:row r="454">
      <x:c r="A454" s="85" t="n">
        <x:v>453</x:v>
      </x:c>
      <x:c r="B454" s="86" t="n">
        <x:v>150</x:v>
      </x:c>
      <x:c r="C454" s="86" t="n">
        <x:v>5</x:v>
      </x:c>
      <x:c r="D454" s="95" t="n">
        <x:v>45939</x:v>
      </x:c>
      <x:c r="E454" s="95" t="n">
        <x:v>45959</x:v>
      </x:c>
      <x:c r="F454" s="86" t="str">
        <x:v>Reprovado</x:v>
      </x:c>
      <x:c r="G454" s="86" t="n">
        <x:v>9.9</x:v>
      </x:c>
      <x:c r="H454" s="93" t="n">
        <x:v>271.46</x:v>
      </x:c>
    </x:row>
    <x:row r="455">
      <x:c r="A455" s="85" t="n">
        <x:v>454</x:v>
      </x:c>
      <x:c r="B455" s="86" t="n">
        <x:v>352</x:v>
      </x:c>
      <x:c r="C455" s="86" t="n">
        <x:v>8</x:v>
      </x:c>
      <x:c r="D455" s="95" t="n">
        <x:v>45907</x:v>
      </x:c>
      <x:c r="E455" s="95" t="n">
        <x:v>45920</x:v>
      </x:c>
      <x:c r="F455" s="86" t="str">
        <x:v>Concluído</x:v>
      </x:c>
      <x:c r="G455" s="86" t="n">
        <x:v>5</x:v>
      </x:c>
      <x:c r="H455" s="93" t="n">
        <x:v>157.35</x:v>
      </x:c>
    </x:row>
    <x:row r="456">
      <x:c r="A456" s="85" t="n">
        <x:v>455</x:v>
      </x:c>
      <x:c r="B456" s="86" t="n">
        <x:v>6</x:v>
      </x:c>
      <x:c r="C456" s="86" t="n">
        <x:v>3</x:v>
      </x:c>
      <x:c r="D456" s="95" t="n">
        <x:v>45829</x:v>
      </x:c>
      <x:c r="E456" s="95" t="n">
        <x:v>45839</x:v>
      </x:c>
      <x:c r="F456" s="86" t="str">
        <x:v>Concluído</x:v>
      </x:c>
      <x:c r="G456" s="86" t="n">
        <x:v>6.9</x:v>
      </x:c>
      <x:c r="H456" s="93" t="n">
        <x:v>395.68</x:v>
      </x:c>
    </x:row>
    <x:row r="457">
      <x:c r="A457" s="85" t="n">
        <x:v>456</x:v>
      </x:c>
      <x:c r="B457" s="86" t="n">
        <x:v>347</x:v>
      </x:c>
      <x:c r="C457" s="86" t="n">
        <x:v>7</x:v>
      </x:c>
      <x:c r="D457" s="95" t="n">
        <x:v>45982</x:v>
      </x:c>
      <x:c r="E457" s="95" t="n">
        <x:v>45985</x:v>
      </x:c>
      <x:c r="F457" s="86" t="str">
        <x:v>Concluído</x:v>
      </x:c>
      <x:c r="G457" s="86" t="n">
        <x:v>9</x:v>
      </x:c>
      <x:c r="H457" s="93" t="n">
        <x:v>362.1</x:v>
      </x:c>
    </x:row>
    <x:row r="458">
      <x:c r="A458" s="85" t="n">
        <x:v>457</x:v>
      </x:c>
      <x:c r="B458" s="86" t="n">
        <x:v>126</x:v>
      </x:c>
      <x:c r="C458" s="86" t="n">
        <x:v>1</x:v>
      </x:c>
      <x:c r="D458" s="95" t="n">
        <x:v>45959</x:v>
      </x:c>
      <x:c r="E458" s="95" t="n">
        <x:v>45967</x:v>
      </x:c>
      <x:c r="F458" s="86" t="str">
        <x:v>Reprovado</x:v>
      </x:c>
      <x:c r="G458" s="86" t="n">
        <x:v>7.2</x:v>
      </x:c>
      <x:c r="H458" s="93" t="n">
        <x:v>552.36</x:v>
      </x:c>
    </x:row>
    <x:row r="459">
      <x:c r="A459" s="85" t="n">
        <x:v>458</x:v>
      </x:c>
      <x:c r="B459" s="86" t="n">
        <x:v>337</x:v>
      </x:c>
      <x:c r="C459" s="86" t="n">
        <x:v>3</x:v>
      </x:c>
      <x:c r="D459" s="95" t="n">
        <x:v>45382</x:v>
      </x:c>
      <x:c r="E459" s="95" t="n">
        <x:v>45382</x:v>
      </x:c>
      <x:c r="F459" s="86" t="str">
        <x:v>Concluído</x:v>
      </x:c>
      <x:c r="G459" s="86" t="n">
        <x:v>6.8</x:v>
      </x:c>
      <x:c r="H459" s="93" t="n">
        <x:v>558.85</x:v>
      </x:c>
    </x:row>
    <x:row r="460">
      <x:c r="A460" s="85" t="n">
        <x:v>459</x:v>
      </x:c>
      <x:c r="B460" s="86" t="n">
        <x:v>100</x:v>
      </x:c>
      <x:c r="C460" s="86" t="n">
        <x:v>4</x:v>
      </x:c>
      <x:c r="D460" s="95" t="n">
        <x:v>45957</x:v>
      </x:c>
      <x:c r="E460" s="95" t="n">
        <x:v>45968</x:v>
      </x:c>
      <x:c r="F460" s="86" t="str">
        <x:v>Concluído</x:v>
      </x:c>
      <x:c r="G460" s="86" t="n">
        <x:v>7.6</x:v>
      </x:c>
      <x:c r="H460" s="93" t="n">
        <x:v>86.55</x:v>
      </x:c>
    </x:row>
    <x:row r="461">
      <x:c r="A461" s="85" t="n">
        <x:v>460</x:v>
      </x:c>
      <x:c r="B461" s="86" t="n">
        <x:v>141</x:v>
      </x:c>
      <x:c r="C461" s="86" t="n">
        <x:v>4</x:v>
      </x:c>
      <x:c r="D461" s="95" t="n">
        <x:v>45991</x:v>
      </x:c>
      <x:c r="E461" s="95" t="n">
        <x:v>45992</x:v>
      </x:c>
      <x:c r="F461" s="86" t="str">
        <x:v>Concluído</x:v>
      </x:c>
      <x:c r="G461" s="86" t="n">
        <x:v>7</x:v>
      </x:c>
      <x:c r="H461" s="93" t="n">
        <x:v>615.47</x:v>
      </x:c>
    </x:row>
    <x:row r="462">
      <x:c r="A462" s="85" t="n">
        <x:v>461</x:v>
      </x:c>
      <x:c r="B462" s="86" t="n">
        <x:v>369</x:v>
      </x:c>
      <x:c r="C462" s="86" t="n">
        <x:v>8</x:v>
      </x:c>
      <x:c r="D462" s="95" t="n">
        <x:v>45488</x:v>
      </x:c>
      <x:c r="E462" s="95" t="n">
        <x:v>45489</x:v>
      </x:c>
      <x:c r="F462" s="86" t="str">
        <x:v>Concluído</x:v>
      </x:c>
      <x:c r="G462" s="86" t="n">
        <x:v>8</x:v>
      </x:c>
      <x:c r="H462" s="93" t="n">
        <x:v>352.34</x:v>
      </x:c>
    </x:row>
    <x:row r="463">
      <x:c r="A463" s="85" t="n">
        <x:v>462</x:v>
      </x:c>
      <x:c r="B463" s="86" t="n">
        <x:v>293</x:v>
      </x:c>
      <x:c r="C463" s="86" t="n">
        <x:v>2</x:v>
      </x:c>
      <x:c r="D463" s="95" t="n">
        <x:v>45596</x:v>
      </x:c>
      <x:c r="E463" s="95" t="n">
        <x:v>45602</x:v>
      </x:c>
      <x:c r="F463" s="86" t="str">
        <x:v>Concluído</x:v>
      </x:c>
      <x:c r="G463" s="86" t="n">
        <x:v>9.6</x:v>
      </x:c>
      <x:c r="H463" s="93" t="n">
        <x:v>669.4</x:v>
      </x:c>
    </x:row>
    <x:row r="464">
      <x:c r="A464" s="85" t="n">
        <x:v>463</x:v>
      </x:c>
      <x:c r="B464" s="86" t="n">
        <x:v>410</x:v>
      </x:c>
      <x:c r="C464" s="86" t="n">
        <x:v>3</x:v>
      </x:c>
      <x:c r="D464" s="95" t="n">
        <x:v>45578</x:v>
      </x:c>
      <x:c r="E464" s="95" t="n">
        <x:v>45585</x:v>
      </x:c>
      <x:c r="F464" s="86" t="str">
        <x:v>Concluído</x:v>
      </x:c>
      <x:c r="G464" s="86" t="n">
        <x:v>6.1</x:v>
      </x:c>
      <x:c r="H464" s="93" t="n">
        <x:v>389.76</x:v>
      </x:c>
    </x:row>
    <x:row r="465">
      <x:c r="A465" s="85" t="n">
        <x:v>464</x:v>
      </x:c>
      <x:c r="B465" s="86" t="n">
        <x:v>307</x:v>
      </x:c>
      <x:c r="C465" s="86" t="n">
        <x:v>7</x:v>
      </x:c>
      <x:c r="D465" s="95" t="n">
        <x:v>45860</x:v>
      </x:c>
      <x:c r="E465" s="95" t="n">
        <x:v>45862</x:v>
      </x:c>
      <x:c r="F465" s="86" t="str">
        <x:v>Concluído</x:v>
      </x:c>
      <x:c r="G465" s="86" t="n">
        <x:v>8.6</x:v>
      </x:c>
      <x:c r="H465" s="93" t="n">
        <x:v>788.98</x:v>
      </x:c>
    </x:row>
    <x:row r="466">
      <x:c r="A466" s="85" t="n">
        <x:v>465</x:v>
      </x:c>
      <x:c r="B466" s="86" t="n">
        <x:v>227</x:v>
      </x:c>
      <x:c r="C466" s="86" t="n">
        <x:v>7</x:v>
      </x:c>
      <x:c r="D466" s="95" t="n">
        <x:v>45516</x:v>
      </x:c>
      <x:c r="E466" s="95"/>
      <x:c r="F466" s="86" t="str">
        <x:v>Não iniciado</x:v>
      </x:c>
      <x:c r="G466" s="86"/>
      <x:c r="H466" s="93" t="n">
        <x:v>677.11</x:v>
      </x:c>
    </x:row>
    <x:row r="467">
      <x:c r="A467" s="85" t="n">
        <x:v>466</x:v>
      </x:c>
      <x:c r="B467" s="86" t="n">
        <x:v>225</x:v>
      </x:c>
      <x:c r="C467" s="86" t="n">
        <x:v>3</x:v>
      </x:c>
      <x:c r="D467" s="95" t="n">
        <x:v>45918</x:v>
      </x:c>
      <x:c r="E467" s="95" t="n">
        <x:v>45934</x:v>
      </x:c>
      <x:c r="F467" s="86" t="str">
        <x:v>Concluído</x:v>
      </x:c>
      <x:c r="G467" s="86" t="n">
        <x:v>5.3</x:v>
      </x:c>
      <x:c r="H467" s="93" t="n">
        <x:v>174.86</x:v>
      </x:c>
    </x:row>
    <x:row r="468">
      <x:c r="A468" s="85" t="n">
        <x:v>467</x:v>
      </x:c>
      <x:c r="B468" s="86" t="n">
        <x:v>139</x:v>
      </x:c>
      <x:c r="C468" s="86" t="n">
        <x:v>7</x:v>
      </x:c>
      <x:c r="D468" s="95" t="n">
        <x:v>45516</x:v>
      </x:c>
      <x:c r="E468" s="95" t="n">
        <x:v>45536</x:v>
      </x:c>
      <x:c r="F468" s="86" t="str">
        <x:v>Concluído</x:v>
      </x:c>
      <x:c r="G468" s="86" t="n">
        <x:v>6.7</x:v>
      </x:c>
      <x:c r="H468" s="93" t="n">
        <x:v>248.07</x:v>
      </x:c>
    </x:row>
    <x:row r="469">
      <x:c r="A469" s="85" t="n">
        <x:v>468</x:v>
      </x:c>
      <x:c r="B469" s="86" t="n">
        <x:v>53</x:v>
      </x:c>
      <x:c r="C469" s="86" t="n">
        <x:v>5</x:v>
      </x:c>
      <x:c r="D469" s="95" t="n">
        <x:v>45995</x:v>
      </x:c>
      <x:c r="E469" s="95" t="n">
        <x:v>45997</x:v>
      </x:c>
      <x:c r="F469" s="86" t="str">
        <x:v>Concluído</x:v>
      </x:c>
      <x:c r="G469" s="86" t="n">
        <x:v>6.5</x:v>
      </x:c>
      <x:c r="H469" s="93" t="n">
        <x:v>132.34</x:v>
      </x:c>
    </x:row>
    <x:row r="470">
      <x:c r="A470" s="85" t="n">
        <x:v>469</x:v>
      </x:c>
      <x:c r="B470" s="86" t="n">
        <x:v>54</x:v>
      </x:c>
      <x:c r="C470" s="86" t="n">
        <x:v>9</x:v>
      </x:c>
      <x:c r="D470" s="95" t="n">
        <x:v>45782</x:v>
      </x:c>
      <x:c r="E470" s="95" t="n">
        <x:v>45801</x:v>
      </x:c>
      <x:c r="F470" s="86" t="str">
        <x:v>Concluído</x:v>
      </x:c>
      <x:c r="G470" s="86" t="n">
        <x:v>5</x:v>
      </x:c>
      <x:c r="H470" s="93" t="n">
        <x:v>277.72</x:v>
      </x:c>
    </x:row>
    <x:row r="471">
      <x:c r="A471" s="85" t="n">
        <x:v>470</x:v>
      </x:c>
      <x:c r="B471" s="86" t="n">
        <x:v>363</x:v>
      </x:c>
      <x:c r="C471" s="86" t="n">
        <x:v>4</x:v>
      </x:c>
      <x:c r="D471" s="95" t="n">
        <x:v>45748</x:v>
      </x:c>
      <x:c r="E471" s="95" t="n">
        <x:v>45750</x:v>
      </x:c>
      <x:c r="F471" s="86" t="str">
        <x:v>Concluído</x:v>
      </x:c>
      <x:c r="G471" s="86" t="n">
        <x:v>6.5</x:v>
      </x:c>
      <x:c r="H471" s="93" t="n">
        <x:v>506.04</x:v>
      </x:c>
    </x:row>
    <x:row r="472">
      <x:c r="A472" s="85" t="n">
        <x:v>471</x:v>
      </x:c>
      <x:c r="B472" s="86" t="n">
        <x:v>334</x:v>
      </x:c>
      <x:c r="C472" s="86" t="n">
        <x:v>2</x:v>
      </x:c>
      <x:c r="D472" s="95" t="n">
        <x:v>45486</x:v>
      </x:c>
      <x:c r="E472" s="95" t="n">
        <x:v>45491</x:v>
      </x:c>
      <x:c r="F472" s="86" t="str">
        <x:v>Concluído</x:v>
      </x:c>
      <x:c r="G472" s="86" t="n">
        <x:v>8.2</x:v>
      </x:c>
      <x:c r="H472" s="93" t="n">
        <x:v>362.28</x:v>
      </x:c>
    </x:row>
    <x:row r="473">
      <x:c r="A473" s="85" t="n">
        <x:v>472</x:v>
      </x:c>
      <x:c r="B473" s="86" t="n">
        <x:v>247</x:v>
      </x:c>
      <x:c r="C473" s="86" t="n">
        <x:v>7</x:v>
      </x:c>
      <x:c r="D473" s="95" t="n">
        <x:v>45869</x:v>
      </x:c>
      <x:c r="E473" s="95" t="n">
        <x:v>45873</x:v>
      </x:c>
      <x:c r="F473" s="86" t="str">
        <x:v>Concluído</x:v>
      </x:c>
      <x:c r="G473" s="86" t="n">
        <x:v>8.4</x:v>
      </x:c>
      <x:c r="H473" s="93" t="n">
        <x:v>767.77</x:v>
      </x:c>
    </x:row>
    <x:row r="474">
      <x:c r="A474" s="85" t="n">
        <x:v>473</x:v>
      </x:c>
      <x:c r="B474" s="86" t="n">
        <x:v>209</x:v>
      </x:c>
      <x:c r="C474" s="86" t="n">
        <x:v>10</x:v>
      </x:c>
      <x:c r="D474" s="95" t="n">
        <x:v>45734</x:v>
      </x:c>
      <x:c r="E474" s="95" t="n">
        <x:v>45753</x:v>
      </x:c>
      <x:c r="F474" s="86" t="str">
        <x:v>Concluído</x:v>
      </x:c>
      <x:c r="G474" s="86" t="n">
        <x:v>9.8</x:v>
      </x:c>
      <x:c r="H474" s="93" t="n">
        <x:v>504.2</x:v>
      </x:c>
    </x:row>
    <x:row r="475">
      <x:c r="A475" s="85" t="n">
        <x:v>474</x:v>
      </x:c>
      <x:c r="B475" s="86" t="n">
        <x:v>160</x:v>
      </x:c>
      <x:c r="C475" s="86" t="n">
        <x:v>4</x:v>
      </x:c>
      <x:c r="D475" s="95" t="n">
        <x:v>45425</x:v>
      </x:c>
      <x:c r="E475" s="95" t="n">
        <x:v>45439</x:v>
      </x:c>
      <x:c r="F475" s="86" t="str">
        <x:v>Concluído</x:v>
      </x:c>
      <x:c r="G475" s="86" t="n">
        <x:v>6.3</x:v>
      </x:c>
      <x:c r="H475" s="93" t="n">
        <x:v>397.71</x:v>
      </x:c>
    </x:row>
    <x:row r="476">
      <x:c r="A476" s="85" t="n">
        <x:v>475</x:v>
      </x:c>
      <x:c r="B476" s="86" t="n">
        <x:v>206</x:v>
      </x:c>
      <x:c r="C476" s="86" t="n">
        <x:v>5</x:v>
      </x:c>
      <x:c r="D476" s="95" t="n">
        <x:v>45613</x:v>
      </x:c>
      <x:c r="E476" s="95" t="n">
        <x:v>45628</x:v>
      </x:c>
      <x:c r="F476" s="86" t="str">
        <x:v>Concluído</x:v>
      </x:c>
      <x:c r="G476" s="86" t="n">
        <x:v>6.3</x:v>
      </x:c>
      <x:c r="H476" s="93" t="n">
        <x:v>441.72</x:v>
      </x:c>
    </x:row>
    <x:row r="477">
      <x:c r="A477" s="85" t="n">
        <x:v>476</x:v>
      </x:c>
      <x:c r="B477" s="86" t="n">
        <x:v>344</x:v>
      </x:c>
      <x:c r="C477" s="86" t="n">
        <x:v>10</x:v>
      </x:c>
      <x:c r="D477" s="95" t="n">
        <x:v>45697</x:v>
      </x:c>
      <x:c r="E477" s="95" t="n">
        <x:v>45716</x:v>
      </x:c>
      <x:c r="F477" s="86" t="str">
        <x:v>Concluído</x:v>
      </x:c>
      <x:c r="G477" s="86" t="n">
        <x:v>5.8</x:v>
      </x:c>
      <x:c r="H477" s="93" t="n">
        <x:v>691.7</x:v>
      </x:c>
    </x:row>
    <x:row r="478">
      <x:c r="A478" s="85" t="n">
        <x:v>477</x:v>
      </x:c>
      <x:c r="B478" s="86" t="n">
        <x:v>170</x:v>
      </x:c>
      <x:c r="C478" s="86" t="n">
        <x:v>5</x:v>
      </x:c>
      <x:c r="D478" s="95" t="n">
        <x:v>45784</x:v>
      </x:c>
      <x:c r="E478" s="95" t="n">
        <x:v>45802</x:v>
      </x:c>
      <x:c r="F478" s="86" t="str">
        <x:v>Concluído</x:v>
      </x:c>
      <x:c r="G478" s="86" t="n">
        <x:v>7.5</x:v>
      </x:c>
      <x:c r="H478" s="93" t="n">
        <x:v>408.62</x:v>
      </x:c>
    </x:row>
    <x:row r="479">
      <x:c r="A479" s="85" t="n">
        <x:v>478</x:v>
      </x:c>
      <x:c r="B479" s="86" t="n">
        <x:v>66</x:v>
      </x:c>
      <x:c r="C479" s="86" t="n">
        <x:v>8</x:v>
      </x:c>
      <x:c r="D479" s="95" t="n">
        <x:v>45991</x:v>
      </x:c>
      <x:c r="E479" s="95" t="n">
        <x:v>46004</x:v>
      </x:c>
      <x:c r="F479" s="86" t="str">
        <x:v>Concluído</x:v>
      </x:c>
      <x:c r="G479" s="86" t="n">
        <x:v>6.1</x:v>
      </x:c>
      <x:c r="H479" s="93" t="n">
        <x:v>524.14</x:v>
      </x:c>
    </x:row>
    <x:row r="480">
      <x:c r="A480" s="85" t="n">
        <x:v>479</x:v>
      </x:c>
      <x:c r="B480" s="86" t="n">
        <x:v>132</x:v>
      </x:c>
      <x:c r="C480" s="86" t="n">
        <x:v>8</x:v>
      </x:c>
      <x:c r="D480" s="95" t="n">
        <x:v>45976</x:v>
      </x:c>
      <x:c r="E480" s="95" t="n">
        <x:v>45983</x:v>
      </x:c>
      <x:c r="F480" s="86" t="str">
        <x:v>Concluído</x:v>
      </x:c>
      <x:c r="G480" s="86" t="n">
        <x:v>8.1</x:v>
      </x:c>
      <x:c r="H480" s="93" t="n">
        <x:v>235.45</x:v>
      </x:c>
    </x:row>
    <x:row r="481">
      <x:c r="A481" s="85" t="n">
        <x:v>480</x:v>
      </x:c>
      <x:c r="B481" s="86" t="n">
        <x:v>91</x:v>
      </x:c>
      <x:c r="C481" s="86" t="n">
        <x:v>8</x:v>
      </x:c>
      <x:c r="D481" s="95" t="n">
        <x:v>45931</x:v>
      </x:c>
      <x:c r="E481" s="95"/>
      <x:c r="F481" s="86" t="str">
        <x:v>Em andamento</x:v>
      </x:c>
      <x:c r="G481" s="86"/>
      <x:c r="H481" s="93" t="n">
        <x:v>236.05</x:v>
      </x:c>
    </x:row>
    <x:row r="482">
      <x:c r="A482" s="85" t="n">
        <x:v>481</x:v>
      </x:c>
      <x:c r="B482" s="86" t="n">
        <x:v>416</x:v>
      </x:c>
      <x:c r="C482" s="86" t="n">
        <x:v>6</x:v>
      </x:c>
      <x:c r="D482" s="95" t="n">
        <x:v>45945</x:v>
      </x:c>
      <x:c r="E482" s="95" t="n">
        <x:v>45963</x:v>
      </x:c>
      <x:c r="F482" s="86" t="str">
        <x:v>Concluído</x:v>
      </x:c>
      <x:c r="G482" s="86" t="n">
        <x:v>6.7</x:v>
      </x:c>
      <x:c r="H482" s="93" t="n">
        <x:v>248.34</x:v>
      </x:c>
    </x:row>
    <x:row r="483">
      <x:c r="A483" s="85" t="n">
        <x:v>482</x:v>
      </x:c>
      <x:c r="B483" s="86" t="n">
        <x:v>194</x:v>
      </x:c>
      <x:c r="C483" s="86" t="n">
        <x:v>4</x:v>
      </x:c>
      <x:c r="D483" s="95" t="n">
        <x:v>45890</x:v>
      </x:c>
      <x:c r="E483" s="95" t="n">
        <x:v>45907</x:v>
      </x:c>
      <x:c r="F483" s="86" t="str">
        <x:v>Concluído</x:v>
      </x:c>
      <x:c r="G483" s="86" t="n">
        <x:v>8.7</x:v>
      </x:c>
      <x:c r="H483" s="93" t="n">
        <x:v>839.37</x:v>
      </x:c>
    </x:row>
    <x:row r="484">
      <x:c r="A484" s="85" t="n">
        <x:v>483</x:v>
      </x:c>
      <x:c r="B484" s="86" t="n">
        <x:v>8</x:v>
      </x:c>
      <x:c r="C484" s="86" t="n">
        <x:v>6</x:v>
      </x:c>
      <x:c r="D484" s="95" t="n">
        <x:v>45916</x:v>
      </x:c>
      <x:c r="E484" s="95" t="n">
        <x:v>45934</x:v>
      </x:c>
      <x:c r="F484" s="86" t="str">
        <x:v>Concluído</x:v>
      </x:c>
      <x:c r="G484" s="86" t="n">
        <x:v>5.1</x:v>
      </x:c>
      <x:c r="H484" s="93" t="n">
        <x:v>799.15</x:v>
      </x:c>
    </x:row>
    <x:row r="485">
      <x:c r="A485" s="85" t="n">
        <x:v>484</x:v>
      </x:c>
      <x:c r="B485" s="86" t="n">
        <x:v>165</x:v>
      </x:c>
      <x:c r="C485" s="86" t="n">
        <x:v>5</x:v>
      </x:c>
      <x:c r="D485" s="95" t="n">
        <x:v>45994</x:v>
      </x:c>
      <x:c r="E485" s="95" t="n">
        <x:v>45994</x:v>
      </x:c>
      <x:c r="F485" s="86" t="str">
        <x:v>Concluído</x:v>
      </x:c>
      <x:c r="G485" s="86" t="n">
        <x:v>6.8</x:v>
      </x:c>
      <x:c r="H485" s="93" t="n">
        <x:v>448.91</x:v>
      </x:c>
    </x:row>
    <x:row r="486">
      <x:c r="A486" s="85" t="n">
        <x:v>485</x:v>
      </x:c>
      <x:c r="B486" s="86" t="n">
        <x:v>373</x:v>
      </x:c>
      <x:c r="C486" s="86" t="n">
        <x:v>8</x:v>
      </x:c>
      <x:c r="D486" s="95" t="n">
        <x:v>45876</x:v>
      </x:c>
      <x:c r="E486" s="95"/>
      <x:c r="F486" s="86" t="str">
        <x:v>Não iniciado</x:v>
      </x:c>
      <x:c r="G486" s="86"/>
      <x:c r="H486" s="93" t="n">
        <x:v>211.03</x:v>
      </x:c>
    </x:row>
    <x:row r="487">
      <x:c r="A487" s="85" t="n">
        <x:v>486</x:v>
      </x:c>
      <x:c r="B487" s="86" t="n">
        <x:v>106</x:v>
      </x:c>
      <x:c r="C487" s="86" t="n">
        <x:v>9</x:v>
      </x:c>
      <x:c r="D487" s="95" t="n">
        <x:v>45728</x:v>
      </x:c>
      <x:c r="E487" s="95"/>
      <x:c r="F487" s="86" t="str">
        <x:v>Em andamento</x:v>
      </x:c>
      <x:c r="G487" s="86"/>
      <x:c r="H487" s="93" t="n">
        <x:v>215.93</x:v>
      </x:c>
    </x:row>
    <x:row r="488">
      <x:c r="A488" s="85" t="n">
        <x:v>487</x:v>
      </x:c>
      <x:c r="B488" s="86" t="n">
        <x:v>308</x:v>
      </x:c>
      <x:c r="C488" s="86" t="n">
        <x:v>10</x:v>
      </x:c>
      <x:c r="D488" s="95" t="n">
        <x:v>45877</x:v>
      </x:c>
      <x:c r="E488" s="95"/>
      <x:c r="F488" s="86" t="str">
        <x:v>Em andamento</x:v>
      </x:c>
      <x:c r="G488" s="86"/>
      <x:c r="H488" s="93" t="n">
        <x:v>627.34</x:v>
      </x:c>
    </x:row>
    <x:row r="489">
      <x:c r="A489" s="85" t="n">
        <x:v>488</x:v>
      </x:c>
      <x:c r="B489" s="86" t="n">
        <x:v>162</x:v>
      </x:c>
      <x:c r="C489" s="86" t="n">
        <x:v>3</x:v>
      </x:c>
      <x:c r="D489" s="95" t="n">
        <x:v>45759</x:v>
      </x:c>
      <x:c r="E489" s="95" t="n">
        <x:v>45770</x:v>
      </x:c>
      <x:c r="F489" s="86" t="str">
        <x:v>Concluído</x:v>
      </x:c>
      <x:c r="G489" s="86" t="n">
        <x:v>5.6</x:v>
      </x:c>
      <x:c r="H489" s="93" t="n">
        <x:v>812.16</x:v>
      </x:c>
    </x:row>
    <x:row r="490">
      <x:c r="A490" s="85" t="n">
        <x:v>489</x:v>
      </x:c>
      <x:c r="B490" s="86" t="n">
        <x:v>271</x:v>
      </x:c>
      <x:c r="C490" s="86" t="n">
        <x:v>5</x:v>
      </x:c>
      <x:c r="D490" s="95" t="n">
        <x:v>45638</x:v>
      </x:c>
      <x:c r="E490" s="95" t="n">
        <x:v>45638</x:v>
      </x:c>
      <x:c r="F490" s="86" t="str">
        <x:v>Concluído</x:v>
      </x:c>
      <x:c r="G490" s="86" t="n">
        <x:v>8.4</x:v>
      </x:c>
      <x:c r="H490" s="93" t="n">
        <x:v>749.38</x:v>
      </x:c>
    </x:row>
    <x:row r="491">
      <x:c r="A491" s="85" t="n">
        <x:v>490</x:v>
      </x:c>
      <x:c r="B491" s="86" t="n">
        <x:v>294</x:v>
      </x:c>
      <x:c r="C491" s="86" t="n">
        <x:v>1</x:v>
      </x:c>
      <x:c r="D491" s="95" t="n">
        <x:v>45992</x:v>
      </x:c>
      <x:c r="E491" s="95" t="n">
        <x:v>45998</x:v>
      </x:c>
      <x:c r="F491" s="86" t="str">
        <x:v>Reprovado</x:v>
      </x:c>
      <x:c r="G491" s="86" t="n">
        <x:v>8.1</x:v>
      </x:c>
      <x:c r="H491" s="93" t="n">
        <x:v>117.85</x:v>
      </x:c>
    </x:row>
    <x:row r="492">
      <x:c r="A492" s="85" t="n">
        <x:v>491</x:v>
      </x:c>
      <x:c r="B492" s="86" t="n">
        <x:v>320</x:v>
      </x:c>
      <x:c r="C492" s="86" t="n">
        <x:v>4</x:v>
      </x:c>
      <x:c r="D492" s="95" t="n">
        <x:v>45462</x:v>
      </x:c>
      <x:c r="E492" s="95" t="n">
        <x:v>45462</x:v>
      </x:c>
      <x:c r="F492" s="86" t="str">
        <x:v>Concluído</x:v>
      </x:c>
      <x:c r="G492" s="86" t="n">
        <x:v>7.6</x:v>
      </x:c>
      <x:c r="H492" s="93" t="n">
        <x:v>263.15</x:v>
      </x:c>
    </x:row>
    <x:row r="493">
      <x:c r="A493" s="85" t="n">
        <x:v>492</x:v>
      </x:c>
      <x:c r="B493" s="86" t="n">
        <x:v>76</x:v>
      </x:c>
      <x:c r="C493" s="86" t="n">
        <x:v>6</x:v>
      </x:c>
      <x:c r="D493" s="95" t="n">
        <x:v>45725</x:v>
      </x:c>
      <x:c r="E493" s="95" t="n">
        <x:v>45729</x:v>
      </x:c>
      <x:c r="F493" s="86" t="str">
        <x:v>Concluído</x:v>
      </x:c>
      <x:c r="G493" s="86" t="n">
        <x:v>7.7</x:v>
      </x:c>
      <x:c r="H493" s="93" t="n">
        <x:v>219.16</x:v>
      </x:c>
    </x:row>
    <x:row r="494">
      <x:c r="A494" s="85" t="n">
        <x:v>493</x:v>
      </x:c>
      <x:c r="B494" s="86" t="n">
        <x:v>124</x:v>
      </x:c>
      <x:c r="C494" s="86" t="n">
        <x:v>9</x:v>
      </x:c>
      <x:c r="D494" s="95" t="n">
        <x:v>45559</x:v>
      </x:c>
      <x:c r="E494" s="95" t="n">
        <x:v>45573</x:v>
      </x:c>
      <x:c r="F494" s="86" t="str">
        <x:v>Concluído</x:v>
      </x:c>
      <x:c r="G494" s="86" t="n">
        <x:v>7.5</x:v>
      </x:c>
      <x:c r="H494" s="93" t="n">
        <x:v>146.92</x:v>
      </x:c>
    </x:row>
    <x:row r="495">
      <x:c r="A495" s="85" t="n">
        <x:v>494</x:v>
      </x:c>
      <x:c r="B495" s="86" t="n">
        <x:v>348</x:v>
      </x:c>
      <x:c r="C495" s="86" t="n">
        <x:v>9</x:v>
      </x:c>
      <x:c r="D495" s="95" t="n">
        <x:v>45838</x:v>
      </x:c>
      <x:c r="E495" s="95"/>
      <x:c r="F495" s="86" t="str">
        <x:v>Não iniciado</x:v>
      </x:c>
      <x:c r="G495" s="86"/>
      <x:c r="H495" s="93" t="n">
        <x:v>322.48</x:v>
      </x:c>
    </x:row>
    <x:row r="496">
      <x:c r="A496" s="85" t="n">
        <x:v>495</x:v>
      </x:c>
      <x:c r="B496" s="86" t="n">
        <x:v>264</x:v>
      </x:c>
      <x:c r="C496" s="86" t="n">
        <x:v>3</x:v>
      </x:c>
      <x:c r="D496" s="95" t="n">
        <x:v>45489</x:v>
      </x:c>
      <x:c r="E496" s="95" t="n">
        <x:v>45496</x:v>
      </x:c>
      <x:c r="F496" s="86" t="str">
        <x:v>Reprovado</x:v>
      </x:c>
      <x:c r="G496" s="86" t="n">
        <x:v>6.9</x:v>
      </x:c>
      <x:c r="H496" s="93" t="n">
        <x:v>761.3</x:v>
      </x:c>
    </x:row>
    <x:row r="497">
      <x:c r="A497" s="85" t="n">
        <x:v>496</x:v>
      </x:c>
      <x:c r="B497" s="86" t="n">
        <x:v>153</x:v>
      </x:c>
      <x:c r="C497" s="86" t="n">
        <x:v>2</x:v>
      </x:c>
      <x:c r="D497" s="95" t="n">
        <x:v>45687</x:v>
      </x:c>
      <x:c r="E497" s="95" t="n">
        <x:v>45694</x:v>
      </x:c>
      <x:c r="F497" s="86" t="str">
        <x:v>Concluído</x:v>
      </x:c>
      <x:c r="G497" s="86" t="n">
        <x:v>8.6</x:v>
      </x:c>
      <x:c r="H497" s="93" t="n">
        <x:v>512.3</x:v>
      </x:c>
    </x:row>
    <x:row r="498">
      <x:c r="A498" s="85" t="n">
        <x:v>497</x:v>
      </x:c>
      <x:c r="B498" s="86" t="n">
        <x:v>232</x:v>
      </x:c>
      <x:c r="C498" s="86" t="n">
        <x:v>7</x:v>
      </x:c>
      <x:c r="D498" s="95" t="n">
        <x:v>45306</x:v>
      </x:c>
      <x:c r="E498" s="95"/>
      <x:c r="F498" s="86" t="str">
        <x:v>Em andamento</x:v>
      </x:c>
      <x:c r="G498" s="86"/>
      <x:c r="H498" s="93" t="n">
        <x:v>81.19</x:v>
      </x:c>
    </x:row>
    <x:row r="499">
      <x:c r="A499" s="85" t="n">
        <x:v>498</x:v>
      </x:c>
      <x:c r="B499" s="86" t="n">
        <x:v>113</x:v>
      </x:c>
      <x:c r="C499" s="86" t="n">
        <x:v>5</x:v>
      </x:c>
      <x:c r="D499" s="95" t="n">
        <x:v>45733</x:v>
      </x:c>
      <x:c r="E499" s="95" t="n">
        <x:v>45743</x:v>
      </x:c>
      <x:c r="F499" s="86" t="str">
        <x:v>Concluído</x:v>
      </x:c>
      <x:c r="G499" s="86" t="n">
        <x:v>8</x:v>
      </x:c>
      <x:c r="H499" s="93" t="n">
        <x:v>660.12</x:v>
      </x:c>
    </x:row>
    <x:row r="500">
      <x:c r="A500" s="85" t="n">
        <x:v>499</x:v>
      </x:c>
      <x:c r="B500" s="86" t="n">
        <x:v>193</x:v>
      </x:c>
      <x:c r="C500" s="86" t="n">
        <x:v>7</x:v>
      </x:c>
      <x:c r="D500" s="95" t="n">
        <x:v>45882</x:v>
      </x:c>
      <x:c r="E500" s="95" t="n">
        <x:v>45886</x:v>
      </x:c>
      <x:c r="F500" s="86" t="str">
        <x:v>Concluído</x:v>
      </x:c>
      <x:c r="G500" s="86" t="n">
        <x:v>8.6</x:v>
      </x:c>
      <x:c r="H500" s="93" t="n">
        <x:v>638.91</x:v>
      </x:c>
    </x:row>
    <x:row r="501">
      <x:c r="A501" s="85" t="n">
        <x:v>500</x:v>
      </x:c>
      <x:c r="B501" s="86" t="n">
        <x:v>379</x:v>
      </x:c>
      <x:c r="C501" s="86" t="n">
        <x:v>10</x:v>
      </x:c>
      <x:c r="D501" s="95" t="n">
        <x:v>45956</x:v>
      </x:c>
      <x:c r="E501" s="95" t="n">
        <x:v>45962</x:v>
      </x:c>
      <x:c r="F501" s="86" t="str">
        <x:v>Concluído</x:v>
      </x:c>
      <x:c r="G501" s="86" t="n">
        <x:v>8</x:v>
      </x:c>
      <x:c r="H501" s="93" t="n">
        <x:v>281.4</x:v>
      </x:c>
    </x:row>
    <x:row r="502">
      <x:c r="A502" s="85" t="n">
        <x:v>501</x:v>
      </x:c>
      <x:c r="B502" s="86" t="n">
        <x:v>136</x:v>
      </x:c>
      <x:c r="C502" s="86" t="n">
        <x:v>6</x:v>
      </x:c>
      <x:c r="D502" s="95" t="n">
        <x:v>45332</x:v>
      </x:c>
      <x:c r="E502" s="95" t="n">
        <x:v>45338</x:v>
      </x:c>
      <x:c r="F502" s="86" t="str">
        <x:v>Concluído</x:v>
      </x:c>
      <x:c r="G502" s="86" t="n">
        <x:v>6</x:v>
      </x:c>
      <x:c r="H502" s="93" t="n">
        <x:v>226.07</x:v>
      </x:c>
    </x:row>
    <x:row r="503">
      <x:c r="A503" s="85" t="n">
        <x:v>502</x:v>
      </x:c>
      <x:c r="B503" s="86" t="n">
        <x:v>177</x:v>
      </x:c>
      <x:c r="C503" s="86" t="n">
        <x:v>10</x:v>
      </x:c>
      <x:c r="D503" s="95" t="n">
        <x:v>45792</x:v>
      </x:c>
      <x:c r="E503" s="95" t="n">
        <x:v>45812</x:v>
      </x:c>
      <x:c r="F503" s="86" t="str">
        <x:v>Concluído</x:v>
      </x:c>
      <x:c r="G503" s="86" t="n">
        <x:v>6.8</x:v>
      </x:c>
      <x:c r="H503" s="93" t="n">
        <x:v>793.64</x:v>
      </x:c>
    </x:row>
    <x:row r="504">
      <x:c r="A504" s="85" t="n">
        <x:v>503</x:v>
      </x:c>
      <x:c r="B504" s="86" t="n">
        <x:v>290</x:v>
      </x:c>
      <x:c r="C504" s="86" t="n">
        <x:v>10</x:v>
      </x:c>
      <x:c r="D504" s="95" t="n">
        <x:v>45706</x:v>
      </x:c>
      <x:c r="E504" s="95" t="n">
        <x:v>45722</x:v>
      </x:c>
      <x:c r="F504" s="86" t="str">
        <x:v>Concluído</x:v>
      </x:c>
      <x:c r="G504" s="86" t="n">
        <x:v>6.6</x:v>
      </x:c>
      <x:c r="H504" s="93" t="n">
        <x:v>206.27</x:v>
      </x:c>
    </x:row>
    <x:row r="505">
      <x:c r="A505" s="85" t="n">
        <x:v>504</x:v>
      </x:c>
      <x:c r="B505" s="86" t="n">
        <x:v>359</x:v>
      </x:c>
      <x:c r="C505" s="86" t="n">
        <x:v>4</x:v>
      </x:c>
      <x:c r="D505" s="95" t="n">
        <x:v>45559</x:v>
      </x:c>
      <x:c r="E505" s="95" t="n">
        <x:v>45575</x:v>
      </x:c>
      <x:c r="F505" s="86" t="str">
        <x:v>Concluído</x:v>
      </x:c>
      <x:c r="G505" s="86" t="n">
        <x:v>6.5</x:v>
      </x:c>
      <x:c r="H505" s="93" t="n">
        <x:v>113.8</x:v>
      </x:c>
    </x:row>
    <x:row r="506">
      <x:c r="A506" s="85" t="n">
        <x:v>505</x:v>
      </x:c>
      <x:c r="B506" s="86" t="n">
        <x:v>131</x:v>
      </x:c>
      <x:c r="C506" s="86" t="n">
        <x:v>10</x:v>
      </x:c>
      <x:c r="D506" s="95" t="n">
        <x:v>45672</x:v>
      </x:c>
      <x:c r="E506" s="95" t="n">
        <x:v>45674</x:v>
      </x:c>
      <x:c r="F506" s="86" t="str">
        <x:v>Concluído</x:v>
      </x:c>
      <x:c r="G506" s="86" t="n">
        <x:v>9.4</x:v>
      </x:c>
      <x:c r="H506" s="93" t="n">
        <x:v>560.21</x:v>
      </x:c>
    </x:row>
    <x:row r="507">
      <x:c r="A507" s="85" t="n">
        <x:v>506</x:v>
      </x:c>
      <x:c r="B507" s="86" t="n">
        <x:v>37</x:v>
      </x:c>
      <x:c r="C507" s="86" t="n">
        <x:v>10</x:v>
      </x:c>
      <x:c r="D507" s="95" t="n">
        <x:v>45426</x:v>
      </x:c>
      <x:c r="E507" s="95"/>
      <x:c r="F507" s="86" t="str">
        <x:v>Não iniciado</x:v>
      </x:c>
      <x:c r="G507" s="86"/>
      <x:c r="H507" s="93" t="n">
        <x:v>108.03</x:v>
      </x:c>
    </x:row>
    <x:row r="508">
      <x:c r="A508" s="85" t="n">
        <x:v>507</x:v>
      </x:c>
      <x:c r="B508" s="86" t="n">
        <x:v>400</x:v>
      </x:c>
      <x:c r="C508" s="86" t="n">
        <x:v>3</x:v>
      </x:c>
      <x:c r="D508" s="95" t="n">
        <x:v>46019</x:v>
      </x:c>
      <x:c r="E508" s="95" t="n">
        <x:v>46030</x:v>
      </x:c>
      <x:c r="F508" s="86" t="str">
        <x:v>Reprovado</x:v>
      </x:c>
      <x:c r="G508" s="86" t="n">
        <x:v>7.1</x:v>
      </x:c>
      <x:c r="H508" s="93" t="n">
        <x:v>159.82</x:v>
      </x:c>
    </x:row>
    <x:row r="509">
      <x:c r="A509" s="85" t="n">
        <x:v>508</x:v>
      </x:c>
      <x:c r="B509" s="86" t="n">
        <x:v>36</x:v>
      </x:c>
      <x:c r="C509" s="86" t="n">
        <x:v>2</x:v>
      </x:c>
      <x:c r="D509" s="95" t="n">
        <x:v>45757</x:v>
      </x:c>
      <x:c r="E509" s="95" t="n">
        <x:v>45759</x:v>
      </x:c>
      <x:c r="F509" s="86" t="str">
        <x:v>Concluído</x:v>
      </x:c>
      <x:c r="G509" s="86" t="n">
        <x:v>8.9</x:v>
      </x:c>
      <x:c r="H509" s="93" t="n">
        <x:v>85.66</x:v>
      </x:c>
    </x:row>
    <x:row r="510">
      <x:c r="A510" s="85" t="n">
        <x:v>509</x:v>
      </x:c>
      <x:c r="B510" s="86" t="n">
        <x:v>259</x:v>
      </x:c>
      <x:c r="C510" s="86" t="n">
        <x:v>6</x:v>
      </x:c>
      <x:c r="D510" s="95" t="n">
        <x:v>45620</x:v>
      </x:c>
      <x:c r="E510" s="95" t="n">
        <x:v>45623</x:v>
      </x:c>
      <x:c r="F510" s="86" t="str">
        <x:v>Concluído</x:v>
      </x:c>
      <x:c r="G510" s="86" t="n">
        <x:v>9.9</x:v>
      </x:c>
      <x:c r="H510" s="93" t="n">
        <x:v>847.12</x:v>
      </x:c>
    </x:row>
    <x:row r="511">
      <x:c r="A511" s="85" t="n">
        <x:v>510</x:v>
      </x:c>
      <x:c r="B511" s="86" t="n">
        <x:v>313</x:v>
      </x:c>
      <x:c r="C511" s="86" t="n">
        <x:v>6</x:v>
      </x:c>
      <x:c r="D511" s="95" t="n">
        <x:v>45293</x:v>
      </x:c>
      <x:c r="E511" s="95" t="n">
        <x:v>45313</x:v>
      </x:c>
      <x:c r="F511" s="86" t="str">
        <x:v>Concluído</x:v>
      </x:c>
      <x:c r="G511" s="86" t="n">
        <x:v>9</x:v>
      </x:c>
      <x:c r="H511" s="93" t="n">
        <x:v>847.4</x:v>
      </x:c>
    </x:row>
    <x:row r="512">
      <x:c r="A512" s="85" t="n">
        <x:v>511</x:v>
      </x:c>
      <x:c r="B512" s="86" t="n">
        <x:v>402</x:v>
      </x:c>
      <x:c r="C512" s="86" t="n">
        <x:v>5</x:v>
      </x:c>
      <x:c r="D512" s="95" t="n">
        <x:v>45549</x:v>
      </x:c>
      <x:c r="E512" s="95" t="n">
        <x:v>45563</x:v>
      </x:c>
      <x:c r="F512" s="86" t="str">
        <x:v>Concluído</x:v>
      </x:c>
      <x:c r="G512" s="86" t="n">
        <x:v>6.1</x:v>
      </x:c>
      <x:c r="H512" s="93" t="n">
        <x:v>715.07</x:v>
      </x:c>
    </x:row>
    <x:row r="513">
      <x:c r="A513" s="85" t="n">
        <x:v>512</x:v>
      </x:c>
      <x:c r="B513" s="86" t="n">
        <x:v>330</x:v>
      </x:c>
      <x:c r="C513" s="86" t="n">
        <x:v>5</x:v>
      </x:c>
      <x:c r="D513" s="95" t="n">
        <x:v>45962</x:v>
      </x:c>
      <x:c r="E513" s="95" t="n">
        <x:v>45963</x:v>
      </x:c>
      <x:c r="F513" s="86" t="str">
        <x:v>Concluído</x:v>
      </x:c>
      <x:c r="G513" s="86" t="n">
        <x:v>9.5</x:v>
      </x:c>
      <x:c r="H513" s="93" t="n">
        <x:v>558.12</x:v>
      </x:c>
    </x:row>
    <x:row r="514">
      <x:c r="A514" s="85" t="n">
        <x:v>513</x:v>
      </x:c>
      <x:c r="B514" s="86" t="n">
        <x:v>21</x:v>
      </x:c>
      <x:c r="C514" s="86" t="n">
        <x:v>5</x:v>
      </x:c>
      <x:c r="D514" s="95" t="n">
        <x:v>45900</x:v>
      </x:c>
      <x:c r="E514" s="95" t="n">
        <x:v>45905</x:v>
      </x:c>
      <x:c r="F514" s="86" t="str">
        <x:v>Concluído</x:v>
      </x:c>
      <x:c r="G514" s="86" t="n">
        <x:v>9.2</x:v>
      </x:c>
      <x:c r="H514" s="93" t="n">
        <x:v>497.46</x:v>
      </x:c>
    </x:row>
    <x:row r="515">
      <x:c r="A515" s="85" t="n">
        <x:v>514</x:v>
      </x:c>
      <x:c r="B515" s="86" t="n">
        <x:v>112</x:v>
      </x:c>
      <x:c r="C515" s="86" t="n">
        <x:v>6</x:v>
      </x:c>
      <x:c r="D515" s="95" t="n">
        <x:v>45998</x:v>
      </x:c>
      <x:c r="E515" s="95" t="n">
        <x:v>46009</x:v>
      </x:c>
      <x:c r="F515" s="86" t="str">
        <x:v>Concluído</x:v>
      </x:c>
      <x:c r="G515" s="86" t="n">
        <x:v>5.6</x:v>
      </x:c>
      <x:c r="H515" s="93" t="n">
        <x:v>357.89</x:v>
      </x:c>
    </x:row>
    <x:row r="516">
      <x:c r="A516" s="85" t="n">
        <x:v>515</x:v>
      </x:c>
      <x:c r="B516" s="86" t="n">
        <x:v>258</x:v>
      </x:c>
      <x:c r="C516" s="86" t="n">
        <x:v>7</x:v>
      </x:c>
      <x:c r="D516" s="95" t="n">
        <x:v>45482</x:v>
      </x:c>
      <x:c r="E516" s="95"/>
      <x:c r="F516" s="86" t="str">
        <x:v>Em andamento</x:v>
      </x:c>
      <x:c r="G516" s="86"/>
      <x:c r="H516" s="93" t="n">
        <x:v>698.13</x:v>
      </x:c>
    </x:row>
    <x:row r="517">
      <x:c r="A517" s="85" t="n">
        <x:v>516</x:v>
      </x:c>
      <x:c r="B517" s="86" t="n">
        <x:v>46</x:v>
      </x:c>
      <x:c r="C517" s="86" t="n">
        <x:v>9</x:v>
      </x:c>
      <x:c r="D517" s="95" t="n">
        <x:v>45603</x:v>
      </x:c>
      <x:c r="E517" s="95" t="n">
        <x:v>45623</x:v>
      </x:c>
      <x:c r="F517" s="86" t="str">
        <x:v>Concluído</x:v>
      </x:c>
      <x:c r="G517" s="86" t="n">
        <x:v>6</x:v>
      </x:c>
      <x:c r="H517" s="93" t="n">
        <x:v>242.69</x:v>
      </x:c>
    </x:row>
    <x:row r="518">
      <x:c r="A518" s="85" t="n">
        <x:v>517</x:v>
      </x:c>
      <x:c r="B518" s="86" t="n">
        <x:v>166</x:v>
      </x:c>
      <x:c r="C518" s="86" t="n">
        <x:v>10</x:v>
      </x:c>
      <x:c r="D518" s="95" t="n">
        <x:v>46017</x:v>
      </x:c>
      <x:c r="E518" s="95" t="n">
        <x:v>46029</x:v>
      </x:c>
      <x:c r="F518" s="86" t="str">
        <x:v>Concluído</x:v>
      </x:c>
      <x:c r="G518" s="86" t="n">
        <x:v>5.4</x:v>
      </x:c>
      <x:c r="H518" s="93" t="n">
        <x:v>380.67</x:v>
      </x:c>
    </x:row>
    <x:row r="519">
      <x:c r="A519" s="85" t="n">
        <x:v>518</x:v>
      </x:c>
      <x:c r="B519" s="86" t="n">
        <x:v>280</x:v>
      </x:c>
      <x:c r="C519" s="86" t="n">
        <x:v>1</x:v>
      </x:c>
      <x:c r="D519" s="95" t="n">
        <x:v>45388</x:v>
      </x:c>
      <x:c r="E519" s="95"/>
      <x:c r="F519" s="86" t="str">
        <x:v>Em andamento</x:v>
      </x:c>
      <x:c r="G519" s="86"/>
      <x:c r="H519" s="93" t="n">
        <x:v>469.12</x:v>
      </x:c>
    </x:row>
    <x:row r="520">
      <x:c r="A520" s="85" t="n">
        <x:v>519</x:v>
      </x:c>
      <x:c r="B520" s="86" t="n">
        <x:v>88</x:v>
      </x:c>
      <x:c r="C520" s="86" t="n">
        <x:v>7</x:v>
      </x:c>
      <x:c r="D520" s="95" t="n">
        <x:v>45892</x:v>
      </x:c>
      <x:c r="E520" s="95"/>
      <x:c r="F520" s="86" t="str">
        <x:v>Em andamento</x:v>
      </x:c>
      <x:c r="G520" s="86"/>
      <x:c r="H520" s="93" t="n">
        <x:v>218.75</x:v>
      </x:c>
    </x:row>
    <x:row r="521">
      <x:c r="A521" s="85" t="n">
        <x:v>520</x:v>
      </x:c>
      <x:c r="B521" s="86" t="n">
        <x:v>238</x:v>
      </x:c>
      <x:c r="C521" s="86" t="n">
        <x:v>2</x:v>
      </x:c>
      <x:c r="D521" s="95" t="n">
        <x:v>45800</x:v>
      </x:c>
      <x:c r="E521" s="95" t="n">
        <x:v>45802</x:v>
      </x:c>
      <x:c r="F521" s="86" t="str">
        <x:v>Concluído</x:v>
      </x:c>
      <x:c r="G521" s="86" t="n">
        <x:v>8.5</x:v>
      </x:c>
      <x:c r="H521" s="93" t="n">
        <x:v>611.57</x:v>
      </x:c>
    </x:row>
    <x:row r="522">
      <x:c r="A522" s="85" t="n">
        <x:v>521</x:v>
      </x:c>
      <x:c r="B522" s="86" t="n">
        <x:v>339</x:v>
      </x:c>
      <x:c r="C522" s="86" t="n">
        <x:v>7</x:v>
      </x:c>
      <x:c r="D522" s="95" t="n">
        <x:v>45635</x:v>
      </x:c>
      <x:c r="E522" s="95"/>
      <x:c r="F522" s="86" t="str">
        <x:v>Em andamento</x:v>
      </x:c>
      <x:c r="G522" s="86"/>
      <x:c r="H522" s="93" t="n">
        <x:v>644.16</x:v>
      </x:c>
    </x:row>
    <x:row r="523">
      <x:c r="A523" s="85" t="n">
        <x:v>522</x:v>
      </x:c>
      <x:c r="B523" s="86" t="n">
        <x:v>262</x:v>
      </x:c>
      <x:c r="C523" s="86" t="n">
        <x:v>3</x:v>
      </x:c>
      <x:c r="D523" s="95" t="n">
        <x:v>45874</x:v>
      </x:c>
      <x:c r="E523" s="95" t="n">
        <x:v>45885</x:v>
      </x:c>
      <x:c r="F523" s="86" t="str">
        <x:v>Concluído</x:v>
      </x:c>
      <x:c r="G523" s="86" t="n">
        <x:v>5.9</x:v>
      </x:c>
      <x:c r="H523" s="93" t="n">
        <x:v>431.48</x:v>
      </x:c>
    </x:row>
    <x:row r="524">
      <x:c r="A524" s="85" t="n">
        <x:v>523</x:v>
      </x:c>
      <x:c r="B524" s="86" t="n">
        <x:v>35</x:v>
      </x:c>
      <x:c r="C524" s="86" t="n">
        <x:v>8</x:v>
      </x:c>
      <x:c r="D524" s="95" t="n">
        <x:v>45785</x:v>
      </x:c>
      <x:c r="E524" s="95" t="n">
        <x:v>45800</x:v>
      </x:c>
      <x:c r="F524" s="86" t="str">
        <x:v>Concluído</x:v>
      </x:c>
      <x:c r="G524" s="86" t="n">
        <x:v>8.1</x:v>
      </x:c>
      <x:c r="H524" s="93" t="n">
        <x:v>516.64</x:v>
      </x:c>
    </x:row>
    <x:row r="525">
      <x:c r="A525" s="85" t="n">
        <x:v>524</x:v>
      </x:c>
      <x:c r="B525" s="86" t="n">
        <x:v>336</x:v>
      </x:c>
      <x:c r="C525" s="86" t="n">
        <x:v>9</x:v>
      </x:c>
      <x:c r="D525" s="95" t="n">
        <x:v>45740</x:v>
      </x:c>
      <x:c r="E525" s="95"/>
      <x:c r="F525" s="86" t="str">
        <x:v>Não iniciado</x:v>
      </x:c>
      <x:c r="G525" s="86"/>
      <x:c r="H525" s="93" t="n">
        <x:v>117.43</x:v>
      </x:c>
    </x:row>
    <x:row r="526">
      <x:c r="A526" s="85" t="n">
        <x:v>525</x:v>
      </x:c>
      <x:c r="B526" s="86" t="n">
        <x:v>373</x:v>
      </x:c>
      <x:c r="C526" s="86" t="n">
        <x:v>4</x:v>
      </x:c>
      <x:c r="D526" s="95" t="n">
        <x:v>45961</x:v>
      </x:c>
      <x:c r="E526" s="95"/>
      <x:c r="F526" s="86" t="str">
        <x:v>Em andamento</x:v>
      </x:c>
      <x:c r="G526" s="86"/>
      <x:c r="H526" s="93" t="n">
        <x:v>764.15</x:v>
      </x:c>
    </x:row>
    <x:row r="527">
      <x:c r="A527" s="85" t="n">
        <x:v>526</x:v>
      </x:c>
      <x:c r="B527" s="86" t="n">
        <x:v>277</x:v>
      </x:c>
      <x:c r="C527" s="86" t="n">
        <x:v>10</x:v>
      </x:c>
      <x:c r="D527" s="95" t="n">
        <x:v>45707</x:v>
      </x:c>
      <x:c r="E527" s="95" t="n">
        <x:v>45717</x:v>
      </x:c>
      <x:c r="F527" s="86" t="str">
        <x:v>Concluído</x:v>
      </x:c>
      <x:c r="G527" s="86" t="n">
        <x:v>7.3</x:v>
      </x:c>
      <x:c r="H527" s="93" t="n">
        <x:v>382.64</x:v>
      </x:c>
    </x:row>
    <x:row r="528">
      <x:c r="A528" s="85" t="n">
        <x:v>527</x:v>
      </x:c>
      <x:c r="B528" s="86" t="n">
        <x:v>85</x:v>
      </x:c>
      <x:c r="C528" s="86" t="n">
        <x:v>7</x:v>
      </x:c>
      <x:c r="D528" s="95" t="n">
        <x:v>45628</x:v>
      </x:c>
      <x:c r="E528" s="95" t="n">
        <x:v>45639</x:v>
      </x:c>
      <x:c r="F528" s="86" t="str">
        <x:v>Concluído</x:v>
      </x:c>
      <x:c r="G528" s="86" t="n">
        <x:v>8.4</x:v>
      </x:c>
      <x:c r="H528" s="93" t="n">
        <x:v>125.43</x:v>
      </x:c>
    </x:row>
    <x:row r="529">
      <x:c r="A529" s="85" t="n">
        <x:v>528</x:v>
      </x:c>
      <x:c r="B529" s="86" t="n">
        <x:v>233</x:v>
      </x:c>
      <x:c r="C529" s="86" t="n">
        <x:v>2</x:v>
      </x:c>
      <x:c r="D529" s="95" t="n">
        <x:v>45856</x:v>
      </x:c>
      <x:c r="E529" s="95" t="n">
        <x:v>45869</x:v>
      </x:c>
      <x:c r="F529" s="86" t="str">
        <x:v>Concluído</x:v>
      </x:c>
      <x:c r="G529" s="86" t="n">
        <x:v>6.8</x:v>
      </x:c>
      <x:c r="H529" s="93" t="n">
        <x:v>309.59</x:v>
      </x:c>
    </x:row>
    <x:row r="530">
      <x:c r="A530" s="85" t="n">
        <x:v>529</x:v>
      </x:c>
      <x:c r="B530" s="86" t="n">
        <x:v>168</x:v>
      </x:c>
      <x:c r="C530" s="86" t="n">
        <x:v>6</x:v>
      </x:c>
      <x:c r="D530" s="95" t="n">
        <x:v>45660</x:v>
      </x:c>
      <x:c r="E530" s="95" t="n">
        <x:v>45677</x:v>
      </x:c>
      <x:c r="F530" s="86" t="str">
        <x:v>Reprovado</x:v>
      </x:c>
      <x:c r="G530" s="86" t="n">
        <x:v>8.3</x:v>
      </x:c>
      <x:c r="H530" s="93" t="n">
        <x:v>243.07</x:v>
      </x:c>
    </x:row>
    <x:row r="531">
      <x:c r="A531" s="85" t="n">
        <x:v>530</x:v>
      </x:c>
      <x:c r="B531" s="86" t="n">
        <x:v>382</x:v>
      </x:c>
      <x:c r="C531" s="86" t="n">
        <x:v>10</x:v>
      </x:c>
      <x:c r="D531" s="95" t="n">
        <x:v>45434</x:v>
      </x:c>
      <x:c r="E531" s="95" t="n">
        <x:v>45453</x:v>
      </x:c>
      <x:c r="F531" s="86" t="str">
        <x:v>Concluído</x:v>
      </x:c>
      <x:c r="G531" s="86" t="n">
        <x:v>6.3</x:v>
      </x:c>
      <x:c r="H531" s="93" t="n">
        <x:v>804.07</x:v>
      </x:c>
    </x:row>
    <x:row r="532">
      <x:c r="A532" s="85" t="n">
        <x:v>531</x:v>
      </x:c>
      <x:c r="B532" s="86" t="n">
        <x:v>417</x:v>
      </x:c>
      <x:c r="C532" s="86" t="n">
        <x:v>2</x:v>
      </x:c>
      <x:c r="D532" s="95" t="n">
        <x:v>45893</x:v>
      </x:c>
      <x:c r="E532" s="95" t="n">
        <x:v>45893</x:v>
      </x:c>
      <x:c r="F532" s="86" t="str">
        <x:v>Concluído</x:v>
      </x:c>
      <x:c r="G532" s="86" t="n">
        <x:v>7.9</x:v>
      </x:c>
      <x:c r="H532" s="93" t="n">
        <x:v>523.84</x:v>
      </x:c>
    </x:row>
    <x:row r="533">
      <x:c r="A533" s="85" t="n">
        <x:v>532</x:v>
      </x:c>
      <x:c r="B533" s="86" t="n">
        <x:v>59</x:v>
      </x:c>
      <x:c r="C533" s="86" t="n">
        <x:v>10</x:v>
      </x:c>
      <x:c r="D533" s="95" t="n">
        <x:v>45634</x:v>
      </x:c>
      <x:c r="E533" s="95" t="n">
        <x:v>45644</x:v>
      </x:c>
      <x:c r="F533" s="86" t="str">
        <x:v>Concluído</x:v>
      </x:c>
      <x:c r="G533" s="86" t="n">
        <x:v>9.9</x:v>
      </x:c>
      <x:c r="H533" s="93" t="n">
        <x:v>612.29</x:v>
      </x:c>
    </x:row>
    <x:row r="534">
      <x:c r="A534" s="85" t="n">
        <x:v>533</x:v>
      </x:c>
      <x:c r="B534" s="86" t="n">
        <x:v>394</x:v>
      </x:c>
      <x:c r="C534" s="86" t="n">
        <x:v>9</x:v>
      </x:c>
      <x:c r="D534" s="95" t="n">
        <x:v>45923</x:v>
      </x:c>
      <x:c r="E534" s="95" t="n">
        <x:v>45936</x:v>
      </x:c>
      <x:c r="F534" s="86" t="str">
        <x:v>Reprovado</x:v>
      </x:c>
      <x:c r="G534" s="86" t="n">
        <x:v>6.4</x:v>
      </x:c>
      <x:c r="H534" s="93" t="n">
        <x:v>466.93</x:v>
      </x:c>
    </x:row>
    <x:row r="535">
      <x:c r="A535" s="85" t="n">
        <x:v>534</x:v>
      </x:c>
      <x:c r="B535" s="86" t="n">
        <x:v>353</x:v>
      </x:c>
      <x:c r="C535" s="86" t="n">
        <x:v>3</x:v>
      </x:c>
      <x:c r="D535" s="95" t="n">
        <x:v>45841</x:v>
      </x:c>
      <x:c r="E535" s="95" t="n">
        <x:v>45845</x:v>
      </x:c>
      <x:c r="F535" s="86" t="str">
        <x:v>Concluído</x:v>
      </x:c>
      <x:c r="G535" s="86" t="n">
        <x:v>7.8</x:v>
      </x:c>
      <x:c r="H535" s="93" t="n">
        <x:v>247.24</x:v>
      </x:c>
    </x:row>
    <x:row r="536">
      <x:c r="A536" s="85" t="n">
        <x:v>535</x:v>
      </x:c>
      <x:c r="B536" s="86" t="n">
        <x:v>70</x:v>
      </x:c>
      <x:c r="C536" s="86" t="n">
        <x:v>4</x:v>
      </x:c>
      <x:c r="D536" s="95" t="n">
        <x:v>45789</x:v>
      </x:c>
      <x:c r="E536" s="95" t="n">
        <x:v>45808</x:v>
      </x:c>
      <x:c r="F536" s="86" t="str">
        <x:v>Concluído</x:v>
      </x:c>
      <x:c r="G536" s="86" t="n">
        <x:v>7.7</x:v>
      </x:c>
      <x:c r="H536" s="93" t="n">
        <x:v>312.51</x:v>
      </x:c>
    </x:row>
    <x:row r="537">
      <x:c r="A537" s="85" t="n">
        <x:v>536</x:v>
      </x:c>
      <x:c r="B537" s="86" t="n">
        <x:v>110</x:v>
      </x:c>
      <x:c r="C537" s="86" t="n">
        <x:v>4</x:v>
      </x:c>
      <x:c r="D537" s="95" t="n">
        <x:v>45624</x:v>
      </x:c>
      <x:c r="E537" s="95" t="n">
        <x:v>45641</x:v>
      </x:c>
      <x:c r="F537" s="86" t="str">
        <x:v>Concluído</x:v>
      </x:c>
      <x:c r="G537" s="86" t="n">
        <x:v>8.6</x:v>
      </x:c>
      <x:c r="H537" s="93" t="n">
        <x:v>406.62</x:v>
      </x:c>
    </x:row>
    <x:row r="538">
      <x:c r="A538" s="85" t="n">
        <x:v>537</x:v>
      </x:c>
      <x:c r="B538" s="86" t="n">
        <x:v>385</x:v>
      </x:c>
      <x:c r="C538" s="86" t="n">
        <x:v>1</x:v>
      </x:c>
      <x:c r="D538" s="95" t="n">
        <x:v>45855</x:v>
      </x:c>
      <x:c r="E538" s="95" t="n">
        <x:v>45875</x:v>
      </x:c>
      <x:c r="F538" s="86" t="str">
        <x:v>Concluído</x:v>
      </x:c>
      <x:c r="G538" s="86" t="n">
        <x:v>9.3</x:v>
      </x:c>
      <x:c r="H538" s="93" t="n">
        <x:v>708.12</x:v>
      </x:c>
    </x:row>
    <x:row r="539">
      <x:c r="A539" s="85" t="n">
        <x:v>538</x:v>
      </x:c>
      <x:c r="B539" s="86" t="n">
        <x:v>376</x:v>
      </x:c>
      <x:c r="C539" s="86" t="n">
        <x:v>4</x:v>
      </x:c>
      <x:c r="D539" s="95" t="n">
        <x:v>45848</x:v>
      </x:c>
      <x:c r="E539" s="95" t="n">
        <x:v>45857</x:v>
      </x:c>
      <x:c r="F539" s="86" t="str">
        <x:v>Reprovado</x:v>
      </x:c>
      <x:c r="G539" s="86" t="n">
        <x:v>5.1</x:v>
      </x:c>
      <x:c r="H539" s="93" t="n">
        <x:v>101.87</x:v>
      </x:c>
    </x:row>
    <x:row r="540">
      <x:c r="A540" s="85" t="n">
        <x:v>539</x:v>
      </x:c>
      <x:c r="B540" s="86" t="n">
        <x:v>333</x:v>
      </x:c>
      <x:c r="C540" s="86" t="n">
        <x:v>5</x:v>
      </x:c>
      <x:c r="D540" s="95" t="n">
        <x:v>45321</x:v>
      </x:c>
      <x:c r="E540" s="95" t="n">
        <x:v>45332</x:v>
      </x:c>
      <x:c r="F540" s="86" t="str">
        <x:v>Concluído</x:v>
      </x:c>
      <x:c r="G540" s="86" t="n">
        <x:v>9.3</x:v>
      </x:c>
      <x:c r="H540" s="93" t="n">
        <x:v>81.56</x:v>
      </x:c>
    </x:row>
    <x:row r="541">
      <x:c r="A541" s="85" t="n">
        <x:v>540</x:v>
      </x:c>
      <x:c r="B541" s="86" t="n">
        <x:v>91</x:v>
      </x:c>
      <x:c r="C541" s="86" t="n">
        <x:v>8</x:v>
      </x:c>
      <x:c r="D541" s="95" t="n">
        <x:v>45769</x:v>
      </x:c>
      <x:c r="E541" s="95" t="n">
        <x:v>45786</x:v>
      </x:c>
      <x:c r="F541" s="86" t="str">
        <x:v>Concluído</x:v>
      </x:c>
      <x:c r="G541" s="86" t="n">
        <x:v>9</x:v>
      </x:c>
      <x:c r="H541" s="93" t="n">
        <x:v>634.98</x:v>
      </x:c>
    </x:row>
    <x:row r="542">
      <x:c r="A542" s="85" t="n">
        <x:v>541</x:v>
      </x:c>
      <x:c r="B542" s="86" t="n">
        <x:v>51</x:v>
      </x:c>
      <x:c r="C542" s="86" t="n">
        <x:v>1</x:v>
      </x:c>
      <x:c r="D542" s="95" t="n">
        <x:v>45923</x:v>
      </x:c>
      <x:c r="E542" s="95" t="n">
        <x:v>45927</x:v>
      </x:c>
      <x:c r="F542" s="86" t="str">
        <x:v>Concluído</x:v>
      </x:c>
      <x:c r="G542" s="86" t="n">
        <x:v>7.5</x:v>
      </x:c>
      <x:c r="H542" s="93" t="n">
        <x:v>788.22</x:v>
      </x:c>
    </x:row>
    <x:row r="543">
      <x:c r="A543" s="85" t="n">
        <x:v>542</x:v>
      </x:c>
      <x:c r="B543" s="86" t="n">
        <x:v>271</x:v>
      </x:c>
      <x:c r="C543" s="86" t="n">
        <x:v>4</x:v>
      </x:c>
      <x:c r="D543" s="95" t="n">
        <x:v>45686</x:v>
      </x:c>
      <x:c r="E543" s="95" t="n">
        <x:v>45702</x:v>
      </x:c>
      <x:c r="F543" s="86" t="str">
        <x:v>Concluído</x:v>
      </x:c>
      <x:c r="G543" s="86" t="n">
        <x:v>9.9</x:v>
      </x:c>
      <x:c r="H543" s="93" t="n">
        <x:v>295.58</x:v>
      </x:c>
    </x:row>
    <x:row r="544">
      <x:c r="A544" s="85" t="n">
        <x:v>543</x:v>
      </x:c>
      <x:c r="B544" s="86" t="n">
        <x:v>408</x:v>
      </x:c>
      <x:c r="C544" s="86" t="n">
        <x:v>2</x:v>
      </x:c>
      <x:c r="D544" s="95" t="n">
        <x:v>45351</x:v>
      </x:c>
      <x:c r="E544" s="95" t="n">
        <x:v>45370</x:v>
      </x:c>
      <x:c r="F544" s="86" t="str">
        <x:v>Concluído</x:v>
      </x:c>
      <x:c r="G544" s="86" t="n">
        <x:v>6.7</x:v>
      </x:c>
      <x:c r="H544" s="93" t="n">
        <x:v>115.93</x:v>
      </x:c>
    </x:row>
    <x:row r="545">
      <x:c r="A545" s="85" t="n">
        <x:v>544</x:v>
      </x:c>
      <x:c r="B545" s="86" t="n">
        <x:v>146</x:v>
      </x:c>
      <x:c r="C545" s="86" t="n">
        <x:v>8</x:v>
      </x:c>
      <x:c r="D545" s="95" t="n">
        <x:v>45786</x:v>
      </x:c>
      <x:c r="E545" s="95" t="n">
        <x:v>45794</x:v>
      </x:c>
      <x:c r="F545" s="86" t="str">
        <x:v>Concluído</x:v>
      </x:c>
      <x:c r="G545" s="86" t="n">
        <x:v>6.6</x:v>
      </x:c>
      <x:c r="H545" s="93" t="n">
        <x:v>766.14</x:v>
      </x:c>
    </x:row>
    <x:row r="546">
      <x:c r="A546" s="85" t="n">
        <x:v>545</x:v>
      </x:c>
      <x:c r="B546" s="86" t="n">
        <x:v>125</x:v>
      </x:c>
      <x:c r="C546" s="86" t="n">
        <x:v>7</x:v>
      </x:c>
      <x:c r="D546" s="95" t="n">
        <x:v>45305</x:v>
      </x:c>
      <x:c r="E546" s="95" t="n">
        <x:v>45309</x:v>
      </x:c>
      <x:c r="F546" s="86" t="str">
        <x:v>Reprovado</x:v>
      </x:c>
      <x:c r="G546" s="86" t="n">
        <x:v>8</x:v>
      </x:c>
      <x:c r="H546" s="93" t="n">
        <x:v>313.49</x:v>
      </x:c>
    </x:row>
    <x:row r="547">
      <x:c r="A547" s="85" t="n">
        <x:v>546</x:v>
      </x:c>
      <x:c r="B547" s="86" t="n">
        <x:v>353</x:v>
      </x:c>
      <x:c r="C547" s="86" t="n">
        <x:v>3</x:v>
      </x:c>
      <x:c r="D547" s="95" t="n">
        <x:v>45813</x:v>
      </x:c>
      <x:c r="E547" s="95" t="n">
        <x:v>45830</x:v>
      </x:c>
      <x:c r="F547" s="86" t="str">
        <x:v>Concluído</x:v>
      </x:c>
      <x:c r="G547" s="86" t="n">
        <x:v>6.1</x:v>
      </x:c>
      <x:c r="H547" s="93" t="n">
        <x:v>131.22</x:v>
      </x:c>
    </x:row>
    <x:row r="548">
      <x:c r="A548" s="85" t="n">
        <x:v>547</x:v>
      </x:c>
      <x:c r="B548" s="86" t="n">
        <x:v>192</x:v>
      </x:c>
      <x:c r="C548" s="86" t="n">
        <x:v>1</x:v>
      </x:c>
      <x:c r="D548" s="95" t="n">
        <x:v>45743</x:v>
      </x:c>
      <x:c r="E548" s="95" t="n">
        <x:v>45763</x:v>
      </x:c>
      <x:c r="F548" s="86" t="str">
        <x:v>Concluído</x:v>
      </x:c>
      <x:c r="G548" s="86" t="n">
        <x:v>5.4</x:v>
      </x:c>
      <x:c r="H548" s="93" t="n">
        <x:v>737.75</x:v>
      </x:c>
    </x:row>
    <x:row r="549">
      <x:c r="A549" s="85" t="n">
        <x:v>548</x:v>
      </x:c>
      <x:c r="B549" s="86" t="n">
        <x:v>62</x:v>
      </x:c>
      <x:c r="C549" s="86" t="n">
        <x:v>3</x:v>
      </x:c>
      <x:c r="D549" s="95" t="n">
        <x:v>45920</x:v>
      </x:c>
      <x:c r="E549" s="95" t="n">
        <x:v>45931</x:v>
      </x:c>
      <x:c r="F549" s="86" t="str">
        <x:v>Concluído</x:v>
      </x:c>
      <x:c r="G549" s="86" t="n">
        <x:v>7.4</x:v>
      </x:c>
      <x:c r="H549" s="93" t="n">
        <x:v>413.21</x:v>
      </x:c>
    </x:row>
    <x:row r="550">
      <x:c r="A550" s="85" t="n">
        <x:v>549</x:v>
      </x:c>
      <x:c r="B550" s="86" t="n">
        <x:v>354</x:v>
      </x:c>
      <x:c r="C550" s="86" t="n">
        <x:v>8</x:v>
      </x:c>
      <x:c r="D550" s="95" t="n">
        <x:v>45864</x:v>
      </x:c>
      <x:c r="E550" s="95" t="n">
        <x:v>45884</x:v>
      </x:c>
      <x:c r="F550" s="86" t="str">
        <x:v>Concluído</x:v>
      </x:c>
      <x:c r="G550" s="86" t="n">
        <x:v>8</x:v>
      </x:c>
      <x:c r="H550" s="93" t="n">
        <x:v>229.27</x:v>
      </x:c>
    </x:row>
    <x:row r="551">
      <x:c r="A551" s="85" t="n">
        <x:v>550</x:v>
      </x:c>
      <x:c r="B551" s="86" t="n">
        <x:v>405</x:v>
      </x:c>
      <x:c r="C551" s="86" t="n">
        <x:v>1</x:v>
      </x:c>
      <x:c r="D551" s="95" t="n">
        <x:v>45721</x:v>
      </x:c>
      <x:c r="E551" s="95" t="n">
        <x:v>45724</x:v>
      </x:c>
      <x:c r="F551" s="86" t="str">
        <x:v>Concluído</x:v>
      </x:c>
      <x:c r="G551" s="86" t="n">
        <x:v>8.9</x:v>
      </x:c>
      <x:c r="H551" s="93" t="n">
        <x:v>545.24</x:v>
      </x:c>
    </x:row>
    <x:row r="552">
      <x:c r="A552" s="85" t="n">
        <x:v>551</x:v>
      </x:c>
      <x:c r="B552" s="86" t="n">
        <x:v>204</x:v>
      </x:c>
      <x:c r="C552" s="86" t="n">
        <x:v>4</x:v>
      </x:c>
      <x:c r="D552" s="95" t="n">
        <x:v>45852</x:v>
      </x:c>
      <x:c r="E552" s="95" t="n">
        <x:v>45853</x:v>
      </x:c>
      <x:c r="F552" s="86" t="str">
        <x:v>Concluído</x:v>
      </x:c>
      <x:c r="G552" s="86" t="n">
        <x:v>8.3</x:v>
      </x:c>
      <x:c r="H552" s="93" t="n">
        <x:v>690.3</x:v>
      </x:c>
    </x:row>
    <x:row r="553">
      <x:c r="A553" s="85" t="n">
        <x:v>552</x:v>
      </x:c>
      <x:c r="B553" s="86" t="n">
        <x:v>352</x:v>
      </x:c>
      <x:c r="C553" s="86" t="n">
        <x:v>2</x:v>
      </x:c>
      <x:c r="D553" s="95" t="n">
        <x:v>45783</x:v>
      </x:c>
      <x:c r="E553" s="95" t="n">
        <x:v>45798</x:v>
      </x:c>
      <x:c r="F553" s="86" t="str">
        <x:v>Reprovado</x:v>
      </x:c>
      <x:c r="G553" s="86" t="n">
        <x:v>7.7</x:v>
      </x:c>
      <x:c r="H553" s="93" t="n">
        <x:v>619.67</x:v>
      </x:c>
    </x:row>
    <x:row r="554">
      <x:c r="A554" s="85" t="n">
        <x:v>553</x:v>
      </x:c>
      <x:c r="B554" s="86" t="n">
        <x:v>204</x:v>
      </x:c>
      <x:c r="C554" s="86" t="n">
        <x:v>1</x:v>
      </x:c>
      <x:c r="D554" s="95" t="n">
        <x:v>45701</x:v>
      </x:c>
      <x:c r="E554" s="95" t="n">
        <x:v>45708</x:v>
      </x:c>
      <x:c r="F554" s="86" t="str">
        <x:v>Concluído</x:v>
      </x:c>
      <x:c r="G554" s="86" t="n">
        <x:v>5.3</x:v>
      </x:c>
      <x:c r="H554" s="93" t="n">
        <x:v>606.11</x:v>
      </x:c>
    </x:row>
    <x:row r="555">
      <x:c r="A555" s="85" t="n">
        <x:v>554</x:v>
      </x:c>
      <x:c r="B555" s="86" t="n">
        <x:v>180</x:v>
      </x:c>
      <x:c r="C555" s="86" t="n">
        <x:v>5</x:v>
      </x:c>
      <x:c r="D555" s="95" t="n">
        <x:v>46009</x:v>
      </x:c>
      <x:c r="E555" s="95" t="n">
        <x:v>46026</x:v>
      </x:c>
      <x:c r="F555" s="86" t="str">
        <x:v>Concluído</x:v>
      </x:c>
      <x:c r="G555" s="86" t="n">
        <x:v>9.2</x:v>
      </x:c>
      <x:c r="H555" s="93" t="n">
        <x:v>603.81</x:v>
      </x:c>
    </x:row>
    <x:row r="556">
      <x:c r="A556" s="85" t="n">
        <x:v>555</x:v>
      </x:c>
      <x:c r="B556" s="86" t="n">
        <x:v>20</x:v>
      </x:c>
      <x:c r="C556" s="86" t="n">
        <x:v>2</x:v>
      </x:c>
      <x:c r="D556" s="95" t="n">
        <x:v>45564</x:v>
      </x:c>
      <x:c r="E556" s="95" t="n">
        <x:v>45571</x:v>
      </x:c>
      <x:c r="F556" s="86" t="str">
        <x:v>Concluído</x:v>
      </x:c>
      <x:c r="G556" s="86" t="n">
        <x:v>5.2</x:v>
      </x:c>
      <x:c r="H556" s="93" t="n">
        <x:v>152.14</x:v>
      </x:c>
    </x:row>
    <x:row r="557">
      <x:c r="A557" s="85" t="n">
        <x:v>556</x:v>
      </x:c>
      <x:c r="B557" s="86" t="n">
        <x:v>291</x:v>
      </x:c>
      <x:c r="C557" s="86" t="n">
        <x:v>1</x:v>
      </x:c>
      <x:c r="D557" s="95" t="n">
        <x:v>45825</x:v>
      </x:c>
      <x:c r="E557" s="95"/>
      <x:c r="F557" s="86" t="str">
        <x:v>Em andamento</x:v>
      </x:c>
      <x:c r="G557" s="86"/>
      <x:c r="H557" s="93" t="n">
        <x:v>727.32</x:v>
      </x:c>
    </x:row>
    <x:row r="558">
      <x:c r="A558" s="85" t="n">
        <x:v>557</x:v>
      </x:c>
      <x:c r="B558" s="86" t="n">
        <x:v>138</x:v>
      </x:c>
      <x:c r="C558" s="86" t="n">
        <x:v>2</x:v>
      </x:c>
      <x:c r="D558" s="95" t="n">
        <x:v>45993</x:v>
      </x:c>
      <x:c r="E558" s="95"/>
      <x:c r="F558" s="86" t="str">
        <x:v>Não iniciado</x:v>
      </x:c>
      <x:c r="G558" s="86"/>
      <x:c r="H558" s="93" t="n">
        <x:v>332.94</x:v>
      </x:c>
    </x:row>
    <x:row r="559">
      <x:c r="A559" s="85" t="n">
        <x:v>558</x:v>
      </x:c>
      <x:c r="B559" s="86" t="n">
        <x:v>73</x:v>
      </x:c>
      <x:c r="C559" s="86" t="n">
        <x:v>8</x:v>
      </x:c>
      <x:c r="D559" s="95" t="n">
        <x:v>45950</x:v>
      </x:c>
      <x:c r="E559" s="95"/>
      <x:c r="F559" s="86" t="str">
        <x:v>Em andamento</x:v>
      </x:c>
      <x:c r="G559" s="86"/>
      <x:c r="H559" s="93" t="n">
        <x:v>484.05</x:v>
      </x:c>
    </x:row>
    <x:row r="560">
      <x:c r="A560" s="85" t="n">
        <x:v>559</x:v>
      </x:c>
      <x:c r="B560" s="86" t="n">
        <x:v>385</x:v>
      </x:c>
      <x:c r="C560" s="86" t="n">
        <x:v>9</x:v>
      </x:c>
      <x:c r="D560" s="95" t="n">
        <x:v>45816</x:v>
      </x:c>
      <x:c r="E560" s="95" t="n">
        <x:v>45827</x:v>
      </x:c>
      <x:c r="F560" s="86" t="str">
        <x:v>Concluído</x:v>
      </x:c>
      <x:c r="G560" s="86" t="n">
        <x:v>5.4</x:v>
      </x:c>
      <x:c r="H560" s="93" t="n">
        <x:v>316.83</x:v>
      </x:c>
    </x:row>
    <x:row r="561">
      <x:c r="A561" s="85" t="n">
        <x:v>560</x:v>
      </x:c>
      <x:c r="B561" s="86" t="n">
        <x:v>240</x:v>
      </x:c>
      <x:c r="C561" s="86" t="n">
        <x:v>9</x:v>
      </x:c>
      <x:c r="D561" s="95" t="n">
        <x:v>45586</x:v>
      </x:c>
      <x:c r="E561" s="95" t="n">
        <x:v>45587</x:v>
      </x:c>
      <x:c r="F561" s="86" t="str">
        <x:v>Concluído</x:v>
      </x:c>
      <x:c r="G561" s="86" t="n">
        <x:v>5.9</x:v>
      </x:c>
      <x:c r="H561" s="93" t="n">
        <x:v>605.76</x:v>
      </x:c>
    </x:row>
    <x:row r="562">
      <x:c r="A562" s="85" t="n">
        <x:v>561</x:v>
      </x:c>
      <x:c r="B562" s="86" t="n">
        <x:v>364</x:v>
      </x:c>
      <x:c r="C562" s="86" t="n">
        <x:v>4</x:v>
      </x:c>
      <x:c r="D562" s="95" t="n">
        <x:v>45317</x:v>
      </x:c>
      <x:c r="E562" s="95" t="n">
        <x:v>45324</x:v>
      </x:c>
      <x:c r="F562" s="86" t="str">
        <x:v>Concluído</x:v>
      </x:c>
      <x:c r="G562" s="86" t="n">
        <x:v>5.6</x:v>
      </x:c>
      <x:c r="H562" s="93" t="n">
        <x:v>291.9</x:v>
      </x:c>
    </x:row>
    <x:row r="563">
      <x:c r="A563" s="85" t="n">
        <x:v>562</x:v>
      </x:c>
      <x:c r="B563" s="86" t="n">
        <x:v>401</x:v>
      </x:c>
      <x:c r="C563" s="86" t="n">
        <x:v>1</x:v>
      </x:c>
      <x:c r="D563" s="95" t="n">
        <x:v>45809</x:v>
      </x:c>
      <x:c r="E563" s="95" t="n">
        <x:v>45815</x:v>
      </x:c>
      <x:c r="F563" s="86" t="str">
        <x:v>Concluído</x:v>
      </x:c>
      <x:c r="G563" s="86" t="n">
        <x:v>9.9</x:v>
      </x:c>
      <x:c r="H563" s="93" t="n">
        <x:v>359.25</x:v>
      </x:c>
    </x:row>
    <x:row r="564">
      <x:c r="A564" s="85" t="n">
        <x:v>563</x:v>
      </x:c>
      <x:c r="B564" s="86" t="n">
        <x:v>33</x:v>
      </x:c>
      <x:c r="C564" s="86" t="n">
        <x:v>4</x:v>
      </x:c>
      <x:c r="D564" s="95" t="n">
        <x:v>45845</x:v>
      </x:c>
      <x:c r="E564" s="95" t="n">
        <x:v>45850</x:v>
      </x:c>
      <x:c r="F564" s="86" t="str">
        <x:v>Concluído</x:v>
      </x:c>
      <x:c r="G564" s="86" t="n">
        <x:v>6</x:v>
      </x:c>
      <x:c r="H564" s="93" t="n">
        <x:v>680.03</x:v>
      </x:c>
    </x:row>
    <x:row r="565">
      <x:c r="A565" s="85" t="n">
        <x:v>564</x:v>
      </x:c>
      <x:c r="B565" s="86" t="n">
        <x:v>185</x:v>
      </x:c>
      <x:c r="C565" s="86" t="n">
        <x:v>1</x:v>
      </x:c>
      <x:c r="D565" s="95" t="n">
        <x:v>45731</x:v>
      </x:c>
      <x:c r="E565" s="95" t="n">
        <x:v>45751</x:v>
      </x:c>
      <x:c r="F565" s="86" t="str">
        <x:v>Concluído</x:v>
      </x:c>
      <x:c r="G565" s="86" t="n">
        <x:v>8.6</x:v>
      </x:c>
      <x:c r="H565" s="93" t="n">
        <x:v>751.04</x:v>
      </x:c>
    </x:row>
    <x:row r="566">
      <x:c r="A566" s="85" t="n">
        <x:v>565</x:v>
      </x:c>
      <x:c r="B566" s="86" t="n">
        <x:v>328</x:v>
      </x:c>
      <x:c r="C566" s="86" t="n">
        <x:v>9</x:v>
      </x:c>
      <x:c r="D566" s="95" t="n">
        <x:v>45995</x:v>
      </x:c>
      <x:c r="E566" s="95"/>
      <x:c r="F566" s="86" t="str">
        <x:v>Não iniciado</x:v>
      </x:c>
      <x:c r="G566" s="86"/>
      <x:c r="H566" s="93" t="n">
        <x:v>291.51</x:v>
      </x:c>
    </x:row>
    <x:row r="567">
      <x:c r="A567" s="85" t="n">
        <x:v>566</x:v>
      </x:c>
      <x:c r="B567" s="86" t="n">
        <x:v>291</x:v>
      </x:c>
      <x:c r="C567" s="86" t="n">
        <x:v>1</x:v>
      </x:c>
      <x:c r="D567" s="95" t="n">
        <x:v>45901</x:v>
      </x:c>
      <x:c r="E567" s="95"/>
      <x:c r="F567" s="86" t="str">
        <x:v>Não iniciado</x:v>
      </x:c>
      <x:c r="G567" s="86"/>
      <x:c r="H567" s="93" t="n">
        <x:v>228.33</x:v>
      </x:c>
    </x:row>
    <x:row r="568">
      <x:c r="A568" s="85" t="n">
        <x:v>567</x:v>
      </x:c>
      <x:c r="B568" s="86" t="n">
        <x:v>23</x:v>
      </x:c>
      <x:c r="C568" s="86" t="n">
        <x:v>10</x:v>
      </x:c>
      <x:c r="D568" s="95" t="n">
        <x:v>45733</x:v>
      </x:c>
      <x:c r="E568" s="95" t="n">
        <x:v>45748</x:v>
      </x:c>
      <x:c r="F568" s="86" t="str">
        <x:v>Concluído</x:v>
      </x:c>
      <x:c r="G568" s="86" t="n">
        <x:v>9.7</x:v>
      </x:c>
      <x:c r="H568" s="93" t="n">
        <x:v>196.38</x:v>
      </x:c>
    </x:row>
    <x:row r="569">
      <x:c r="A569" s="85" t="n">
        <x:v>568</x:v>
      </x:c>
      <x:c r="B569" s="86" t="n">
        <x:v>90</x:v>
      </x:c>
      <x:c r="C569" s="86" t="n">
        <x:v>4</x:v>
      </x:c>
      <x:c r="D569" s="95" t="n">
        <x:v>45672</x:v>
      </x:c>
      <x:c r="E569" s="95"/>
      <x:c r="F569" s="86" t="str">
        <x:v>Não iniciado</x:v>
      </x:c>
      <x:c r="G569" s="86"/>
      <x:c r="H569" s="93" t="n">
        <x:v>767.38</x:v>
      </x:c>
    </x:row>
    <x:row r="570">
      <x:c r="A570" s="85" t="n">
        <x:v>569</x:v>
      </x:c>
      <x:c r="B570" s="86" t="n">
        <x:v>131</x:v>
      </x:c>
      <x:c r="C570" s="86" t="n">
        <x:v>5</x:v>
      </x:c>
      <x:c r="D570" s="95" t="n">
        <x:v>45715</x:v>
      </x:c>
      <x:c r="E570" s="95" t="n">
        <x:v>45730</x:v>
      </x:c>
      <x:c r="F570" s="86" t="str">
        <x:v>Concluído</x:v>
      </x:c>
      <x:c r="G570" s="86" t="n">
        <x:v>5.5</x:v>
      </x:c>
      <x:c r="H570" s="93" t="n">
        <x:v>597.03</x:v>
      </x:c>
    </x:row>
    <x:row r="571">
      <x:c r="A571" s="85" t="n">
        <x:v>570</x:v>
      </x:c>
      <x:c r="B571" s="86" t="n">
        <x:v>73</x:v>
      </x:c>
      <x:c r="C571" s="86" t="n">
        <x:v>1</x:v>
      </x:c>
      <x:c r="D571" s="95" t="n">
        <x:v>46021</x:v>
      </x:c>
      <x:c r="E571" s="95" t="n">
        <x:v>46023</x:v>
      </x:c>
      <x:c r="F571" s="86" t="str">
        <x:v>Concluído</x:v>
      </x:c>
      <x:c r="G571" s="86" t="n">
        <x:v>5</x:v>
      </x:c>
      <x:c r="H571" s="93" t="n">
        <x:v>275.74</x:v>
      </x:c>
    </x:row>
    <x:row r="572">
      <x:c r="A572" s="85" t="n">
        <x:v>571</x:v>
      </x:c>
      <x:c r="B572" s="86" t="n">
        <x:v>348</x:v>
      </x:c>
      <x:c r="C572" s="86" t="n">
        <x:v>4</x:v>
      </x:c>
      <x:c r="D572" s="95" t="n">
        <x:v>45936</x:v>
      </x:c>
      <x:c r="E572" s="95"/>
      <x:c r="F572" s="86" t="str">
        <x:v>Não iniciado</x:v>
      </x:c>
      <x:c r="G572" s="86"/>
      <x:c r="H572" s="93" t="n">
        <x:v>448.91</x:v>
      </x:c>
    </x:row>
    <x:row r="573">
      <x:c r="A573" s="85" t="n">
        <x:v>572</x:v>
      </x:c>
      <x:c r="B573" s="86" t="n">
        <x:v>345</x:v>
      </x:c>
      <x:c r="C573" s="86" t="n">
        <x:v>3</x:v>
      </x:c>
      <x:c r="D573" s="95" t="n">
        <x:v>45898</x:v>
      </x:c>
      <x:c r="E573" s="95" t="n">
        <x:v>45899</x:v>
      </x:c>
      <x:c r="F573" s="86" t="str">
        <x:v>Concluído</x:v>
      </x:c>
      <x:c r="G573" s="86" t="n">
        <x:v>5.3</x:v>
      </x:c>
      <x:c r="H573" s="93" t="n">
        <x:v>841.66</x:v>
      </x:c>
    </x:row>
    <x:row r="574">
      <x:c r="A574" s="85" t="n">
        <x:v>573</x:v>
      </x:c>
      <x:c r="B574" s="86" t="n">
        <x:v>217</x:v>
      </x:c>
      <x:c r="C574" s="86" t="n">
        <x:v>4</x:v>
      </x:c>
      <x:c r="D574" s="95" t="n">
        <x:v>45778</x:v>
      </x:c>
      <x:c r="E574" s="95" t="n">
        <x:v>45780</x:v>
      </x:c>
      <x:c r="F574" s="86" t="str">
        <x:v>Concluído</x:v>
      </x:c>
      <x:c r="G574" s="86" t="n">
        <x:v>7.4</x:v>
      </x:c>
      <x:c r="H574" s="93" t="n">
        <x:v>712.43</x:v>
      </x:c>
    </x:row>
    <x:row r="575">
      <x:c r="A575" s="85" t="n">
        <x:v>574</x:v>
      </x:c>
      <x:c r="B575" s="86" t="n">
        <x:v>298</x:v>
      </x:c>
      <x:c r="C575" s="86" t="n">
        <x:v>1</x:v>
      </x:c>
      <x:c r="D575" s="95" t="n">
        <x:v>45427</x:v>
      </x:c>
      <x:c r="E575" s="95" t="n">
        <x:v>45441</x:v>
      </x:c>
      <x:c r="F575" s="86" t="str">
        <x:v>Concluído</x:v>
      </x:c>
      <x:c r="G575" s="86" t="n">
        <x:v>8.1</x:v>
      </x:c>
      <x:c r="H575" s="93" t="n">
        <x:v>632.36</x:v>
      </x:c>
    </x:row>
    <x:row r="576">
      <x:c r="A576" s="85" t="n">
        <x:v>575</x:v>
      </x:c>
      <x:c r="B576" s="86" t="n">
        <x:v>217</x:v>
      </x:c>
      <x:c r="C576" s="86" t="n">
        <x:v>3</x:v>
      </x:c>
      <x:c r="D576" s="95" t="n">
        <x:v>45666</x:v>
      </x:c>
      <x:c r="E576" s="95" t="n">
        <x:v>45669</x:v>
      </x:c>
      <x:c r="F576" s="86" t="str">
        <x:v>Concluído</x:v>
      </x:c>
      <x:c r="G576" s="86" t="n">
        <x:v>5.5</x:v>
      </x:c>
      <x:c r="H576" s="93" t="n">
        <x:v>418.52</x:v>
      </x:c>
    </x:row>
    <x:row r="577">
      <x:c r="A577" s="85" t="n">
        <x:v>576</x:v>
      </x:c>
      <x:c r="B577" s="86" t="n">
        <x:v>40</x:v>
      </x:c>
      <x:c r="C577" s="86" t="n">
        <x:v>5</x:v>
      </x:c>
      <x:c r="D577" s="95" t="n">
        <x:v>45566</x:v>
      </x:c>
      <x:c r="E577" s="95" t="n">
        <x:v>45567</x:v>
      </x:c>
      <x:c r="F577" s="86" t="str">
        <x:v>Concluído</x:v>
      </x:c>
      <x:c r="G577" s="86" t="n">
        <x:v>5.2</x:v>
      </x:c>
      <x:c r="H577" s="93" t="n">
        <x:v>800.19</x:v>
      </x:c>
    </x:row>
    <x:row r="578">
      <x:c r="A578" s="85" t="n">
        <x:v>577</x:v>
      </x:c>
      <x:c r="B578" s="86" t="n">
        <x:v>86</x:v>
      </x:c>
      <x:c r="C578" s="86" t="n">
        <x:v>2</x:v>
      </x:c>
      <x:c r="D578" s="95" t="n">
        <x:v>45783</x:v>
      </x:c>
      <x:c r="E578" s="95" t="n">
        <x:v>45797</x:v>
      </x:c>
      <x:c r="F578" s="86" t="str">
        <x:v>Concluído</x:v>
      </x:c>
      <x:c r="G578" s="86" t="n">
        <x:v>6.6</x:v>
      </x:c>
      <x:c r="H578" s="93" t="n">
        <x:v>396.13</x:v>
      </x:c>
    </x:row>
    <x:row r="579">
      <x:c r="A579" s="85" t="n">
        <x:v>578</x:v>
      </x:c>
      <x:c r="B579" s="86" t="n">
        <x:v>153</x:v>
      </x:c>
      <x:c r="C579" s="86" t="n">
        <x:v>5</x:v>
      </x:c>
      <x:c r="D579" s="95" t="n">
        <x:v>45625</x:v>
      </x:c>
      <x:c r="E579" s="95"/>
      <x:c r="F579" s="86" t="str">
        <x:v>Em andamento</x:v>
      </x:c>
      <x:c r="G579" s="86"/>
      <x:c r="H579" s="93" t="n">
        <x:v>169.52</x:v>
      </x:c>
    </x:row>
    <x:row r="580">
      <x:c r="A580" s="85" t="n">
        <x:v>579</x:v>
      </x:c>
      <x:c r="B580" s="86" t="n">
        <x:v>69</x:v>
      </x:c>
      <x:c r="C580" s="86" t="n">
        <x:v>4</x:v>
      </x:c>
      <x:c r="D580" s="95" t="n">
        <x:v>45948</x:v>
      </x:c>
      <x:c r="E580" s="95" t="n">
        <x:v>45961</x:v>
      </x:c>
      <x:c r="F580" s="86" t="str">
        <x:v>Reprovado</x:v>
      </x:c>
      <x:c r="G580" s="86" t="n">
        <x:v>5.3</x:v>
      </x:c>
      <x:c r="H580" s="93" t="n">
        <x:v>89.73</x:v>
      </x:c>
    </x:row>
    <x:row r="581">
      <x:c r="A581" s="85" t="n">
        <x:v>580</x:v>
      </x:c>
      <x:c r="B581" s="86" t="n">
        <x:v>289</x:v>
      </x:c>
      <x:c r="C581" s="86" t="n">
        <x:v>4</x:v>
      </x:c>
      <x:c r="D581" s="95" t="n">
        <x:v>45860</x:v>
      </x:c>
      <x:c r="E581" s="95" t="n">
        <x:v>45867</x:v>
      </x:c>
      <x:c r="F581" s="86" t="str">
        <x:v>Reprovado</x:v>
      </x:c>
      <x:c r="G581" s="86" t="n">
        <x:v>7.2</x:v>
      </x:c>
      <x:c r="H581" s="93" t="n">
        <x:v>548.28</x:v>
      </x:c>
    </x:row>
    <x:row r="582">
      <x:c r="A582" s="85" t="n">
        <x:v>581</x:v>
      </x:c>
      <x:c r="B582" s="86" t="n">
        <x:v>281</x:v>
      </x:c>
      <x:c r="C582" s="86" t="n">
        <x:v>10</x:v>
      </x:c>
      <x:c r="D582" s="95" t="n">
        <x:v>45844</x:v>
      </x:c>
      <x:c r="E582" s="95" t="n">
        <x:v>45857</x:v>
      </x:c>
      <x:c r="F582" s="86" t="str">
        <x:v>Concluído</x:v>
      </x:c>
      <x:c r="G582" s="86" t="n">
        <x:v>9.1</x:v>
      </x:c>
      <x:c r="H582" s="93" t="n">
        <x:v>468.7</x:v>
      </x:c>
    </x:row>
    <x:row r="583">
      <x:c r="A583" s="85" t="n">
        <x:v>582</x:v>
      </x:c>
      <x:c r="B583" s="86" t="n">
        <x:v>158</x:v>
      </x:c>
      <x:c r="C583" s="86" t="n">
        <x:v>3</x:v>
      </x:c>
      <x:c r="D583" s="95" t="n">
        <x:v>45541</x:v>
      </x:c>
      <x:c r="E583" s="95" t="n">
        <x:v>45558</x:v>
      </x:c>
      <x:c r="F583" s="86" t="str">
        <x:v>Concluído</x:v>
      </x:c>
      <x:c r="G583" s="86" t="n">
        <x:v>5.1</x:v>
      </x:c>
      <x:c r="H583" s="93" t="n">
        <x:v>179.55</x:v>
      </x:c>
    </x:row>
    <x:row r="584">
      <x:c r="A584" s="85" t="n">
        <x:v>583</x:v>
      </x:c>
      <x:c r="B584" s="86" t="n">
        <x:v>305</x:v>
      </x:c>
      <x:c r="C584" s="86" t="n">
        <x:v>7</x:v>
      </x:c>
      <x:c r="D584" s="95" t="n">
        <x:v>45527</x:v>
      </x:c>
      <x:c r="E584" s="95" t="n">
        <x:v>45545</x:v>
      </x:c>
      <x:c r="F584" s="86" t="str">
        <x:v>Concluído</x:v>
      </x:c>
      <x:c r="G584" s="86" t="n">
        <x:v>7.1</x:v>
      </x:c>
      <x:c r="H584" s="93" t="n">
        <x:v>744.01</x:v>
      </x:c>
    </x:row>
    <x:row r="585">
      <x:c r="A585" s="85" t="n">
        <x:v>584</x:v>
      </x:c>
      <x:c r="B585" s="86" t="n">
        <x:v>115</x:v>
      </x:c>
      <x:c r="C585" s="86" t="n">
        <x:v>7</x:v>
      </x:c>
      <x:c r="D585" s="95" t="n">
        <x:v>45505</x:v>
      </x:c>
      <x:c r="E585" s="95"/>
      <x:c r="F585" s="86" t="str">
        <x:v>Não iniciado</x:v>
      </x:c>
      <x:c r="G585" s="86"/>
      <x:c r="H585" s="93" t="n">
        <x:v>667.68</x:v>
      </x:c>
    </x:row>
    <x:row r="586">
      <x:c r="A586" s="85" t="n">
        <x:v>585</x:v>
      </x:c>
      <x:c r="B586" s="86" t="n">
        <x:v>170</x:v>
      </x:c>
      <x:c r="C586" s="86" t="n">
        <x:v>9</x:v>
      </x:c>
      <x:c r="D586" s="95" t="n">
        <x:v>45682</x:v>
      </x:c>
      <x:c r="E586" s="95" t="n">
        <x:v>45694</x:v>
      </x:c>
      <x:c r="F586" s="86" t="str">
        <x:v>Concluído</x:v>
      </x:c>
      <x:c r="G586" s="86" t="n">
        <x:v>6.7</x:v>
      </x:c>
      <x:c r="H586" s="93" t="n">
        <x:v>547.86</x:v>
      </x:c>
    </x:row>
    <x:row r="587">
      <x:c r="A587" s="85" t="n">
        <x:v>586</x:v>
      </x:c>
      <x:c r="B587" s="86" t="n">
        <x:v>312</x:v>
      </x:c>
      <x:c r="C587" s="86" t="n">
        <x:v>8</x:v>
      </x:c>
      <x:c r="D587" s="95" t="n">
        <x:v>45596</x:v>
      </x:c>
      <x:c r="E587" s="95" t="n">
        <x:v>45615</x:v>
      </x:c>
      <x:c r="F587" s="86" t="str">
        <x:v>Concluído</x:v>
      </x:c>
      <x:c r="G587" s="86" t="n">
        <x:v>5.4</x:v>
      </x:c>
      <x:c r="H587" s="93" t="n">
        <x:v>585.7</x:v>
      </x:c>
    </x:row>
    <x:row r="588">
      <x:c r="A588" s="85" t="n">
        <x:v>587</x:v>
      </x:c>
      <x:c r="B588" s="86" t="n">
        <x:v>79</x:v>
      </x:c>
      <x:c r="C588" s="86" t="n">
        <x:v>7</x:v>
      </x:c>
      <x:c r="D588" s="95" t="n">
        <x:v>45936</x:v>
      </x:c>
      <x:c r="E588" s="95" t="n">
        <x:v>45956</x:v>
      </x:c>
      <x:c r="F588" s="86" t="str">
        <x:v>Concluído</x:v>
      </x:c>
      <x:c r="G588" s="86" t="n">
        <x:v>7.5</x:v>
      </x:c>
      <x:c r="H588" s="93" t="n">
        <x:v>761.25</x:v>
      </x:c>
    </x:row>
    <x:row r="589">
      <x:c r="A589" s="85" t="n">
        <x:v>588</x:v>
      </x:c>
      <x:c r="B589" s="86" t="n">
        <x:v>124</x:v>
      </x:c>
      <x:c r="C589" s="86" t="n">
        <x:v>7</x:v>
      </x:c>
      <x:c r="D589" s="95" t="n">
        <x:v>45506</x:v>
      </x:c>
      <x:c r="E589" s="95" t="n">
        <x:v>45523</x:v>
      </x:c>
      <x:c r="F589" s="86" t="str">
        <x:v>Concluído</x:v>
      </x:c>
      <x:c r="G589" s="86" t="n">
        <x:v>7.8</x:v>
      </x:c>
      <x:c r="H589" s="93" t="n">
        <x:v>764.57</x:v>
      </x:c>
    </x:row>
    <x:row r="590">
      <x:c r="A590" s="85" t="n">
        <x:v>589</x:v>
      </x:c>
      <x:c r="B590" s="86" t="n">
        <x:v>189</x:v>
      </x:c>
      <x:c r="C590" s="86" t="n">
        <x:v>1</x:v>
      </x:c>
      <x:c r="D590" s="95" t="n">
        <x:v>45893</x:v>
      </x:c>
      <x:c r="E590" s="95" t="n">
        <x:v>45898</x:v>
      </x:c>
      <x:c r="F590" s="86" t="str">
        <x:v>Concluído</x:v>
      </x:c>
      <x:c r="G590" s="86" t="n">
        <x:v>5.6</x:v>
      </x:c>
      <x:c r="H590" s="93" t="n">
        <x:v>404.25</x:v>
      </x:c>
    </x:row>
    <x:row r="591">
      <x:c r="A591" s="85" t="n">
        <x:v>590</x:v>
      </x:c>
      <x:c r="B591" s="86" t="n">
        <x:v>174</x:v>
      </x:c>
      <x:c r="C591" s="86" t="n">
        <x:v>9</x:v>
      </x:c>
      <x:c r="D591" s="95" t="n">
        <x:v>45619</x:v>
      </x:c>
      <x:c r="E591" s="95" t="n">
        <x:v>45623</x:v>
      </x:c>
      <x:c r="F591" s="86" t="str">
        <x:v>Concluído</x:v>
      </x:c>
      <x:c r="G591" s="86" t="n">
        <x:v>6.6</x:v>
      </x:c>
      <x:c r="H591" s="93" t="n">
        <x:v>252.18</x:v>
      </x:c>
    </x:row>
    <x:row r="592">
      <x:c r="A592" s="85" t="n">
        <x:v>591</x:v>
      </x:c>
      <x:c r="B592" s="86" t="n">
        <x:v>43</x:v>
      </x:c>
      <x:c r="C592" s="86" t="n">
        <x:v>10</x:v>
      </x:c>
      <x:c r="D592" s="95" t="n">
        <x:v>45836</x:v>
      </x:c>
      <x:c r="E592" s="95" t="n">
        <x:v>45844</x:v>
      </x:c>
      <x:c r="F592" s="86" t="str">
        <x:v>Concluído</x:v>
      </x:c>
      <x:c r="G592" s="86" t="n">
        <x:v>5.5</x:v>
      </x:c>
      <x:c r="H592" s="93" t="n">
        <x:v>504.95</x:v>
      </x:c>
    </x:row>
    <x:row r="593">
      <x:c r="A593" s="85" t="n">
        <x:v>592</x:v>
      </x:c>
      <x:c r="B593" s="86" t="n">
        <x:v>243</x:v>
      </x:c>
      <x:c r="C593" s="86" t="n">
        <x:v>8</x:v>
      </x:c>
      <x:c r="D593" s="95" t="n">
        <x:v>45767</x:v>
      </x:c>
      <x:c r="E593" s="95" t="n">
        <x:v>45774</x:v>
      </x:c>
      <x:c r="F593" s="86" t="str">
        <x:v>Concluído</x:v>
      </x:c>
      <x:c r="G593" s="86" t="n">
        <x:v>5.2</x:v>
      </x:c>
      <x:c r="H593" s="93" t="n">
        <x:v>222.3</x:v>
      </x:c>
    </x:row>
    <x:row r="594">
      <x:c r="A594" s="85" t="n">
        <x:v>593</x:v>
      </x:c>
      <x:c r="B594" s="86" t="n">
        <x:v>300</x:v>
      </x:c>
      <x:c r="C594" s="86" t="n">
        <x:v>2</x:v>
      </x:c>
      <x:c r="D594" s="95" t="n">
        <x:v>45585</x:v>
      </x:c>
      <x:c r="E594" s="95" t="n">
        <x:v>45590</x:v>
      </x:c>
      <x:c r="F594" s="86" t="str">
        <x:v>Concluído</x:v>
      </x:c>
      <x:c r="G594" s="86" t="n">
        <x:v>6.2</x:v>
      </x:c>
      <x:c r="H594" s="93" t="n">
        <x:v>694.75</x:v>
      </x:c>
    </x:row>
    <x:row r="595">
      <x:c r="A595" s="85" t="n">
        <x:v>594</x:v>
      </x:c>
      <x:c r="B595" s="86" t="n">
        <x:v>363</x:v>
      </x:c>
      <x:c r="C595" s="86" t="n">
        <x:v>9</x:v>
      </x:c>
      <x:c r="D595" s="95" t="n">
        <x:v>45548</x:v>
      </x:c>
      <x:c r="E595" s="95"/>
      <x:c r="F595" s="86" t="str">
        <x:v>Não iniciado</x:v>
      </x:c>
      <x:c r="G595" s="86"/>
      <x:c r="H595" s="93" t="n">
        <x:v>700.78</x:v>
      </x:c>
    </x:row>
    <x:row r="596">
      <x:c r="A596" s="85" t="n">
        <x:v>595</x:v>
      </x:c>
      <x:c r="B596" s="86" t="n">
        <x:v>25</x:v>
      </x:c>
      <x:c r="C596" s="86" t="n">
        <x:v>6</x:v>
      </x:c>
      <x:c r="D596" s="95" t="n">
        <x:v>45620</x:v>
      </x:c>
      <x:c r="E596" s="95" t="n">
        <x:v>45629</x:v>
      </x:c>
      <x:c r="F596" s="86" t="str">
        <x:v>Concluído</x:v>
      </x:c>
      <x:c r="G596" s="86" t="n">
        <x:v>8.6</x:v>
      </x:c>
      <x:c r="H596" s="93" t="n">
        <x:v>788.6</x:v>
      </x:c>
    </x:row>
    <x:row r="597">
      <x:c r="A597" s="85" t="n">
        <x:v>596</x:v>
      </x:c>
      <x:c r="B597" s="86" t="n">
        <x:v>213</x:v>
      </x:c>
      <x:c r="C597" s="86" t="n">
        <x:v>7</x:v>
      </x:c>
      <x:c r="D597" s="95" t="n">
        <x:v>45608</x:v>
      </x:c>
      <x:c r="E597" s="95" t="n">
        <x:v>45609</x:v>
      </x:c>
      <x:c r="F597" s="86" t="str">
        <x:v>Concluído</x:v>
      </x:c>
      <x:c r="G597" s="86" t="n">
        <x:v>7.9</x:v>
      </x:c>
      <x:c r="H597" s="93" t="n">
        <x:v>322.05</x:v>
      </x:c>
    </x:row>
    <x:row r="598">
      <x:c r="A598" s="85" t="n">
        <x:v>597</x:v>
      </x:c>
      <x:c r="B598" s="86" t="n">
        <x:v>253</x:v>
      </x:c>
      <x:c r="C598" s="86" t="n">
        <x:v>4</x:v>
      </x:c>
      <x:c r="D598" s="95" t="n">
        <x:v>45715</x:v>
      </x:c>
      <x:c r="E598" s="95" t="n">
        <x:v>45730</x:v>
      </x:c>
      <x:c r="F598" s="86" t="str">
        <x:v>Concluído</x:v>
      </x:c>
      <x:c r="G598" s="86" t="n">
        <x:v>6.9</x:v>
      </x:c>
      <x:c r="H598" s="93" t="n">
        <x:v>291.34</x:v>
      </x:c>
    </x:row>
    <x:row r="599">
      <x:c r="A599" s="85" t="n">
        <x:v>598</x:v>
      </x:c>
      <x:c r="B599" s="86" t="n">
        <x:v>94</x:v>
      </x:c>
      <x:c r="C599" s="86" t="n">
        <x:v>2</x:v>
      </x:c>
      <x:c r="D599" s="95" t="n">
        <x:v>45727</x:v>
      </x:c>
      <x:c r="E599" s="95" t="n">
        <x:v>45745</x:v>
      </x:c>
      <x:c r="F599" s="86" t="str">
        <x:v>Concluído</x:v>
      </x:c>
      <x:c r="G599" s="86" t="n">
        <x:v>5.2</x:v>
      </x:c>
      <x:c r="H599" s="93" t="n">
        <x:v>829.02</x:v>
      </x:c>
    </x:row>
    <x:row r="600">
      <x:c r="A600" s="85" t="n">
        <x:v>599</x:v>
      </x:c>
      <x:c r="B600" s="86" t="n">
        <x:v>216</x:v>
      </x:c>
      <x:c r="C600" s="86" t="n">
        <x:v>8</x:v>
      </x:c>
      <x:c r="D600" s="95" t="n">
        <x:v>46020</x:v>
      </x:c>
      <x:c r="E600" s="95" t="n">
        <x:v>46027</x:v>
      </x:c>
      <x:c r="F600" s="86" t="str">
        <x:v>Concluído</x:v>
      </x:c>
      <x:c r="G600" s="86" t="n">
        <x:v>5.6</x:v>
      </x:c>
      <x:c r="H600" s="93" t="n">
        <x:v>529.64</x:v>
      </x:c>
    </x:row>
    <x:row r="601">
      <x:c r="A601" s="85" t="n">
        <x:v>600</x:v>
      </x:c>
      <x:c r="B601" s="86" t="n">
        <x:v>68</x:v>
      </x:c>
      <x:c r="C601" s="86" t="n">
        <x:v>10</x:v>
      </x:c>
      <x:c r="D601" s="95" t="n">
        <x:v>45724</x:v>
      </x:c>
      <x:c r="E601" s="95"/>
      <x:c r="F601" s="86" t="str">
        <x:v>Não iniciado</x:v>
      </x:c>
      <x:c r="G601" s="86"/>
      <x:c r="H601" s="93" t="n">
        <x:v>756.96</x:v>
      </x:c>
    </x:row>
    <x:row r="602">
      <x:c r="A602" s="85" t="n">
        <x:v>601</x:v>
      </x:c>
      <x:c r="B602" s="86" t="n">
        <x:v>56</x:v>
      </x:c>
      <x:c r="C602" s="86" t="n">
        <x:v>2</x:v>
      </x:c>
      <x:c r="D602" s="95" t="n">
        <x:v>45997</x:v>
      </x:c>
      <x:c r="E602" s="95" t="n">
        <x:v>46007</x:v>
      </x:c>
      <x:c r="F602" s="86" t="str">
        <x:v>Concluído</x:v>
      </x:c>
      <x:c r="G602" s="86" t="n">
        <x:v>7.9</x:v>
      </x:c>
      <x:c r="H602" s="93" t="n">
        <x:v>478.42</x:v>
      </x:c>
    </x:row>
    <x:row r="603">
      <x:c r="A603" s="85" t="n">
        <x:v>602</x:v>
      </x:c>
      <x:c r="B603" s="86" t="n">
        <x:v>56</x:v>
      </x:c>
      <x:c r="C603" s="86" t="n">
        <x:v>7</x:v>
      </x:c>
      <x:c r="D603" s="95" t="n">
        <x:v>45792</x:v>
      </x:c>
      <x:c r="E603" s="95" t="n">
        <x:v>45806</x:v>
      </x:c>
      <x:c r="F603" s="86" t="str">
        <x:v>Concluído</x:v>
      </x:c>
      <x:c r="G603" s="86" t="n">
        <x:v>8</x:v>
      </x:c>
      <x:c r="H603" s="93" t="n">
        <x:v>215.21</x:v>
      </x:c>
    </x:row>
    <x:row r="604">
      <x:c r="A604" s="85" t="n">
        <x:v>603</x:v>
      </x:c>
      <x:c r="B604" s="86" t="n">
        <x:v>308</x:v>
      </x:c>
      <x:c r="C604" s="86" t="n">
        <x:v>1</x:v>
      </x:c>
      <x:c r="D604" s="95" t="n">
        <x:v>45778</x:v>
      </x:c>
      <x:c r="E604" s="95"/>
      <x:c r="F604" s="86" t="str">
        <x:v>Em andamento</x:v>
      </x:c>
      <x:c r="G604" s="86"/>
      <x:c r="H604" s="93" t="n">
        <x:v>304.13</x:v>
      </x:c>
    </x:row>
    <x:row r="605">
      <x:c r="A605" s="85" t="n">
        <x:v>604</x:v>
      </x:c>
      <x:c r="B605" s="86" t="n">
        <x:v>59</x:v>
      </x:c>
      <x:c r="C605" s="86" t="n">
        <x:v>6</x:v>
      </x:c>
      <x:c r="D605" s="95" t="n">
        <x:v>45925</x:v>
      </x:c>
      <x:c r="E605" s="95"/>
      <x:c r="F605" s="86" t="str">
        <x:v>Não iniciado</x:v>
      </x:c>
      <x:c r="G605" s="86"/>
      <x:c r="H605" s="93" t="n">
        <x:v>370.18</x:v>
      </x:c>
    </x:row>
    <x:row r="606">
      <x:c r="A606" s="85" t="n">
        <x:v>605</x:v>
      </x:c>
      <x:c r="B606" s="86" t="n">
        <x:v>97</x:v>
      </x:c>
      <x:c r="C606" s="86" t="n">
        <x:v>3</x:v>
      </x:c>
      <x:c r="D606" s="95" t="n">
        <x:v>45325</x:v>
      </x:c>
      <x:c r="E606" s="95" t="n">
        <x:v>45326</x:v>
      </x:c>
      <x:c r="F606" s="86" t="str">
        <x:v>Concluído</x:v>
      </x:c>
      <x:c r="G606" s="86" t="n">
        <x:v>8.9</x:v>
      </x:c>
      <x:c r="H606" s="93" t="n">
        <x:v>567.96</x:v>
      </x:c>
    </x:row>
    <x:row r="607">
      <x:c r="A607" s="85" t="n">
        <x:v>606</x:v>
      </x:c>
      <x:c r="B607" s="86" t="n">
        <x:v>293</x:v>
      </x:c>
      <x:c r="C607" s="86" t="n">
        <x:v>10</x:v>
      </x:c>
      <x:c r="D607" s="95" t="n">
        <x:v>45706</x:v>
      </x:c>
      <x:c r="E607" s="95" t="n">
        <x:v>45722</x:v>
      </x:c>
      <x:c r="F607" s="86" t="str">
        <x:v>Concluído</x:v>
      </x:c>
      <x:c r="G607" s="86" t="n">
        <x:v>8</x:v>
      </x:c>
      <x:c r="H607" s="93" t="n">
        <x:v>665.41</x:v>
      </x:c>
    </x:row>
    <x:row r="608">
      <x:c r="A608" s="85" t="n">
        <x:v>607</x:v>
      </x:c>
      <x:c r="B608" s="86" t="n">
        <x:v>99</x:v>
      </x:c>
      <x:c r="C608" s="86" t="n">
        <x:v>7</x:v>
      </x:c>
      <x:c r="D608" s="95" t="n">
        <x:v>45470</x:v>
      </x:c>
      <x:c r="E608" s="95" t="n">
        <x:v>45479</x:v>
      </x:c>
      <x:c r="F608" s="86" t="str">
        <x:v>Concluído</x:v>
      </x:c>
      <x:c r="G608" s="86" t="n">
        <x:v>6.8</x:v>
      </x:c>
      <x:c r="H608" s="93" t="n">
        <x:v>139.83</x:v>
      </x:c>
    </x:row>
    <x:row r="609">
      <x:c r="A609" s="85" t="n">
        <x:v>608</x:v>
      </x:c>
      <x:c r="B609" s="86" t="n">
        <x:v>305</x:v>
      </x:c>
      <x:c r="C609" s="86" t="n">
        <x:v>1</x:v>
      </x:c>
      <x:c r="D609" s="95" t="n">
        <x:v>45600</x:v>
      </x:c>
      <x:c r="E609" s="95" t="n">
        <x:v>45616</x:v>
      </x:c>
      <x:c r="F609" s="86" t="str">
        <x:v>Concluído</x:v>
      </x:c>
      <x:c r="G609" s="86" t="n">
        <x:v>6</x:v>
      </x:c>
      <x:c r="H609" s="93" t="n">
        <x:v>622.68</x:v>
      </x:c>
    </x:row>
    <x:row r="610">
      <x:c r="A610" s="85" t="n">
        <x:v>609</x:v>
      </x:c>
      <x:c r="B610" s="86" t="n">
        <x:v>290</x:v>
      </x:c>
      <x:c r="C610" s="86" t="n">
        <x:v>7</x:v>
      </x:c>
      <x:c r="D610" s="95" t="n">
        <x:v>45940</x:v>
      </x:c>
      <x:c r="E610" s="95" t="n">
        <x:v>45956</x:v>
      </x:c>
      <x:c r="F610" s="86" t="str">
        <x:v>Concluído</x:v>
      </x:c>
      <x:c r="G610" s="86" t="n">
        <x:v>5.4</x:v>
      </x:c>
      <x:c r="H610" s="93" t="n">
        <x:v>84.77</x:v>
      </x:c>
    </x:row>
    <x:row r="611">
      <x:c r="A611" s="85" t="n">
        <x:v>610</x:v>
      </x:c>
      <x:c r="B611" s="86" t="n">
        <x:v>372</x:v>
      </x:c>
      <x:c r="C611" s="86" t="n">
        <x:v>4</x:v>
      </x:c>
      <x:c r="D611" s="95" t="n">
        <x:v>45808</x:v>
      </x:c>
      <x:c r="E611" s="95" t="n">
        <x:v>45809</x:v>
      </x:c>
      <x:c r="F611" s="86" t="str">
        <x:v>Concluído</x:v>
      </x:c>
      <x:c r="G611" s="86" t="n">
        <x:v>9.9</x:v>
      </x:c>
      <x:c r="H611" s="93" t="n">
        <x:v>690.75</x:v>
      </x:c>
    </x:row>
    <x:row r="612">
      <x:c r="A612" s="85" t="n">
        <x:v>611</x:v>
      </x:c>
      <x:c r="B612" s="86" t="n">
        <x:v>101</x:v>
      </x:c>
      <x:c r="C612" s="86" t="n">
        <x:v>3</x:v>
      </x:c>
      <x:c r="D612" s="95" t="n">
        <x:v>45903</x:v>
      </x:c>
      <x:c r="E612" s="95" t="n">
        <x:v>45909</x:v>
      </x:c>
      <x:c r="F612" s="86" t="str">
        <x:v>Concluído</x:v>
      </x:c>
      <x:c r="G612" s="86" t="n">
        <x:v>7</x:v>
      </x:c>
      <x:c r="H612" s="93" t="n">
        <x:v>798.55</x:v>
      </x:c>
    </x:row>
    <x:row r="613">
      <x:c r="A613" s="85" t="n">
        <x:v>612</x:v>
      </x:c>
      <x:c r="B613" s="86" t="n">
        <x:v>264</x:v>
      </x:c>
      <x:c r="C613" s="86" t="n">
        <x:v>5</x:v>
      </x:c>
      <x:c r="D613" s="95" t="n">
        <x:v>45825</x:v>
      </x:c>
      <x:c r="E613" s="95" t="n">
        <x:v>45841</x:v>
      </x:c>
      <x:c r="F613" s="86" t="str">
        <x:v>Concluído</x:v>
      </x:c>
      <x:c r="G613" s="86" t="n">
        <x:v>5.9</x:v>
      </x:c>
      <x:c r="H613" s="93" t="n">
        <x:v>154.35</x:v>
      </x:c>
    </x:row>
    <x:row r="614">
      <x:c r="A614" s="85" t="n">
        <x:v>613</x:v>
      </x:c>
      <x:c r="B614" s="86" t="n">
        <x:v>45</x:v>
      </x:c>
      <x:c r="C614" s="86" t="n">
        <x:v>8</x:v>
      </x:c>
      <x:c r="D614" s="95" t="n">
        <x:v>45636</x:v>
      </x:c>
      <x:c r="E614" s="95"/>
      <x:c r="F614" s="86" t="str">
        <x:v>Em andamento</x:v>
      </x:c>
      <x:c r="G614" s="86"/>
      <x:c r="H614" s="93" t="n">
        <x:v>171.11</x:v>
      </x:c>
    </x:row>
    <x:row r="615">
      <x:c r="A615" s="85" t="n">
        <x:v>614</x:v>
      </x:c>
      <x:c r="B615" s="86" t="n">
        <x:v>277</x:v>
      </x:c>
      <x:c r="C615" s="86" t="n">
        <x:v>2</x:v>
      </x:c>
      <x:c r="D615" s="95" t="n">
        <x:v>45537</x:v>
      </x:c>
      <x:c r="E615" s="95"/>
      <x:c r="F615" s="86" t="str">
        <x:v>Em andamento</x:v>
      </x:c>
      <x:c r="G615" s="86"/>
      <x:c r="H615" s="93" t="n">
        <x:v>431.38</x:v>
      </x:c>
    </x:row>
    <x:row r="616">
      <x:c r="A616" s="85" t="n">
        <x:v>615</x:v>
      </x:c>
      <x:c r="B616" s="86" t="n">
        <x:v>223</x:v>
      </x:c>
      <x:c r="C616" s="86" t="n">
        <x:v>3</x:v>
      </x:c>
      <x:c r="D616" s="95" t="n">
        <x:v>45913</x:v>
      </x:c>
      <x:c r="E616" s="95" t="n">
        <x:v>45916</x:v>
      </x:c>
      <x:c r="F616" s="86" t="str">
        <x:v>Concluído</x:v>
      </x:c>
      <x:c r="G616" s="86" t="n">
        <x:v>7.7</x:v>
      </x:c>
      <x:c r="H616" s="93" t="n">
        <x:v>759.82</x:v>
      </x:c>
    </x:row>
    <x:row r="617">
      <x:c r="A617" s="85" t="n">
        <x:v>616</x:v>
      </x:c>
      <x:c r="B617" s="86" t="n">
        <x:v>160</x:v>
      </x:c>
      <x:c r="C617" s="86" t="n">
        <x:v>10</x:v>
      </x:c>
      <x:c r="D617" s="95" t="n">
        <x:v>45590</x:v>
      </x:c>
      <x:c r="E617" s="95" t="n">
        <x:v>45608</x:v>
      </x:c>
      <x:c r="F617" s="86" t="str">
        <x:v>Concluído</x:v>
      </x:c>
      <x:c r="G617" s="86" t="n">
        <x:v>5.2</x:v>
      </x:c>
      <x:c r="H617" s="93" t="n">
        <x:v>836.38</x:v>
      </x:c>
    </x:row>
    <x:row r="618">
      <x:c r="A618" s="85" t="n">
        <x:v>617</x:v>
      </x:c>
      <x:c r="B618" s="86" t="n">
        <x:v>103</x:v>
      </x:c>
      <x:c r="C618" s="86" t="n">
        <x:v>3</x:v>
      </x:c>
      <x:c r="D618" s="95" t="n">
        <x:v>45981</x:v>
      </x:c>
      <x:c r="E618" s="95" t="n">
        <x:v>45998</x:v>
      </x:c>
      <x:c r="F618" s="86" t="str">
        <x:v>Concluído</x:v>
      </x:c>
      <x:c r="G618" s="86" t="n">
        <x:v>7.7</x:v>
      </x:c>
      <x:c r="H618" s="93" t="n">
        <x:v>147.44</x:v>
      </x:c>
    </x:row>
    <x:row r="619">
      <x:c r="A619" s="85" t="n">
        <x:v>618</x:v>
      </x:c>
      <x:c r="B619" s="86" t="n">
        <x:v>263</x:v>
      </x:c>
      <x:c r="C619" s="86" t="n">
        <x:v>6</x:v>
      </x:c>
      <x:c r="D619" s="95" t="n">
        <x:v>45609</x:v>
      </x:c>
      <x:c r="E619" s="95"/>
      <x:c r="F619" s="86" t="str">
        <x:v>Em andamento</x:v>
      </x:c>
      <x:c r="G619" s="86"/>
      <x:c r="H619" s="93" t="n">
        <x:v>776.68</x:v>
      </x:c>
    </x:row>
    <x:row r="620">
      <x:c r="A620" s="85" t="n">
        <x:v>619</x:v>
      </x:c>
      <x:c r="B620" s="86" t="n">
        <x:v>239</x:v>
      </x:c>
      <x:c r="C620" s="86" t="n">
        <x:v>6</x:v>
      </x:c>
      <x:c r="D620" s="95" t="n">
        <x:v>45307</x:v>
      </x:c>
      <x:c r="E620" s="95" t="n">
        <x:v>45323</x:v>
      </x:c>
      <x:c r="F620" s="86" t="str">
        <x:v>Concluído</x:v>
      </x:c>
      <x:c r="G620" s="86" t="n">
        <x:v>8.8</x:v>
      </x:c>
      <x:c r="H620" s="93" t="n">
        <x:v>223.44</x:v>
      </x:c>
    </x:row>
    <x:row r="621">
      <x:c r="A621" s="85" t="n">
        <x:v>620</x:v>
      </x:c>
      <x:c r="B621" s="86" t="n">
        <x:v>380</x:v>
      </x:c>
      <x:c r="C621" s="86" t="n">
        <x:v>6</x:v>
      </x:c>
      <x:c r="D621" s="95" t="n">
        <x:v>45403</x:v>
      </x:c>
      <x:c r="E621" s="95" t="n">
        <x:v>45408</x:v>
      </x:c>
      <x:c r="F621" s="86" t="str">
        <x:v>Concluído</x:v>
      </x:c>
      <x:c r="G621" s="86" t="n">
        <x:v>7.9</x:v>
      </x:c>
      <x:c r="H621" s="93" t="n">
        <x:v>657.37</x:v>
      </x:c>
    </x:row>
    <x:row r="622">
      <x:c r="A622" s="85" t="n">
        <x:v>621</x:v>
      </x:c>
      <x:c r="B622" s="86" t="n">
        <x:v>203</x:v>
      </x:c>
      <x:c r="C622" s="86" t="n">
        <x:v>8</x:v>
      </x:c>
      <x:c r="D622" s="95" t="n">
        <x:v>45592</x:v>
      </x:c>
      <x:c r="E622" s="95" t="n">
        <x:v>45599</x:v>
      </x:c>
      <x:c r="F622" s="86" t="str">
        <x:v>Concluído</x:v>
      </x:c>
      <x:c r="G622" s="86" t="n">
        <x:v>6.8</x:v>
      </x:c>
      <x:c r="H622" s="93" t="n">
        <x:v>760.87</x:v>
      </x:c>
    </x:row>
    <x:row r="623">
      <x:c r="A623" s="85" t="n">
        <x:v>622</x:v>
      </x:c>
      <x:c r="B623" s="86" t="n">
        <x:v>73</x:v>
      </x:c>
      <x:c r="C623" s="86" t="n">
        <x:v>6</x:v>
      </x:c>
      <x:c r="D623" s="95" t="n">
        <x:v>46001</x:v>
      </x:c>
      <x:c r="E623" s="95" t="n">
        <x:v>46018</x:v>
      </x:c>
      <x:c r="F623" s="86" t="str">
        <x:v>Concluído</x:v>
      </x:c>
      <x:c r="G623" s="86" t="n">
        <x:v>5.4</x:v>
      </x:c>
      <x:c r="H623" s="93" t="n">
        <x:v>204.91</x:v>
      </x:c>
    </x:row>
    <x:row r="624">
      <x:c r="A624" s="85" t="n">
        <x:v>623</x:v>
      </x:c>
      <x:c r="B624" s="86" t="n">
        <x:v>190</x:v>
      </x:c>
      <x:c r="C624" s="86" t="n">
        <x:v>5</x:v>
      </x:c>
      <x:c r="D624" s="95" t="n">
        <x:v>45989</x:v>
      </x:c>
      <x:c r="E624" s="95"/>
      <x:c r="F624" s="86" t="str">
        <x:v>Em andamento</x:v>
      </x:c>
      <x:c r="G624" s="86"/>
      <x:c r="H624" s="93" t="n">
        <x:v>121.31</x:v>
      </x:c>
    </x:row>
    <x:row r="625">
      <x:c r="A625" s="85" t="n">
        <x:v>624</x:v>
      </x:c>
      <x:c r="B625" s="86" t="n">
        <x:v>400</x:v>
      </x:c>
      <x:c r="C625" s="86" t="n">
        <x:v>3</x:v>
      </x:c>
      <x:c r="D625" s="95" t="n">
        <x:v>45298</x:v>
      </x:c>
      <x:c r="E625" s="95" t="n">
        <x:v>45303</x:v>
      </x:c>
      <x:c r="F625" s="86" t="str">
        <x:v>Concluído</x:v>
      </x:c>
      <x:c r="G625" s="86" t="n">
        <x:v>7.2</x:v>
      </x:c>
      <x:c r="H625" s="93" t="n">
        <x:v>429.16</x:v>
      </x:c>
    </x:row>
    <x:row r="626">
      <x:c r="A626" s="85" t="n">
        <x:v>625</x:v>
      </x:c>
      <x:c r="B626" s="86" t="n">
        <x:v>218</x:v>
      </x:c>
      <x:c r="C626" s="86" t="n">
        <x:v>10</x:v>
      </x:c>
      <x:c r="D626" s="95" t="n">
        <x:v>45370</x:v>
      </x:c>
      <x:c r="E626" s="95"/>
      <x:c r="F626" s="86" t="str">
        <x:v>Não iniciado</x:v>
      </x:c>
      <x:c r="G626" s="86"/>
      <x:c r="H626" s="93" t="n">
        <x:v>265.4</x:v>
      </x:c>
    </x:row>
    <x:row r="627">
      <x:c r="A627" s="85" t="n">
        <x:v>626</x:v>
      </x:c>
      <x:c r="B627" s="86" t="n">
        <x:v>144</x:v>
      </x:c>
      <x:c r="C627" s="86" t="n">
        <x:v>6</x:v>
      </x:c>
      <x:c r="D627" s="95" t="n">
        <x:v>45999</x:v>
      </x:c>
      <x:c r="E627" s="95" t="n">
        <x:v>46019</x:v>
      </x:c>
      <x:c r="F627" s="86" t="str">
        <x:v>Concluído</x:v>
      </x:c>
      <x:c r="G627" s="86" t="n">
        <x:v>9.2</x:v>
      </x:c>
      <x:c r="H627" s="93" t="n">
        <x:v>256.61</x:v>
      </x:c>
    </x:row>
    <x:row r="628">
      <x:c r="A628" s="85" t="n">
        <x:v>627</x:v>
      </x:c>
      <x:c r="B628" s="86" t="n">
        <x:v>366</x:v>
      </x:c>
      <x:c r="C628" s="86" t="n">
        <x:v>6</x:v>
      </x:c>
      <x:c r="D628" s="95" t="n">
        <x:v>45653</x:v>
      </x:c>
      <x:c r="E628" s="95" t="n">
        <x:v>45671</x:v>
      </x:c>
      <x:c r="F628" s="86" t="str">
        <x:v>Concluído</x:v>
      </x:c>
      <x:c r="G628" s="86" t="n">
        <x:v>9.8</x:v>
      </x:c>
      <x:c r="H628" s="93" t="n">
        <x:v>325.17</x:v>
      </x:c>
    </x:row>
    <x:row r="629">
      <x:c r="A629" s="85" t="n">
        <x:v>628</x:v>
      </x:c>
      <x:c r="B629" s="86" t="n">
        <x:v>40</x:v>
      </x:c>
      <x:c r="C629" s="86" t="n">
        <x:v>10</x:v>
      </x:c>
      <x:c r="D629" s="95" t="n">
        <x:v>45516</x:v>
      </x:c>
      <x:c r="E629" s="95" t="n">
        <x:v>45529</x:v>
      </x:c>
      <x:c r="F629" s="86" t="str">
        <x:v>Concluído</x:v>
      </x:c>
      <x:c r="G629" s="86" t="n">
        <x:v>7.9</x:v>
      </x:c>
      <x:c r="H629" s="93" t="n">
        <x:v>430.31</x:v>
      </x:c>
    </x:row>
    <x:row r="630">
      <x:c r="A630" s="85" t="n">
        <x:v>629</x:v>
      </x:c>
      <x:c r="B630" s="86" t="n">
        <x:v>68</x:v>
      </x:c>
      <x:c r="C630" s="86" t="n">
        <x:v>10</x:v>
      </x:c>
      <x:c r="D630" s="95" t="n">
        <x:v>45759</x:v>
      </x:c>
      <x:c r="E630" s="95" t="n">
        <x:v>45768</x:v>
      </x:c>
      <x:c r="F630" s="86" t="str">
        <x:v>Concluído</x:v>
      </x:c>
      <x:c r="G630" s="86" t="n">
        <x:v>10</x:v>
      </x:c>
      <x:c r="H630" s="93" t="n">
        <x:v>756.6</x:v>
      </x:c>
    </x:row>
    <x:row r="631">
      <x:c r="A631" s="85" t="n">
        <x:v>630</x:v>
      </x:c>
      <x:c r="B631" s="86" t="n">
        <x:v>44</x:v>
      </x:c>
      <x:c r="C631" s="86" t="n">
        <x:v>6</x:v>
      </x:c>
      <x:c r="D631" s="95" t="n">
        <x:v>45842</x:v>
      </x:c>
      <x:c r="E631" s="95" t="n">
        <x:v>45847</x:v>
      </x:c>
      <x:c r="F631" s="86" t="str">
        <x:v>Concluído</x:v>
      </x:c>
      <x:c r="G631" s="86" t="n">
        <x:v>8.6</x:v>
      </x:c>
      <x:c r="H631" s="93" t="n">
        <x:v>639.34</x:v>
      </x:c>
    </x:row>
    <x:row r="632">
      <x:c r="A632" s="85" t="n">
        <x:v>631</x:v>
      </x:c>
      <x:c r="B632" s="86" t="n">
        <x:v>135</x:v>
      </x:c>
      <x:c r="C632" s="86" t="n">
        <x:v>6</x:v>
      </x:c>
      <x:c r="D632" s="95" t="n">
        <x:v>45892</x:v>
      </x:c>
      <x:c r="E632" s="95" t="n">
        <x:v>45892</x:v>
      </x:c>
      <x:c r="F632" s="86" t="str">
        <x:v>Concluído</x:v>
      </x:c>
      <x:c r="G632" s="86" t="n">
        <x:v>8.3</x:v>
      </x:c>
      <x:c r="H632" s="93" t="n">
        <x:v>300.8</x:v>
      </x:c>
    </x:row>
    <x:row r="633">
      <x:c r="A633" s="85" t="n">
        <x:v>632</x:v>
      </x:c>
      <x:c r="B633" s="86" t="n">
        <x:v>254</x:v>
      </x:c>
      <x:c r="C633" s="86" t="n">
        <x:v>3</x:v>
      </x:c>
      <x:c r="D633" s="95" t="n">
        <x:v>45901</x:v>
      </x:c>
      <x:c r="E633" s="95" t="n">
        <x:v>45914</x:v>
      </x:c>
      <x:c r="F633" s="86" t="str">
        <x:v>Concluído</x:v>
      </x:c>
      <x:c r="G633" s="86" t="n">
        <x:v>8.3</x:v>
      </x:c>
      <x:c r="H633" s="93" t="n">
        <x:v>670.19</x:v>
      </x:c>
    </x:row>
    <x:row r="634">
      <x:c r="A634" s="85" t="n">
        <x:v>633</x:v>
      </x:c>
      <x:c r="B634" s="86" t="n">
        <x:v>162</x:v>
      </x:c>
      <x:c r="C634" s="86" t="n">
        <x:v>5</x:v>
      </x:c>
      <x:c r="D634" s="95" t="n">
        <x:v>45908</x:v>
      </x:c>
      <x:c r="E634" s="95"/>
      <x:c r="F634" s="86" t="str">
        <x:v>Em andamento</x:v>
      </x:c>
      <x:c r="G634" s="86"/>
      <x:c r="H634" s="93" t="n">
        <x:v>728.94</x:v>
      </x:c>
    </x:row>
    <x:row r="635">
      <x:c r="A635" s="85" t="n">
        <x:v>634</x:v>
      </x:c>
      <x:c r="B635" s="86" t="n">
        <x:v>229</x:v>
      </x:c>
      <x:c r="C635" s="86" t="n">
        <x:v>4</x:v>
      </x:c>
      <x:c r="D635" s="95" t="n">
        <x:v>45301</x:v>
      </x:c>
      <x:c r="E635" s="95"/>
      <x:c r="F635" s="86" t="str">
        <x:v>Não iniciado</x:v>
      </x:c>
      <x:c r="G635" s="86"/>
      <x:c r="H635" s="93" t="n">
        <x:v>302.01</x:v>
      </x:c>
    </x:row>
    <x:row r="636">
      <x:c r="A636" s="85" t="n">
        <x:v>635</x:v>
      </x:c>
      <x:c r="B636" s="86" t="n">
        <x:v>4</x:v>
      </x:c>
      <x:c r="C636" s="86" t="n">
        <x:v>9</x:v>
      </x:c>
      <x:c r="D636" s="95" t="n">
        <x:v>45918</x:v>
      </x:c>
      <x:c r="E636" s="95"/>
      <x:c r="F636" s="86" t="str">
        <x:v>Não iniciado</x:v>
      </x:c>
      <x:c r="G636" s="86"/>
      <x:c r="H636" s="93" t="n">
        <x:v>115.12</x:v>
      </x:c>
    </x:row>
    <x:row r="637">
      <x:c r="A637" s="85" t="n">
        <x:v>636</x:v>
      </x:c>
      <x:c r="B637" s="86" t="n">
        <x:v>47</x:v>
      </x:c>
      <x:c r="C637" s="86" t="n">
        <x:v>3</x:v>
      </x:c>
      <x:c r="D637" s="95" t="n">
        <x:v>45362</x:v>
      </x:c>
      <x:c r="E637" s="95" t="n">
        <x:v>45366</x:v>
      </x:c>
      <x:c r="F637" s="86" t="str">
        <x:v>Concluído</x:v>
      </x:c>
      <x:c r="G637" s="86" t="n">
        <x:v>6.8</x:v>
      </x:c>
      <x:c r="H637" s="93" t="n">
        <x:v>91.33</x:v>
      </x:c>
    </x:row>
    <x:row r="638">
      <x:c r="A638" s="85" t="n">
        <x:v>637</x:v>
      </x:c>
      <x:c r="B638" s="86" t="n">
        <x:v>359</x:v>
      </x:c>
      <x:c r="C638" s="86" t="n">
        <x:v>4</x:v>
      </x:c>
      <x:c r="D638" s="95" t="n">
        <x:v>45884</x:v>
      </x:c>
      <x:c r="E638" s="95" t="n">
        <x:v>45894</x:v>
      </x:c>
      <x:c r="F638" s="86" t="str">
        <x:v>Concluído</x:v>
      </x:c>
      <x:c r="G638" s="86" t="n">
        <x:v>7.2</x:v>
      </x:c>
      <x:c r="H638" s="93" t="n">
        <x:v>776.87</x:v>
      </x:c>
    </x:row>
    <x:row r="639">
      <x:c r="A639" s="85" t="n">
        <x:v>638</x:v>
      </x:c>
      <x:c r="B639" s="86" t="n">
        <x:v>81</x:v>
      </x:c>
      <x:c r="C639" s="86" t="n">
        <x:v>6</x:v>
      </x:c>
      <x:c r="D639" s="95" t="n">
        <x:v>45518</x:v>
      </x:c>
      <x:c r="E639" s="95" t="n">
        <x:v>45523</x:v>
      </x:c>
      <x:c r="F639" s="86" t="str">
        <x:v>Reprovado</x:v>
      </x:c>
      <x:c r="G639" s="86" t="n">
        <x:v>8.4</x:v>
      </x:c>
      <x:c r="H639" s="93" t="n">
        <x:v>295.76</x:v>
      </x:c>
    </x:row>
    <x:row r="640">
      <x:c r="A640" s="85" t="n">
        <x:v>639</x:v>
      </x:c>
      <x:c r="B640" s="86" t="n">
        <x:v>367</x:v>
      </x:c>
      <x:c r="C640" s="86" t="n">
        <x:v>7</x:v>
      </x:c>
      <x:c r="D640" s="95" t="n">
        <x:v>46006</x:v>
      </x:c>
      <x:c r="E640" s="95" t="n">
        <x:v>46010</x:v>
      </x:c>
      <x:c r="F640" s="86" t="str">
        <x:v>Concluído</x:v>
      </x:c>
      <x:c r="G640" s="86" t="n">
        <x:v>9.8</x:v>
      </x:c>
      <x:c r="H640" s="93" t="n">
        <x:v>626.58</x:v>
      </x:c>
    </x:row>
    <x:row r="641">
      <x:c r="A641" s="85" t="n">
        <x:v>640</x:v>
      </x:c>
      <x:c r="B641" s="86" t="n">
        <x:v>180</x:v>
      </x:c>
      <x:c r="C641" s="86" t="n">
        <x:v>5</x:v>
      </x:c>
      <x:c r="D641" s="95" t="n">
        <x:v>45667</x:v>
      </x:c>
      <x:c r="E641" s="95" t="n">
        <x:v>45682</x:v>
      </x:c>
      <x:c r="F641" s="86" t="str">
        <x:v>Concluído</x:v>
      </x:c>
      <x:c r="G641" s="86" t="n">
        <x:v>5.5</x:v>
      </x:c>
      <x:c r="H641" s="93" t="n">
        <x:v>418.08</x:v>
      </x:c>
    </x:row>
    <x:row r="642">
      <x:c r="A642" s="85" t="n">
        <x:v>641</x:v>
      </x:c>
      <x:c r="B642" s="86" t="n">
        <x:v>300</x:v>
      </x:c>
      <x:c r="C642" s="86" t="n">
        <x:v>7</x:v>
      </x:c>
      <x:c r="D642" s="95" t="n">
        <x:v>45415</x:v>
      </x:c>
      <x:c r="E642" s="95" t="n">
        <x:v>45417</x:v>
      </x:c>
      <x:c r="F642" s="86" t="str">
        <x:v>Concluído</x:v>
      </x:c>
      <x:c r="G642" s="86" t="n">
        <x:v>9.1</x:v>
      </x:c>
      <x:c r="H642" s="93" t="n">
        <x:v>158.06</x:v>
      </x:c>
    </x:row>
    <x:row r="643">
      <x:c r="A643" s="85" t="n">
        <x:v>642</x:v>
      </x:c>
      <x:c r="B643" s="86" t="n">
        <x:v>128</x:v>
      </x:c>
      <x:c r="C643" s="86" t="n">
        <x:v>1</x:v>
      </x:c>
      <x:c r="D643" s="95" t="n">
        <x:v>45792</x:v>
      </x:c>
      <x:c r="E643" s="95" t="n">
        <x:v>45808</x:v>
      </x:c>
      <x:c r="F643" s="86" t="str">
        <x:v>Concluído</x:v>
      </x:c>
      <x:c r="G643" s="86" t="n">
        <x:v>7.2</x:v>
      </x:c>
      <x:c r="H643" s="93" t="n">
        <x:v>580.2</x:v>
      </x:c>
    </x:row>
    <x:row r="644">
      <x:c r="A644" s="85" t="n">
        <x:v>643</x:v>
      </x:c>
      <x:c r="B644" s="86" t="n">
        <x:v>410</x:v>
      </x:c>
      <x:c r="C644" s="86" t="n">
        <x:v>10</x:v>
      </x:c>
      <x:c r="D644" s="95" t="n">
        <x:v>45942</x:v>
      </x:c>
      <x:c r="E644" s="95"/>
      <x:c r="F644" s="86" t="str">
        <x:v>Não iniciado</x:v>
      </x:c>
      <x:c r="G644" s="86"/>
      <x:c r="H644" s="93" t="n">
        <x:v>753.69</x:v>
      </x:c>
    </x:row>
    <x:row r="645">
      <x:c r="A645" s="85" t="n">
        <x:v>644</x:v>
      </x:c>
      <x:c r="B645" s="86" t="n">
        <x:v>14</x:v>
      </x:c>
      <x:c r="C645" s="86" t="n">
        <x:v>1</x:v>
      </x:c>
      <x:c r="D645" s="95" t="n">
        <x:v>45991</x:v>
      </x:c>
      <x:c r="E645" s="95" t="n">
        <x:v>45998</x:v>
      </x:c>
      <x:c r="F645" s="86" t="str">
        <x:v>Concluído</x:v>
      </x:c>
      <x:c r="G645" s="86" t="n">
        <x:v>7.1</x:v>
      </x:c>
      <x:c r="H645" s="93" t="n">
        <x:v>605.23</x:v>
      </x:c>
    </x:row>
    <x:row r="646">
      <x:c r="A646" s="85" t="n">
        <x:v>645</x:v>
      </x:c>
      <x:c r="B646" s="86" t="n">
        <x:v>12</x:v>
      </x:c>
      <x:c r="C646" s="86" t="n">
        <x:v>7</x:v>
      </x:c>
      <x:c r="D646" s="95" t="n">
        <x:v>45595</x:v>
      </x:c>
      <x:c r="E646" s="95" t="n">
        <x:v>45607</x:v>
      </x:c>
      <x:c r="F646" s="86" t="str">
        <x:v>Reprovado</x:v>
      </x:c>
      <x:c r="G646" s="86" t="n">
        <x:v>7.1</x:v>
      </x:c>
      <x:c r="H646" s="93" t="n">
        <x:v>212.37</x:v>
      </x:c>
    </x:row>
    <x:row r="647">
      <x:c r="A647" s="85" t="n">
        <x:v>646</x:v>
      </x:c>
      <x:c r="B647" s="86" t="n">
        <x:v>296</x:v>
      </x:c>
      <x:c r="C647" s="86" t="n">
        <x:v>7</x:v>
      </x:c>
      <x:c r="D647" s="95" t="n">
        <x:v>46016</x:v>
      </x:c>
      <x:c r="E647" s="95" t="n">
        <x:v>46020</x:v>
      </x:c>
      <x:c r="F647" s="86" t="str">
        <x:v>Concluído</x:v>
      </x:c>
      <x:c r="G647" s="86" t="n">
        <x:v>9.5</x:v>
      </x:c>
      <x:c r="H647" s="93" t="n">
        <x:v>390.42</x:v>
      </x:c>
    </x:row>
    <x:row r="648">
      <x:c r="A648" s="85" t="n">
        <x:v>647</x:v>
      </x:c>
      <x:c r="B648" s="86" t="n">
        <x:v>396</x:v>
      </x:c>
      <x:c r="C648" s="86" t="n">
        <x:v>5</x:v>
      </x:c>
      <x:c r="D648" s="95" t="n">
        <x:v>45788</x:v>
      </x:c>
      <x:c r="E648" s="95" t="n">
        <x:v>45791</x:v>
      </x:c>
      <x:c r="F648" s="86" t="str">
        <x:v>Concluído</x:v>
      </x:c>
      <x:c r="G648" s="86" t="n">
        <x:v>8.8</x:v>
      </x:c>
      <x:c r="H648" s="93" t="n">
        <x:v>334.12</x:v>
      </x:c>
    </x:row>
    <x:row r="649">
      <x:c r="A649" s="85" t="n">
        <x:v>648</x:v>
      </x:c>
      <x:c r="B649" s="86" t="n">
        <x:v>16</x:v>
      </x:c>
      <x:c r="C649" s="86" t="n">
        <x:v>10</x:v>
      </x:c>
      <x:c r="D649" s="95" t="n">
        <x:v>45293</x:v>
      </x:c>
      <x:c r="E649" s="95" t="n">
        <x:v>45298</x:v>
      </x:c>
      <x:c r="F649" s="86" t="str">
        <x:v>Concluído</x:v>
      </x:c>
      <x:c r="G649" s="86" t="n">
        <x:v>8.7</x:v>
      </x:c>
      <x:c r="H649" s="93" t="n">
        <x:v>86.53</x:v>
      </x:c>
    </x:row>
    <x:row r="650">
      <x:c r="A650" s="85" t="n">
        <x:v>649</x:v>
      </x:c>
      <x:c r="B650" s="86" t="n">
        <x:v>49</x:v>
      </x:c>
      <x:c r="C650" s="86" t="n">
        <x:v>2</x:v>
      </x:c>
      <x:c r="D650" s="95" t="n">
        <x:v>45810</x:v>
      </x:c>
      <x:c r="E650" s="95"/>
      <x:c r="F650" s="86" t="str">
        <x:v>Em andamento</x:v>
      </x:c>
      <x:c r="G650" s="86"/>
      <x:c r="H650" s="93" t="n">
        <x:v>578.67</x:v>
      </x:c>
    </x:row>
    <x:row r="651">
      <x:c r="A651" s="85" t="n">
        <x:v>650</x:v>
      </x:c>
      <x:c r="B651" s="86" t="n">
        <x:v>403</x:v>
      </x:c>
      <x:c r="C651" s="86" t="n">
        <x:v>4</x:v>
      </x:c>
      <x:c r="D651" s="95" t="n">
        <x:v>45749</x:v>
      </x:c>
      <x:c r="E651" s="95" t="n">
        <x:v>45762</x:v>
      </x:c>
      <x:c r="F651" s="86" t="str">
        <x:v>Concluído</x:v>
      </x:c>
      <x:c r="G651" s="86" t="n">
        <x:v>7.6</x:v>
      </x:c>
      <x:c r="H651" s="93" t="n">
        <x:v>518.27</x:v>
      </x:c>
    </x:row>
    <x:row r="652">
      <x:c r="A652" s="85" t="n">
        <x:v>651</x:v>
      </x:c>
      <x:c r="B652" s="86" t="n">
        <x:v>163</x:v>
      </x:c>
      <x:c r="C652" s="86" t="n">
        <x:v>4</x:v>
      </x:c>
      <x:c r="D652" s="95" t="n">
        <x:v>45436</x:v>
      </x:c>
      <x:c r="E652" s="95" t="n">
        <x:v>45450</x:v>
      </x:c>
      <x:c r="F652" s="86" t="str">
        <x:v>Concluído</x:v>
      </x:c>
      <x:c r="G652" s="86" t="n">
        <x:v>5.5</x:v>
      </x:c>
      <x:c r="H652" s="93" t="n">
        <x:v>536.98</x:v>
      </x:c>
    </x:row>
    <x:row r="653">
      <x:c r="A653" s="85" t="n">
        <x:v>652</x:v>
      </x:c>
      <x:c r="B653" s="86" t="n">
        <x:v>62</x:v>
      </x:c>
      <x:c r="C653" s="86" t="n">
        <x:v>7</x:v>
      </x:c>
      <x:c r="D653" s="95" t="n">
        <x:v>45876</x:v>
      </x:c>
      <x:c r="E653" s="95"/>
      <x:c r="F653" s="86" t="str">
        <x:v>Em andamento</x:v>
      </x:c>
      <x:c r="G653" s="86"/>
      <x:c r="H653" s="93" t="n">
        <x:v>100.36</x:v>
      </x:c>
    </x:row>
    <x:row r="654">
      <x:c r="A654" s="85" t="n">
        <x:v>653</x:v>
      </x:c>
      <x:c r="B654" s="86" t="n">
        <x:v>274</x:v>
      </x:c>
      <x:c r="C654" s="86" t="n">
        <x:v>7</x:v>
      </x:c>
      <x:c r="D654" s="95" t="n">
        <x:v>46003</x:v>
      </x:c>
      <x:c r="E654" s="95" t="n">
        <x:v>46013</x:v>
      </x:c>
      <x:c r="F654" s="86" t="str">
        <x:v>Concluído</x:v>
      </x:c>
      <x:c r="G654" s="86" t="n">
        <x:v>6.7</x:v>
      </x:c>
      <x:c r="H654" s="93" t="n">
        <x:v>287.97</x:v>
      </x:c>
    </x:row>
    <x:row r="655">
      <x:c r="A655" s="85" t="n">
        <x:v>654</x:v>
      </x:c>
      <x:c r="B655" s="86" t="n">
        <x:v>300</x:v>
      </x:c>
      <x:c r="C655" s="86" t="n">
        <x:v>5</x:v>
      </x:c>
      <x:c r="D655" s="95" t="n">
        <x:v>45399</x:v>
      </x:c>
      <x:c r="E655" s="95" t="n">
        <x:v>45411</x:v>
      </x:c>
      <x:c r="F655" s="86" t="str">
        <x:v>Concluído</x:v>
      </x:c>
      <x:c r="G655" s="86" t="n">
        <x:v>8.3</x:v>
      </x:c>
      <x:c r="H655" s="93" t="n">
        <x:v>382.64</x:v>
      </x:c>
    </x:row>
    <x:row r="656">
      <x:c r="A656" s="85" t="n">
        <x:v>655</x:v>
      </x:c>
      <x:c r="B656" s="86" t="n">
        <x:v>164</x:v>
      </x:c>
      <x:c r="C656" s="86" t="n">
        <x:v>8</x:v>
      </x:c>
      <x:c r="D656" s="95" t="n">
        <x:v>45940</x:v>
      </x:c>
      <x:c r="E656" s="95"/>
      <x:c r="F656" s="86" t="str">
        <x:v>Não iniciado</x:v>
      </x:c>
      <x:c r="G656" s="86"/>
      <x:c r="H656" s="93" t="n">
        <x:v>704.22</x:v>
      </x:c>
    </x:row>
    <x:row r="657">
      <x:c r="A657" s="85" t="n">
        <x:v>656</x:v>
      </x:c>
      <x:c r="B657" s="86" t="n">
        <x:v>365</x:v>
      </x:c>
      <x:c r="C657" s="86" t="n">
        <x:v>9</x:v>
      </x:c>
      <x:c r="D657" s="95" t="n">
        <x:v>45833</x:v>
      </x:c>
      <x:c r="E657" s="95" t="n">
        <x:v>45847</x:v>
      </x:c>
      <x:c r="F657" s="86" t="str">
        <x:v>Concluído</x:v>
      </x:c>
      <x:c r="G657" s="86" t="n">
        <x:v>10</x:v>
      </x:c>
      <x:c r="H657" s="93" t="n">
        <x:v>700.47</x:v>
      </x:c>
    </x:row>
    <x:row r="658">
      <x:c r="A658" s="85" t="n">
        <x:v>657</x:v>
      </x:c>
      <x:c r="B658" s="86" t="n">
        <x:v>310</x:v>
      </x:c>
      <x:c r="C658" s="86" t="n">
        <x:v>1</x:v>
      </x:c>
      <x:c r="D658" s="95" t="n">
        <x:v>45858</x:v>
      </x:c>
      <x:c r="E658" s="95" t="n">
        <x:v>45863</x:v>
      </x:c>
      <x:c r="F658" s="86" t="str">
        <x:v>Concluído</x:v>
      </x:c>
      <x:c r="G658" s="86" t="n">
        <x:v>8.5</x:v>
      </x:c>
      <x:c r="H658" s="93" t="n">
        <x:v>436.86</x:v>
      </x:c>
    </x:row>
    <x:row r="659">
      <x:c r="A659" s="85" t="n">
        <x:v>658</x:v>
      </x:c>
      <x:c r="B659" s="86" t="n">
        <x:v>1</x:v>
      </x:c>
      <x:c r="C659" s="86" t="n">
        <x:v>1</x:v>
      </x:c>
      <x:c r="D659" s="95" t="n">
        <x:v>45931</x:v>
      </x:c>
      <x:c r="E659" s="95" t="n">
        <x:v>45937</x:v>
      </x:c>
      <x:c r="F659" s="86" t="str">
        <x:v>Concluído</x:v>
      </x:c>
      <x:c r="G659" s="86" t="n">
        <x:v>5.4</x:v>
      </x:c>
      <x:c r="H659" s="93" t="n">
        <x:v>411.19</x:v>
      </x:c>
    </x:row>
    <x:row r="660">
      <x:c r="A660" s="85" t="n">
        <x:v>659</x:v>
      </x:c>
      <x:c r="B660" s="86" t="n">
        <x:v>281</x:v>
      </x:c>
      <x:c r="C660" s="86" t="n">
        <x:v>7</x:v>
      </x:c>
      <x:c r="D660" s="95" t="n">
        <x:v>45736</x:v>
      </x:c>
      <x:c r="E660" s="95"/>
      <x:c r="F660" s="86" t="str">
        <x:v>Não iniciado</x:v>
      </x:c>
      <x:c r="G660" s="86"/>
      <x:c r="H660" s="93" t="n">
        <x:v>559.45</x:v>
      </x:c>
    </x:row>
    <x:row r="661">
      <x:c r="A661" s="85" t="n">
        <x:v>660</x:v>
      </x:c>
      <x:c r="B661" s="86" t="n">
        <x:v>367</x:v>
      </x:c>
      <x:c r="C661" s="86" t="n">
        <x:v>8</x:v>
      </x:c>
      <x:c r="D661" s="95" t="n">
        <x:v>45978</x:v>
      </x:c>
      <x:c r="E661" s="95" t="n">
        <x:v>45986</x:v>
      </x:c>
      <x:c r="F661" s="86" t="str">
        <x:v>Concluído</x:v>
      </x:c>
      <x:c r="G661" s="86" t="n">
        <x:v>6.8</x:v>
      </x:c>
      <x:c r="H661" s="93" t="n">
        <x:v>737.9</x:v>
      </x:c>
    </x:row>
    <x:row r="662">
      <x:c r="A662" s="85" t="n">
        <x:v>661</x:v>
      </x:c>
      <x:c r="B662" s="86" t="n">
        <x:v>263</x:v>
      </x:c>
      <x:c r="C662" s="86" t="n">
        <x:v>7</x:v>
      </x:c>
      <x:c r="D662" s="95" t="n">
        <x:v>45491</x:v>
      </x:c>
      <x:c r="E662" s="95" t="n">
        <x:v>45493</x:v>
      </x:c>
      <x:c r="F662" s="86" t="str">
        <x:v>Reprovado</x:v>
      </x:c>
      <x:c r="G662" s="86" t="n">
        <x:v>6.5</x:v>
      </x:c>
      <x:c r="H662" s="93" t="n">
        <x:v>335.1</x:v>
      </x:c>
    </x:row>
    <x:row r="663">
      <x:c r="A663" s="85" t="n">
        <x:v>662</x:v>
      </x:c>
      <x:c r="B663" s="86" t="n">
        <x:v>367</x:v>
      </x:c>
      <x:c r="C663" s="86" t="n">
        <x:v>4</x:v>
      </x:c>
      <x:c r="D663" s="95" t="n">
        <x:v>45980</x:v>
      </x:c>
      <x:c r="E663" s="95" t="n">
        <x:v>45995</x:v>
      </x:c>
      <x:c r="F663" s="86" t="str">
        <x:v>Concluído</x:v>
      </x:c>
      <x:c r="G663" s="86" t="n">
        <x:v>8.4</x:v>
      </x:c>
      <x:c r="H663" s="93" t="n">
        <x:v>300.06</x:v>
      </x:c>
    </x:row>
    <x:row r="664">
      <x:c r="A664" s="85" t="n">
        <x:v>663</x:v>
      </x:c>
      <x:c r="B664" s="86" t="n">
        <x:v>111</x:v>
      </x:c>
      <x:c r="C664" s="86" t="n">
        <x:v>2</x:v>
      </x:c>
      <x:c r="D664" s="95" t="n">
        <x:v>45903</x:v>
      </x:c>
      <x:c r="E664" s="95" t="n">
        <x:v>45911</x:v>
      </x:c>
      <x:c r="F664" s="86" t="str">
        <x:v>Concluído</x:v>
      </x:c>
      <x:c r="G664" s="86" t="n">
        <x:v>7.4</x:v>
      </x:c>
      <x:c r="H664" s="93" t="n">
        <x:v>516.59</x:v>
      </x:c>
    </x:row>
    <x:row r="665">
      <x:c r="A665" s="85" t="n">
        <x:v>664</x:v>
      </x:c>
      <x:c r="B665" s="86" t="n">
        <x:v>142</x:v>
      </x:c>
      <x:c r="C665" s="86" t="n">
        <x:v>9</x:v>
      </x:c>
      <x:c r="D665" s="95" t="n">
        <x:v>45989</x:v>
      </x:c>
      <x:c r="E665" s="95" t="n">
        <x:v>45997</x:v>
      </x:c>
      <x:c r="F665" s="86" t="str">
        <x:v>Concluído</x:v>
      </x:c>
      <x:c r="G665" s="86" t="n">
        <x:v>7.8</x:v>
      </x:c>
      <x:c r="H665" s="93" t="n">
        <x:v>269.38</x:v>
      </x:c>
    </x:row>
    <x:row r="666">
      <x:c r="A666" s="85" t="n">
        <x:v>665</x:v>
      </x:c>
      <x:c r="B666" s="86" t="n">
        <x:v>77</x:v>
      </x:c>
      <x:c r="C666" s="86" t="n">
        <x:v>7</x:v>
      </x:c>
      <x:c r="D666" s="95" t="n">
        <x:v>45713</x:v>
      </x:c>
      <x:c r="E666" s="95" t="n">
        <x:v>45715</x:v>
      </x:c>
      <x:c r="F666" s="86" t="str">
        <x:v>Reprovado</x:v>
      </x:c>
      <x:c r="G666" s="86" t="n">
        <x:v>7.4</x:v>
      </x:c>
      <x:c r="H666" s="93" t="n">
        <x:v>144.47</x:v>
      </x:c>
    </x:row>
    <x:row r="667">
      <x:c r="A667" s="85" t="n">
        <x:v>666</x:v>
      </x:c>
      <x:c r="B667" s="86" t="n">
        <x:v>150</x:v>
      </x:c>
      <x:c r="C667" s="86" t="n">
        <x:v>2</x:v>
      </x:c>
      <x:c r="D667" s="95" t="n">
        <x:v>45857</x:v>
      </x:c>
      <x:c r="E667" s="95" t="n">
        <x:v>45857</x:v>
      </x:c>
      <x:c r="F667" s="86" t="str">
        <x:v>Concluído</x:v>
      </x:c>
      <x:c r="G667" s="86" t="n">
        <x:v>8.5</x:v>
      </x:c>
      <x:c r="H667" s="93" t="n">
        <x:v>360.24</x:v>
      </x:c>
    </x:row>
    <x:row r="668">
      <x:c r="A668" s="85" t="n">
        <x:v>667</x:v>
      </x:c>
      <x:c r="B668" s="86" t="n">
        <x:v>9</x:v>
      </x:c>
      <x:c r="C668" s="86" t="n">
        <x:v>7</x:v>
      </x:c>
      <x:c r="D668" s="95" t="n">
        <x:v>45602</x:v>
      </x:c>
      <x:c r="E668" s="95" t="n">
        <x:v>45603</x:v>
      </x:c>
      <x:c r="F668" s="86" t="str">
        <x:v>Reprovado</x:v>
      </x:c>
      <x:c r="G668" s="86" t="n">
        <x:v>8.8</x:v>
      </x:c>
      <x:c r="H668" s="93" t="n">
        <x:v>681.8</x:v>
      </x:c>
    </x:row>
    <x:row r="669">
      <x:c r="A669" s="85" t="n">
        <x:v>668</x:v>
      </x:c>
      <x:c r="B669" s="86" t="n">
        <x:v>397</x:v>
      </x:c>
      <x:c r="C669" s="86" t="n">
        <x:v>2</x:v>
      </x:c>
      <x:c r="D669" s="95" t="n">
        <x:v>45458</x:v>
      </x:c>
      <x:c r="E669" s="95" t="n">
        <x:v>45474</x:v>
      </x:c>
      <x:c r="F669" s="86" t="str">
        <x:v>Concluído</x:v>
      </x:c>
      <x:c r="G669" s="86" t="n">
        <x:v>8.4</x:v>
      </x:c>
      <x:c r="H669" s="93" t="n">
        <x:v>121.48</x:v>
      </x:c>
    </x:row>
    <x:row r="670">
      <x:c r="A670" s="85" t="n">
        <x:v>669</x:v>
      </x:c>
      <x:c r="B670" s="86" t="n">
        <x:v>88</x:v>
      </x:c>
      <x:c r="C670" s="86" t="n">
        <x:v>8</x:v>
      </x:c>
      <x:c r="D670" s="95" t="n">
        <x:v>45593</x:v>
      </x:c>
      <x:c r="E670" s="95" t="n">
        <x:v>45612</x:v>
      </x:c>
      <x:c r="F670" s="86" t="str">
        <x:v>Concluído</x:v>
      </x:c>
      <x:c r="G670" s="86" t="n">
        <x:v>7.7</x:v>
      </x:c>
      <x:c r="H670" s="93" t="n">
        <x:v>741.25</x:v>
      </x:c>
    </x:row>
    <x:row r="671">
      <x:c r="A671" s="85" t="n">
        <x:v>670</x:v>
      </x:c>
      <x:c r="B671" s="86" t="n">
        <x:v>70</x:v>
      </x:c>
      <x:c r="C671" s="86" t="n">
        <x:v>2</x:v>
      </x:c>
      <x:c r="D671" s="95" t="n">
        <x:v>45787</x:v>
      </x:c>
      <x:c r="E671" s="95" t="n">
        <x:v>45792</x:v>
      </x:c>
      <x:c r="F671" s="86" t="str">
        <x:v>Concluído</x:v>
      </x:c>
      <x:c r="G671" s="86" t="n">
        <x:v>6.3</x:v>
      </x:c>
      <x:c r="H671" s="93" t="n">
        <x:v>369.46</x:v>
      </x:c>
    </x:row>
    <x:row r="672">
      <x:c r="A672" s="85" t="n">
        <x:v>671</x:v>
      </x:c>
      <x:c r="B672" s="86" t="n">
        <x:v>158</x:v>
      </x:c>
      <x:c r="C672" s="86" t="n">
        <x:v>1</x:v>
      </x:c>
      <x:c r="D672" s="95" t="n">
        <x:v>45526</x:v>
      </x:c>
      <x:c r="E672" s="95" t="n">
        <x:v>45535</x:v>
      </x:c>
      <x:c r="F672" s="86" t="str">
        <x:v>Concluído</x:v>
      </x:c>
      <x:c r="G672" s="86" t="n">
        <x:v>6.1</x:v>
      </x:c>
      <x:c r="H672" s="93" t="n">
        <x:v>151.32</x:v>
      </x:c>
    </x:row>
    <x:row r="673">
      <x:c r="A673" s="85" t="n">
        <x:v>672</x:v>
      </x:c>
      <x:c r="B673" s="86" t="n">
        <x:v>271</x:v>
      </x:c>
      <x:c r="C673" s="86" t="n">
        <x:v>7</x:v>
      </x:c>
      <x:c r="D673" s="95" t="n">
        <x:v>45696</x:v>
      </x:c>
      <x:c r="E673" s="95" t="n">
        <x:v>45712</x:v>
      </x:c>
      <x:c r="F673" s="86" t="str">
        <x:v>Concluído</x:v>
      </x:c>
      <x:c r="G673" s="86" t="n">
        <x:v>5.6</x:v>
      </x:c>
      <x:c r="H673" s="93" t="n">
        <x:v>635.46</x:v>
      </x:c>
    </x:row>
    <x:row r="674">
      <x:c r="A674" s="85" t="n">
        <x:v>673</x:v>
      </x:c>
      <x:c r="B674" s="86" t="n">
        <x:v>44</x:v>
      </x:c>
      <x:c r="C674" s="86" t="n">
        <x:v>9</x:v>
      </x:c>
      <x:c r="D674" s="95" t="n">
        <x:v>45835</x:v>
      </x:c>
      <x:c r="E674" s="95" t="n">
        <x:v>45851</x:v>
      </x:c>
      <x:c r="F674" s="86" t="str">
        <x:v>Concluído</x:v>
      </x:c>
      <x:c r="G674" s="86" t="n">
        <x:v>9.3</x:v>
      </x:c>
      <x:c r="H674" s="93" t="n">
        <x:v>715.4</x:v>
      </x:c>
    </x:row>
    <x:row r="675">
      <x:c r="A675" s="85" t="n">
        <x:v>674</x:v>
      </x:c>
      <x:c r="B675" s="86" t="n">
        <x:v>298</x:v>
      </x:c>
      <x:c r="C675" s="86" t="n">
        <x:v>3</x:v>
      </x:c>
      <x:c r="D675" s="95" t="n">
        <x:v>45648</x:v>
      </x:c>
      <x:c r="E675" s="95" t="n">
        <x:v>45648</x:v>
      </x:c>
      <x:c r="F675" s="86" t="str">
        <x:v>Concluído</x:v>
      </x:c>
      <x:c r="G675" s="86" t="n">
        <x:v>8.4</x:v>
      </x:c>
      <x:c r="H675" s="93" t="n">
        <x:v>374.87</x:v>
      </x:c>
    </x:row>
    <x:row r="676">
      <x:c r="A676" s="85" t="n">
        <x:v>675</x:v>
      </x:c>
      <x:c r="B676" s="86" t="n">
        <x:v>216</x:v>
      </x:c>
      <x:c r="C676" s="86" t="n">
        <x:v>2</x:v>
      </x:c>
      <x:c r="D676" s="95" t="n">
        <x:v>45767</x:v>
      </x:c>
      <x:c r="E676" s="95" t="n">
        <x:v>45772</x:v>
      </x:c>
      <x:c r="F676" s="86" t="str">
        <x:v>Concluído</x:v>
      </x:c>
      <x:c r="G676" s="86" t="n">
        <x:v>6.8</x:v>
      </x:c>
      <x:c r="H676" s="93" t="n">
        <x:v>293.19</x:v>
      </x:c>
    </x:row>
    <x:row r="677">
      <x:c r="A677" s="85" t="n">
        <x:v>676</x:v>
      </x:c>
      <x:c r="B677" s="86" t="n">
        <x:v>167</x:v>
      </x:c>
      <x:c r="C677" s="86" t="n">
        <x:v>4</x:v>
      </x:c>
      <x:c r="D677" s="95" t="n">
        <x:v>45944</x:v>
      </x:c>
      <x:c r="E677" s="95"/>
      <x:c r="F677" s="86" t="str">
        <x:v>Não iniciado</x:v>
      </x:c>
      <x:c r="G677" s="86"/>
      <x:c r="H677" s="93" t="n">
        <x:v>564.13</x:v>
      </x:c>
    </x:row>
    <x:row r="678">
      <x:c r="A678" s="85" t="n">
        <x:v>677</x:v>
      </x:c>
      <x:c r="B678" s="86" t="n">
        <x:v>381</x:v>
      </x:c>
      <x:c r="C678" s="86" t="n">
        <x:v>1</x:v>
      </x:c>
      <x:c r="D678" s="95" t="n">
        <x:v>45380</x:v>
      </x:c>
      <x:c r="E678" s="95" t="n">
        <x:v>45382</x:v>
      </x:c>
      <x:c r="F678" s="86" t="str">
        <x:v>Concluído</x:v>
      </x:c>
      <x:c r="G678" s="86" t="n">
        <x:v>7.2</x:v>
      </x:c>
      <x:c r="H678" s="93" t="n">
        <x:v>463.54</x:v>
      </x:c>
    </x:row>
    <x:row r="679">
      <x:c r="A679" s="85" t="n">
        <x:v>678</x:v>
      </x:c>
      <x:c r="B679" s="86" t="n">
        <x:v>242</x:v>
      </x:c>
      <x:c r="C679" s="86" t="n">
        <x:v>5</x:v>
      </x:c>
      <x:c r="D679" s="95" t="n">
        <x:v>45895</x:v>
      </x:c>
      <x:c r="E679" s="95" t="n">
        <x:v>45911</x:v>
      </x:c>
      <x:c r="F679" s="86" t="str">
        <x:v>Concluído</x:v>
      </x:c>
      <x:c r="G679" s="86" t="n">
        <x:v>9.9</x:v>
      </x:c>
      <x:c r="H679" s="93" t="n">
        <x:v>133.66</x:v>
      </x:c>
    </x:row>
    <x:row r="680">
      <x:c r="A680" s="85" t="n">
        <x:v>679</x:v>
      </x:c>
      <x:c r="B680" s="86" t="n">
        <x:v>61</x:v>
      </x:c>
      <x:c r="C680" s="86" t="n">
        <x:v>7</x:v>
      </x:c>
      <x:c r="D680" s="95" t="n">
        <x:v>45619</x:v>
      </x:c>
      <x:c r="E680" s="95"/>
      <x:c r="F680" s="86" t="str">
        <x:v>Em andamento</x:v>
      </x:c>
      <x:c r="G680" s="86"/>
      <x:c r="H680" s="93" t="n">
        <x:v>501</x:v>
      </x:c>
    </x:row>
    <x:row r="681">
      <x:c r="A681" s="85" t="n">
        <x:v>680</x:v>
      </x:c>
      <x:c r="B681" s="86" t="n">
        <x:v>348</x:v>
      </x:c>
      <x:c r="C681" s="86" t="n">
        <x:v>2</x:v>
      </x:c>
      <x:c r="D681" s="95" t="n">
        <x:v>45470</x:v>
      </x:c>
      <x:c r="E681" s="95" t="n">
        <x:v>45477</x:v>
      </x:c>
      <x:c r="F681" s="86" t="str">
        <x:v>Concluído</x:v>
      </x:c>
      <x:c r="G681" s="86" t="n">
        <x:v>7.9</x:v>
      </x:c>
      <x:c r="H681" s="93" t="n">
        <x:v>847.25</x:v>
      </x:c>
    </x:row>
    <x:row r="682">
      <x:c r="A682" s="85" t="n">
        <x:v>681</x:v>
      </x:c>
      <x:c r="B682" s="86" t="n">
        <x:v>401</x:v>
      </x:c>
      <x:c r="C682" s="86" t="n">
        <x:v>7</x:v>
      </x:c>
      <x:c r="D682" s="95" t="n">
        <x:v>45903</x:v>
      </x:c>
      <x:c r="E682" s="95" t="n">
        <x:v>45903</x:v>
      </x:c>
      <x:c r="F682" s="86" t="str">
        <x:v>Concluído</x:v>
      </x:c>
      <x:c r="G682" s="86" t="n">
        <x:v>7.1</x:v>
      </x:c>
      <x:c r="H682" s="93" t="n">
        <x:v>384.43</x:v>
      </x:c>
    </x:row>
    <x:row r="683">
      <x:c r="A683" s="85" t="n">
        <x:v>682</x:v>
      </x:c>
      <x:c r="B683" s="86" t="n">
        <x:v>153</x:v>
      </x:c>
      <x:c r="C683" s="86" t="n">
        <x:v>7</x:v>
      </x:c>
      <x:c r="D683" s="95" t="n">
        <x:v>45990</x:v>
      </x:c>
      <x:c r="E683" s="95" t="n">
        <x:v>46002</x:v>
      </x:c>
      <x:c r="F683" s="86" t="str">
        <x:v>Concluído</x:v>
      </x:c>
      <x:c r="G683" s="86" t="n">
        <x:v>7.5</x:v>
      </x:c>
      <x:c r="H683" s="93" t="n">
        <x:v>111.85</x:v>
      </x:c>
    </x:row>
    <x:row r="684">
      <x:c r="A684" s="85" t="n">
        <x:v>683</x:v>
      </x:c>
      <x:c r="B684" s="86" t="n">
        <x:v>334</x:v>
      </x:c>
      <x:c r="C684" s="86" t="n">
        <x:v>3</x:v>
      </x:c>
      <x:c r="D684" s="95" t="n">
        <x:v>45845</x:v>
      </x:c>
      <x:c r="E684" s="95" t="n">
        <x:v>45849</x:v>
      </x:c>
      <x:c r="F684" s="86" t="str">
        <x:v>Concluído</x:v>
      </x:c>
      <x:c r="G684" s="86" t="n">
        <x:v>8.6</x:v>
      </x:c>
      <x:c r="H684" s="93" t="n">
        <x:v>681.32</x:v>
      </x:c>
    </x:row>
    <x:row r="685">
      <x:c r="A685" s="85" t="n">
        <x:v>684</x:v>
      </x:c>
      <x:c r="B685" s="86" t="n">
        <x:v>381</x:v>
      </x:c>
      <x:c r="C685" s="86" t="n">
        <x:v>6</x:v>
      </x:c>
      <x:c r="D685" s="95" t="n">
        <x:v>45886</x:v>
      </x:c>
      <x:c r="E685" s="95" t="n">
        <x:v>45900</x:v>
      </x:c>
      <x:c r="F685" s="86" t="str">
        <x:v>Concluído</x:v>
      </x:c>
      <x:c r="G685" s="86" t="n">
        <x:v>9.5</x:v>
      </x:c>
      <x:c r="H685" s="93" t="n">
        <x:v>615.09</x:v>
      </x:c>
    </x:row>
    <x:row r="686">
      <x:c r="A686" s="85" t="n">
        <x:v>685</x:v>
      </x:c>
      <x:c r="B686" s="86" t="n">
        <x:v>416</x:v>
      </x:c>
      <x:c r="C686" s="86" t="n">
        <x:v>9</x:v>
      </x:c>
      <x:c r="D686" s="95" t="n">
        <x:v>45935</x:v>
      </x:c>
      <x:c r="E686" s="95" t="n">
        <x:v>45940</x:v>
      </x:c>
      <x:c r="F686" s="86" t="str">
        <x:v>Concluído</x:v>
      </x:c>
      <x:c r="G686" s="86" t="n">
        <x:v>9.4</x:v>
      </x:c>
      <x:c r="H686" s="93" t="n">
        <x:v>532.88</x:v>
      </x:c>
    </x:row>
    <x:row r="687">
      <x:c r="A687" s="85" t="n">
        <x:v>686</x:v>
      </x:c>
      <x:c r="B687" s="86" t="n">
        <x:v>98</x:v>
      </x:c>
      <x:c r="C687" s="86" t="n">
        <x:v>8</x:v>
      </x:c>
      <x:c r="D687" s="95" t="n">
        <x:v>45963</x:v>
      </x:c>
      <x:c r="E687" s="95" t="n">
        <x:v>45980</x:v>
      </x:c>
      <x:c r="F687" s="86" t="str">
        <x:v>Concluído</x:v>
      </x:c>
      <x:c r="G687" s="86" t="n">
        <x:v>8.4</x:v>
      </x:c>
      <x:c r="H687" s="93" t="n">
        <x:v>747.06</x:v>
      </x:c>
    </x:row>
    <x:row r="688">
      <x:c r="A688" s="85" t="n">
        <x:v>687</x:v>
      </x:c>
      <x:c r="B688" s="86" t="n">
        <x:v>24</x:v>
      </x:c>
      <x:c r="C688" s="86" t="n">
        <x:v>8</x:v>
      </x:c>
      <x:c r="D688" s="95" t="n">
        <x:v>45490</x:v>
      </x:c>
      <x:c r="E688" s="95" t="n">
        <x:v>45500</x:v>
      </x:c>
      <x:c r="F688" s="86" t="str">
        <x:v>Reprovado</x:v>
      </x:c>
      <x:c r="G688" s="86" t="n">
        <x:v>6.6</x:v>
      </x:c>
      <x:c r="H688" s="93" t="n">
        <x:v>489.87</x:v>
      </x:c>
    </x:row>
    <x:row r="689">
      <x:c r="A689" s="85" t="n">
        <x:v>688</x:v>
      </x:c>
      <x:c r="B689" s="86" t="n">
        <x:v>385</x:v>
      </x:c>
      <x:c r="C689" s="86" t="n">
        <x:v>2</x:v>
      </x:c>
      <x:c r="D689" s="95" t="n">
        <x:v>45851</x:v>
      </x:c>
      <x:c r="E689" s="95"/>
      <x:c r="F689" s="86" t="str">
        <x:v>Em andamento</x:v>
      </x:c>
      <x:c r="G689" s="86"/>
      <x:c r="H689" s="93" t="n">
        <x:v>272.51</x:v>
      </x:c>
    </x:row>
    <x:row r="690">
      <x:c r="A690" s="85" t="n">
        <x:v>689</x:v>
      </x:c>
      <x:c r="B690" s="86" t="n">
        <x:v>242</x:v>
      </x:c>
      <x:c r="C690" s="86" t="n">
        <x:v>7</x:v>
      </x:c>
      <x:c r="D690" s="95" t="n">
        <x:v>45994</x:v>
      </x:c>
      <x:c r="E690" s="95" t="n">
        <x:v>46013</x:v>
      </x:c>
      <x:c r="F690" s="86" t="str">
        <x:v>Concluído</x:v>
      </x:c>
      <x:c r="G690" s="86" t="n">
        <x:v>9.1</x:v>
      </x:c>
      <x:c r="H690" s="93" t="n">
        <x:v>176.28</x:v>
      </x:c>
    </x:row>
    <x:row r="691">
      <x:c r="A691" s="85" t="n">
        <x:v>690</x:v>
      </x:c>
      <x:c r="B691" s="86" t="n">
        <x:v>83</x:v>
      </x:c>
      <x:c r="C691" s="86" t="n">
        <x:v>9</x:v>
      </x:c>
      <x:c r="D691" s="95" t="n">
        <x:v>45879</x:v>
      </x:c>
      <x:c r="E691" s="95"/>
      <x:c r="F691" s="86" t="str">
        <x:v>Em andamento</x:v>
      </x:c>
      <x:c r="G691" s="86"/>
      <x:c r="H691" s="93" t="n">
        <x:v>341.32</x:v>
      </x:c>
    </x:row>
    <x:row r="692">
      <x:c r="A692" s="85" t="n">
        <x:v>691</x:v>
      </x:c>
      <x:c r="B692" s="86" t="n">
        <x:v>27</x:v>
      </x:c>
      <x:c r="C692" s="86" t="n">
        <x:v>10</x:v>
      </x:c>
      <x:c r="D692" s="95" t="n">
        <x:v>45707</x:v>
      </x:c>
      <x:c r="E692" s="95" t="n">
        <x:v>45716</x:v>
      </x:c>
      <x:c r="F692" s="86" t="str">
        <x:v>Concluído</x:v>
      </x:c>
      <x:c r="G692" s="86" t="n">
        <x:v>7.8</x:v>
      </x:c>
      <x:c r="H692" s="93" t="n">
        <x:v>379.42</x:v>
      </x:c>
    </x:row>
    <x:row r="693">
      <x:c r="A693" s="85" t="n">
        <x:v>692</x:v>
      </x:c>
      <x:c r="B693" s="86" t="n">
        <x:v>200</x:v>
      </x:c>
      <x:c r="C693" s="86" t="n">
        <x:v>1</x:v>
      </x:c>
      <x:c r="D693" s="95" t="n">
        <x:v>45869</x:v>
      </x:c>
      <x:c r="E693" s="95" t="n">
        <x:v>45871</x:v>
      </x:c>
      <x:c r="F693" s="86" t="str">
        <x:v>Concluído</x:v>
      </x:c>
      <x:c r="G693" s="86" t="n">
        <x:v>9.6</x:v>
      </x:c>
      <x:c r="H693" s="93" t="n">
        <x:v>308.85</x:v>
      </x:c>
    </x:row>
    <x:row r="694">
      <x:c r="A694" s="85" t="n">
        <x:v>693</x:v>
      </x:c>
      <x:c r="B694" s="86" t="n">
        <x:v>118</x:v>
      </x:c>
      <x:c r="C694" s="86" t="n">
        <x:v>3</x:v>
      </x:c>
      <x:c r="D694" s="95" t="n">
        <x:v>45626</x:v>
      </x:c>
      <x:c r="E694" s="95"/>
      <x:c r="F694" s="86" t="str">
        <x:v>Em andamento</x:v>
      </x:c>
      <x:c r="G694" s="86"/>
      <x:c r="H694" s="93" t="n">
        <x:v>668.21</x:v>
      </x:c>
    </x:row>
    <x:row r="695">
      <x:c r="A695" s="85" t="n">
        <x:v>694</x:v>
      </x:c>
      <x:c r="B695" s="86" t="n">
        <x:v>79</x:v>
      </x:c>
      <x:c r="C695" s="86" t="n">
        <x:v>5</x:v>
      </x:c>
      <x:c r="D695" s="95" t="n">
        <x:v>45618</x:v>
      </x:c>
      <x:c r="E695" s="95" t="n">
        <x:v>45635</x:v>
      </x:c>
      <x:c r="F695" s="86" t="str">
        <x:v>Concluído</x:v>
      </x:c>
      <x:c r="G695" s="86" t="n">
        <x:v>6.8</x:v>
      </x:c>
      <x:c r="H695" s="93" t="n">
        <x:v>403.4</x:v>
      </x:c>
    </x:row>
    <x:row r="696">
      <x:c r="A696" s="85" t="n">
        <x:v>695</x:v>
      </x:c>
      <x:c r="B696" s="86" t="n">
        <x:v>232</x:v>
      </x:c>
      <x:c r="C696" s="86" t="n">
        <x:v>9</x:v>
      </x:c>
      <x:c r="D696" s="95" t="n">
        <x:v>45325</x:v>
      </x:c>
      <x:c r="E696" s="95"/>
      <x:c r="F696" s="86" t="str">
        <x:v>Em andamento</x:v>
      </x:c>
      <x:c r="G696" s="86"/>
      <x:c r="H696" s="93" t="n">
        <x:v>753.13</x:v>
      </x:c>
    </x:row>
    <x:row r="697">
      <x:c r="A697" s="85" t="n">
        <x:v>696</x:v>
      </x:c>
      <x:c r="B697" s="86" t="n">
        <x:v>58</x:v>
      </x:c>
      <x:c r="C697" s="86" t="n">
        <x:v>8</x:v>
      </x:c>
      <x:c r="D697" s="95" t="n">
        <x:v>45909</x:v>
      </x:c>
      <x:c r="E697" s="95"/>
      <x:c r="F697" s="86" t="str">
        <x:v>Em andamento</x:v>
      </x:c>
      <x:c r="G697" s="86"/>
      <x:c r="H697" s="93" t="n">
        <x:v>105.67</x:v>
      </x:c>
    </x:row>
    <x:row r="698">
      <x:c r="A698" s="85" t="n">
        <x:v>697</x:v>
      </x:c>
      <x:c r="B698" s="86" t="n">
        <x:v>220</x:v>
      </x:c>
      <x:c r="C698" s="86" t="n">
        <x:v>2</x:v>
      </x:c>
      <x:c r="D698" s="95" t="n">
        <x:v>45794</x:v>
      </x:c>
      <x:c r="E698" s="95" t="n">
        <x:v>45813</x:v>
      </x:c>
      <x:c r="F698" s="86" t="str">
        <x:v>Concluído</x:v>
      </x:c>
      <x:c r="G698" s="86" t="n">
        <x:v>8.1</x:v>
      </x:c>
      <x:c r="H698" s="93" t="n">
        <x:v>714.98</x:v>
      </x:c>
    </x:row>
    <x:row r="699">
      <x:c r="A699" s="85" t="n">
        <x:v>698</x:v>
      </x:c>
      <x:c r="B699" s="86" t="n">
        <x:v>174</x:v>
      </x:c>
      <x:c r="C699" s="86" t="n">
        <x:v>10</x:v>
      </x:c>
      <x:c r="D699" s="95" t="n">
        <x:v>45867</x:v>
      </x:c>
      <x:c r="E699" s="95" t="n">
        <x:v>45871</x:v>
      </x:c>
      <x:c r="F699" s="86" t="str">
        <x:v>Concluído</x:v>
      </x:c>
      <x:c r="G699" s="86" t="n">
        <x:v>5.5</x:v>
      </x:c>
      <x:c r="H699" s="93" t="n">
        <x:v>789.39</x:v>
      </x:c>
    </x:row>
    <x:row r="700">
      <x:c r="A700" s="85" t="n">
        <x:v>699</x:v>
      </x:c>
      <x:c r="B700" s="86" t="n">
        <x:v>257</x:v>
      </x:c>
      <x:c r="C700" s="86" t="n">
        <x:v>7</x:v>
      </x:c>
      <x:c r="D700" s="95" t="n">
        <x:v>45906</x:v>
      </x:c>
      <x:c r="E700" s="95" t="n">
        <x:v>45923</x:v>
      </x:c>
      <x:c r="F700" s="86" t="str">
        <x:v>Concluído</x:v>
      </x:c>
      <x:c r="G700" s="86" t="n">
        <x:v>7.3</x:v>
      </x:c>
      <x:c r="H700" s="93" t="n">
        <x:v>118.41</x:v>
      </x:c>
    </x:row>
    <x:row r="701">
      <x:c r="A701" s="85" t="n">
        <x:v>700</x:v>
      </x:c>
      <x:c r="B701" s="86" t="n">
        <x:v>208</x:v>
      </x:c>
      <x:c r="C701" s="86" t="n">
        <x:v>6</x:v>
      </x:c>
      <x:c r="D701" s="95" t="n">
        <x:v>45892</x:v>
      </x:c>
      <x:c r="E701" s="95" t="n">
        <x:v>45912</x:v>
      </x:c>
      <x:c r="F701" s="86" t="str">
        <x:v>Reprovado</x:v>
      </x:c>
      <x:c r="G701" s="86" t="n">
        <x:v>6.2</x:v>
      </x:c>
      <x:c r="H701" s="93" t="n">
        <x:v>484.88</x:v>
      </x:c>
    </x:row>
    <x:row r="702">
      <x:c r="A702" s="85" t="n">
        <x:v>701</x:v>
      </x:c>
      <x:c r="B702" s="86" t="n">
        <x:v>419</x:v>
      </x:c>
      <x:c r="C702" s="86" t="n">
        <x:v>4</x:v>
      </x:c>
      <x:c r="D702" s="95" t="n">
        <x:v>45963</x:v>
      </x:c>
      <x:c r="E702" s="95"/>
      <x:c r="F702" s="86" t="str">
        <x:v>Não iniciado</x:v>
      </x:c>
      <x:c r="G702" s="86"/>
      <x:c r="H702" s="93" t="n">
        <x:v>456.67</x:v>
      </x:c>
    </x:row>
    <x:row r="703">
      <x:c r="A703" s="85" t="n">
        <x:v>702</x:v>
      </x:c>
      <x:c r="B703" s="86" t="n">
        <x:v>58</x:v>
      </x:c>
      <x:c r="C703" s="86" t="n">
        <x:v>9</x:v>
      </x:c>
      <x:c r="D703" s="95" t="n">
        <x:v>46016</x:v>
      </x:c>
      <x:c r="E703" s="95"/>
      <x:c r="F703" s="86" t="str">
        <x:v>Não iniciado</x:v>
      </x:c>
      <x:c r="G703" s="86"/>
      <x:c r="H703" s="93" t="n">
        <x:v>790.91</x:v>
      </x:c>
    </x:row>
    <x:row r="704">
      <x:c r="A704" s="85" t="n">
        <x:v>703</x:v>
      </x:c>
      <x:c r="B704" s="86" t="n">
        <x:v>326</x:v>
      </x:c>
      <x:c r="C704" s="86" t="n">
        <x:v>9</x:v>
      </x:c>
      <x:c r="D704" s="95" t="n">
        <x:v>45960</x:v>
      </x:c>
      <x:c r="E704" s="95"/>
      <x:c r="F704" s="86" t="str">
        <x:v>Em andamento</x:v>
      </x:c>
      <x:c r="G704" s="86"/>
      <x:c r="H704" s="93" t="n">
        <x:v>785.68</x:v>
      </x:c>
    </x:row>
    <x:row r="705">
      <x:c r="A705" s="85" t="n">
        <x:v>704</x:v>
      </x:c>
      <x:c r="B705" s="86" t="n">
        <x:v>185</x:v>
      </x:c>
      <x:c r="C705" s="86" t="n">
        <x:v>3</x:v>
      </x:c>
      <x:c r="D705" s="95" t="n">
        <x:v>45569</x:v>
      </x:c>
      <x:c r="E705" s="95" t="n">
        <x:v>45581</x:v>
      </x:c>
      <x:c r="F705" s="86" t="str">
        <x:v>Concluído</x:v>
      </x:c>
      <x:c r="G705" s="86" t="n">
        <x:v>8.2</x:v>
      </x:c>
      <x:c r="H705" s="93" t="n">
        <x:v>511.63</x:v>
      </x:c>
    </x:row>
    <x:row r="706">
      <x:c r="A706" s="85" t="n">
        <x:v>705</x:v>
      </x:c>
      <x:c r="B706" s="86" t="n">
        <x:v>333</x:v>
      </x:c>
      <x:c r="C706" s="86" t="n">
        <x:v>1</x:v>
      </x:c>
      <x:c r="D706" s="95" t="n">
        <x:v>45312</x:v>
      </x:c>
      <x:c r="E706" s="95" t="n">
        <x:v>45325</x:v>
      </x:c>
      <x:c r="F706" s="86" t="str">
        <x:v>Concluído</x:v>
      </x:c>
      <x:c r="G706" s="86" t="n">
        <x:v>6.7</x:v>
      </x:c>
      <x:c r="H706" s="93" t="n">
        <x:v>190.31</x:v>
      </x:c>
    </x:row>
    <x:row r="707">
      <x:c r="A707" s="85" t="n">
        <x:v>706</x:v>
      </x:c>
      <x:c r="B707" s="86" t="n">
        <x:v>245</x:v>
      </x:c>
      <x:c r="C707" s="86" t="n">
        <x:v>8</x:v>
      </x:c>
      <x:c r="D707" s="95" t="n">
        <x:v>45905</x:v>
      </x:c>
      <x:c r="E707" s="95" t="n">
        <x:v>45918</x:v>
      </x:c>
      <x:c r="F707" s="86" t="str">
        <x:v>Concluído</x:v>
      </x:c>
      <x:c r="G707" s="86" t="n">
        <x:v>7.9</x:v>
      </x:c>
      <x:c r="H707" s="93" t="n">
        <x:v>727.38</x:v>
      </x:c>
    </x:row>
    <x:row r="708">
      <x:c r="A708" s="85" t="n">
        <x:v>707</x:v>
      </x:c>
      <x:c r="B708" s="86" t="n">
        <x:v>277</x:v>
      </x:c>
      <x:c r="C708" s="86" t="n">
        <x:v>8</x:v>
      </x:c>
      <x:c r="D708" s="95" t="n">
        <x:v>45420</x:v>
      </x:c>
      <x:c r="E708" s="95" t="n">
        <x:v>45428</x:v>
      </x:c>
      <x:c r="F708" s="86" t="str">
        <x:v>Concluído</x:v>
      </x:c>
      <x:c r="G708" s="86" t="n">
        <x:v>9.5</x:v>
      </x:c>
      <x:c r="H708" s="93" t="n">
        <x:v>709.88</x:v>
      </x:c>
    </x:row>
    <x:row r="709">
      <x:c r="A709" s="85" t="n">
        <x:v>708</x:v>
      </x:c>
      <x:c r="B709" s="86" t="n">
        <x:v>22</x:v>
      </x:c>
      <x:c r="C709" s="86" t="n">
        <x:v>8</x:v>
      </x:c>
      <x:c r="D709" s="95" t="n">
        <x:v>45560</x:v>
      </x:c>
      <x:c r="E709" s="95" t="n">
        <x:v>45575</x:v>
      </x:c>
      <x:c r="F709" s="86" t="str">
        <x:v>Concluído</x:v>
      </x:c>
      <x:c r="G709" s="86" t="n">
        <x:v>5.4</x:v>
      </x:c>
      <x:c r="H709" s="93" t="n">
        <x:v>393.38</x:v>
      </x:c>
    </x:row>
    <x:row r="710">
      <x:c r="A710" s="85" t="n">
        <x:v>709</x:v>
      </x:c>
      <x:c r="B710" s="86" t="n">
        <x:v>123</x:v>
      </x:c>
      <x:c r="C710" s="86" t="n">
        <x:v>2</x:v>
      </x:c>
      <x:c r="D710" s="95" t="n">
        <x:v>45542</x:v>
      </x:c>
      <x:c r="E710" s="95"/>
      <x:c r="F710" s="86" t="str">
        <x:v>Não iniciado</x:v>
      </x:c>
      <x:c r="G710" s="86"/>
      <x:c r="H710" s="93" t="n">
        <x:v>300.99</x:v>
      </x:c>
    </x:row>
    <x:row r="711">
      <x:c r="A711" s="85" t="n">
        <x:v>710</x:v>
      </x:c>
      <x:c r="B711" s="86" t="n">
        <x:v>27</x:v>
      </x:c>
      <x:c r="C711" s="86" t="n">
        <x:v>1</x:v>
      </x:c>
      <x:c r="D711" s="95" t="n">
        <x:v>45599</x:v>
      </x:c>
      <x:c r="E711" s="95" t="n">
        <x:v>45599</x:v>
      </x:c>
      <x:c r="F711" s="86" t="str">
        <x:v>Concluído</x:v>
      </x:c>
      <x:c r="G711" s="86" t="n">
        <x:v>6.3</x:v>
      </x:c>
      <x:c r="H711" s="93" t="n">
        <x:v>509.23</x:v>
      </x:c>
    </x:row>
    <x:row r="712">
      <x:c r="A712" s="85" t="n">
        <x:v>711</x:v>
      </x:c>
      <x:c r="B712" s="86" t="n">
        <x:v>281</x:v>
      </x:c>
      <x:c r="C712" s="86" t="n">
        <x:v>5</x:v>
      </x:c>
      <x:c r="D712" s="95" t="n">
        <x:v>45902</x:v>
      </x:c>
      <x:c r="E712" s="95" t="n">
        <x:v>45921</x:v>
      </x:c>
      <x:c r="F712" s="86" t="str">
        <x:v>Concluído</x:v>
      </x:c>
      <x:c r="G712" s="86" t="n">
        <x:v>6</x:v>
      </x:c>
      <x:c r="H712" s="93" t="n">
        <x:v>134.33</x:v>
      </x:c>
    </x:row>
    <x:row r="713">
      <x:c r="A713" s="85" t="n">
        <x:v>712</x:v>
      </x:c>
      <x:c r="B713" s="86" t="n">
        <x:v>369</x:v>
      </x:c>
      <x:c r="C713" s="86" t="n">
        <x:v>1</x:v>
      </x:c>
      <x:c r="D713" s="95" t="n">
        <x:v>45487</x:v>
      </x:c>
      <x:c r="E713" s="95"/>
      <x:c r="F713" s="86" t="str">
        <x:v>Não iniciado</x:v>
      </x:c>
      <x:c r="G713" s="86"/>
      <x:c r="H713" s="93" t="n">
        <x:v>406.65</x:v>
      </x:c>
    </x:row>
    <x:row r="714">
      <x:c r="A714" s="85" t="n">
        <x:v>713</x:v>
      </x:c>
      <x:c r="B714" s="86" t="n">
        <x:v>398</x:v>
      </x:c>
      <x:c r="C714" s="86" t="n">
        <x:v>4</x:v>
      </x:c>
      <x:c r="D714" s="95" t="n">
        <x:v>45984</x:v>
      </x:c>
      <x:c r="E714" s="95"/>
      <x:c r="F714" s="86" t="str">
        <x:v>Em andamento</x:v>
      </x:c>
      <x:c r="G714" s="86"/>
      <x:c r="H714" s="93" t="n">
        <x:v>723.14</x:v>
      </x:c>
    </x:row>
    <x:row r="715">
      <x:c r="A715" s="85" t="n">
        <x:v>714</x:v>
      </x:c>
      <x:c r="B715" s="86" t="n">
        <x:v>5</x:v>
      </x:c>
      <x:c r="C715" s="86" t="n">
        <x:v>10</x:v>
      </x:c>
      <x:c r="D715" s="95" t="n">
        <x:v>45818</x:v>
      </x:c>
      <x:c r="E715" s="95" t="n">
        <x:v>45837</x:v>
      </x:c>
      <x:c r="F715" s="86" t="str">
        <x:v>Concluído</x:v>
      </x:c>
      <x:c r="G715" s="86" t="n">
        <x:v>8.2</x:v>
      </x:c>
      <x:c r="H715" s="93" t="n">
        <x:v>210.04</x:v>
      </x:c>
    </x:row>
    <x:row r="716">
      <x:c r="A716" s="85" t="n">
        <x:v>715</x:v>
      </x:c>
      <x:c r="B716" s="86" t="n">
        <x:v>89</x:v>
      </x:c>
      <x:c r="C716" s="86" t="n">
        <x:v>6</x:v>
      </x:c>
      <x:c r="D716" s="95" t="n">
        <x:v>45968</x:v>
      </x:c>
      <x:c r="E716" s="95"/>
      <x:c r="F716" s="86" t="str">
        <x:v>Não iniciado</x:v>
      </x:c>
      <x:c r="G716" s="86"/>
      <x:c r="H716" s="93" t="n">
        <x:v>679.59</x:v>
      </x:c>
    </x:row>
    <x:row r="717">
      <x:c r="A717" s="85" t="n">
        <x:v>716</x:v>
      </x:c>
      <x:c r="B717" s="86" t="n">
        <x:v>360</x:v>
      </x:c>
      <x:c r="C717" s="86" t="n">
        <x:v>10</x:v>
      </x:c>
      <x:c r="D717" s="95" t="n">
        <x:v>45540</x:v>
      </x:c>
      <x:c r="E717" s="95"/>
      <x:c r="F717" s="86" t="str">
        <x:v>Não iniciado</x:v>
      </x:c>
      <x:c r="G717" s="86"/>
      <x:c r="H717" s="93" t="n">
        <x:v>107.94</x:v>
      </x:c>
    </x:row>
    <x:row r="718">
      <x:c r="A718" s="85" t="n">
        <x:v>717</x:v>
      </x:c>
      <x:c r="B718" s="86" t="n">
        <x:v>70</x:v>
      </x:c>
      <x:c r="C718" s="86" t="n">
        <x:v>8</x:v>
      </x:c>
      <x:c r="D718" s="95" t="n">
        <x:v>45929</x:v>
      </x:c>
      <x:c r="E718" s="95"/>
      <x:c r="F718" s="86" t="str">
        <x:v>Não iniciado</x:v>
      </x:c>
      <x:c r="G718" s="86"/>
      <x:c r="H718" s="93" t="n">
        <x:v>553.09</x:v>
      </x:c>
    </x:row>
    <x:row r="719">
      <x:c r="A719" s="85" t="n">
        <x:v>718</x:v>
      </x:c>
      <x:c r="B719" s="86" t="n">
        <x:v>236</x:v>
      </x:c>
      <x:c r="C719" s="86" t="n">
        <x:v>6</x:v>
      </x:c>
      <x:c r="D719" s="95" t="n">
        <x:v>45941</x:v>
      </x:c>
      <x:c r="E719" s="95" t="n">
        <x:v>45943</x:v>
      </x:c>
      <x:c r="F719" s="86" t="str">
        <x:v>Concluído</x:v>
      </x:c>
      <x:c r="G719" s="86" t="n">
        <x:v>5.6</x:v>
      </x:c>
      <x:c r="H719" s="93" t="n">
        <x:v>593.59</x:v>
      </x:c>
    </x:row>
    <x:row r="720">
      <x:c r="A720" s="85" t="n">
        <x:v>719</x:v>
      </x:c>
      <x:c r="B720" s="86" t="n">
        <x:v>330</x:v>
      </x:c>
      <x:c r="C720" s="86" t="n">
        <x:v>4</x:v>
      </x:c>
      <x:c r="D720" s="95" t="n">
        <x:v>45997</x:v>
      </x:c>
      <x:c r="E720" s="95" t="n">
        <x:v>46005</x:v>
      </x:c>
      <x:c r="F720" s="86" t="str">
        <x:v>Concluído</x:v>
      </x:c>
      <x:c r="G720" s="86" t="n">
        <x:v>6.5</x:v>
      </x:c>
      <x:c r="H720" s="93" t="n">
        <x:v>307.49</x:v>
      </x:c>
    </x:row>
    <x:row r="721">
      <x:c r="A721" s="85" t="n">
        <x:v>720</x:v>
      </x:c>
      <x:c r="B721" s="86" t="n">
        <x:v>335</x:v>
      </x:c>
      <x:c r="C721" s="86" t="n">
        <x:v>5</x:v>
      </x:c>
      <x:c r="D721" s="95" t="n">
        <x:v>45860</x:v>
      </x:c>
      <x:c r="E721" s="95" t="n">
        <x:v>45880</x:v>
      </x:c>
      <x:c r="F721" s="86" t="str">
        <x:v>Concluído</x:v>
      </x:c>
      <x:c r="G721" s="86" t="n">
        <x:v>9.8</x:v>
      </x:c>
      <x:c r="H721" s="93" t="n">
        <x:v>808.8</x:v>
      </x:c>
    </x:row>
    <x:row r="722">
      <x:c r="A722" s="85" t="n">
        <x:v>721</x:v>
      </x:c>
      <x:c r="B722" s="86" t="n">
        <x:v>239</x:v>
      </x:c>
      <x:c r="C722" s="86" t="n">
        <x:v>7</x:v>
      </x:c>
      <x:c r="D722" s="95" t="n">
        <x:v>45353</x:v>
      </x:c>
      <x:c r="E722" s="95" t="n">
        <x:v>45366</x:v>
      </x:c>
      <x:c r="F722" s="86" t="str">
        <x:v>Concluído</x:v>
      </x:c>
      <x:c r="G722" s="86" t="n">
        <x:v>6.7</x:v>
      </x:c>
      <x:c r="H722" s="93" t="n">
        <x:v>318.24</x:v>
      </x:c>
    </x:row>
    <x:row r="723">
      <x:c r="A723" s="85" t="n">
        <x:v>722</x:v>
      </x:c>
      <x:c r="B723" s="86" t="n">
        <x:v>16</x:v>
      </x:c>
      <x:c r="C723" s="86" t="n">
        <x:v>7</x:v>
      </x:c>
      <x:c r="D723" s="95" t="n">
        <x:v>45921</x:v>
      </x:c>
      <x:c r="E723" s="95" t="n">
        <x:v>45921</x:v>
      </x:c>
      <x:c r="F723" s="86" t="str">
        <x:v>Concluído</x:v>
      </x:c>
      <x:c r="G723" s="86" t="n">
        <x:v>7.8</x:v>
      </x:c>
      <x:c r="H723" s="93" t="n">
        <x:v>754.98</x:v>
      </x:c>
    </x:row>
    <x:row r="724">
      <x:c r="A724" s="85" t="n">
        <x:v>723</x:v>
      </x:c>
      <x:c r="B724" s="86" t="n">
        <x:v>161</x:v>
      </x:c>
      <x:c r="C724" s="86" t="n">
        <x:v>7</x:v>
      </x:c>
      <x:c r="D724" s="95" t="n">
        <x:v>45717</x:v>
      </x:c>
      <x:c r="E724" s="95" t="n">
        <x:v>45720</x:v>
      </x:c>
      <x:c r="F724" s="86" t="str">
        <x:v>Concluído</x:v>
      </x:c>
      <x:c r="G724" s="86" t="n">
        <x:v>8.9</x:v>
      </x:c>
      <x:c r="H724" s="93" t="n">
        <x:v>605.2</x:v>
      </x:c>
    </x:row>
    <x:row r="725">
      <x:c r="A725" s="85" t="n">
        <x:v>724</x:v>
      </x:c>
      <x:c r="B725" s="86" t="n">
        <x:v>355</x:v>
      </x:c>
      <x:c r="C725" s="86" t="n">
        <x:v>6</x:v>
      </x:c>
      <x:c r="D725" s="95" t="n">
        <x:v>45322</x:v>
      </x:c>
      <x:c r="E725" s="95" t="n">
        <x:v>45336</x:v>
      </x:c>
      <x:c r="F725" s="86" t="str">
        <x:v>Concluído</x:v>
      </x:c>
      <x:c r="G725" s="86" t="n">
        <x:v>8.6</x:v>
      </x:c>
      <x:c r="H725" s="93" t="n">
        <x:v>137.26</x:v>
      </x:c>
    </x:row>
    <x:row r="726">
      <x:c r="A726" s="85" t="n">
        <x:v>725</x:v>
      </x:c>
      <x:c r="B726" s="86" t="n">
        <x:v>97</x:v>
      </x:c>
      <x:c r="C726" s="86" t="n">
        <x:v>4</x:v>
      </x:c>
      <x:c r="D726" s="95" t="n">
        <x:v>45597</x:v>
      </x:c>
      <x:c r="E726" s="95" t="n">
        <x:v>45598</x:v>
      </x:c>
      <x:c r="F726" s="86" t="str">
        <x:v>Concluído</x:v>
      </x:c>
      <x:c r="G726" s="86" t="n">
        <x:v>9</x:v>
      </x:c>
      <x:c r="H726" s="93" t="n">
        <x:v>178.32</x:v>
      </x:c>
    </x:row>
    <x:row r="727">
      <x:c r="A727" s="85" t="n">
        <x:v>726</x:v>
      </x:c>
      <x:c r="B727" s="86" t="n">
        <x:v>223</x:v>
      </x:c>
      <x:c r="C727" s="86" t="n">
        <x:v>9</x:v>
      </x:c>
      <x:c r="D727" s="95" t="n">
        <x:v>45986</x:v>
      </x:c>
      <x:c r="E727" s="95" t="n">
        <x:v>45992</x:v>
      </x:c>
      <x:c r="F727" s="86" t="str">
        <x:v>Concluído</x:v>
      </x:c>
      <x:c r="G727" s="86" t="n">
        <x:v>5.1</x:v>
      </x:c>
      <x:c r="H727" s="93" t="n">
        <x:v>568.91</x:v>
      </x:c>
    </x:row>
    <x:row r="728">
      <x:c r="A728" s="85" t="n">
        <x:v>727</x:v>
      </x:c>
      <x:c r="B728" s="86" t="n">
        <x:v>251</x:v>
      </x:c>
      <x:c r="C728" s="86" t="n">
        <x:v>2</x:v>
      </x:c>
      <x:c r="D728" s="95" t="n">
        <x:v>45860</x:v>
      </x:c>
      <x:c r="E728" s="95"/>
      <x:c r="F728" s="86" t="str">
        <x:v>Em andamento</x:v>
      </x:c>
      <x:c r="G728" s="86"/>
      <x:c r="H728" s="93" t="n">
        <x:v>166.64</x:v>
      </x:c>
    </x:row>
    <x:row r="729">
      <x:c r="A729" s="85" t="n">
        <x:v>728</x:v>
      </x:c>
      <x:c r="B729" s="86" t="n">
        <x:v>352</x:v>
      </x:c>
      <x:c r="C729" s="86" t="n">
        <x:v>10</x:v>
      </x:c>
      <x:c r="D729" s="95" t="n">
        <x:v>45545</x:v>
      </x:c>
      <x:c r="E729" s="95" t="n">
        <x:v>45550</x:v>
      </x:c>
      <x:c r="F729" s="86" t="str">
        <x:v>Concluído</x:v>
      </x:c>
      <x:c r="G729" s="86" t="n">
        <x:v>8.9</x:v>
      </x:c>
      <x:c r="H729" s="93" t="n">
        <x:v>722.25</x:v>
      </x:c>
    </x:row>
    <x:row r="730">
      <x:c r="A730" s="85" t="n">
        <x:v>729</x:v>
      </x:c>
      <x:c r="B730" s="86" t="n">
        <x:v>116</x:v>
      </x:c>
      <x:c r="C730" s="86" t="n">
        <x:v>5</x:v>
      </x:c>
      <x:c r="D730" s="95" t="n">
        <x:v>45598</x:v>
      </x:c>
      <x:c r="E730" s="95" t="n">
        <x:v>45612</x:v>
      </x:c>
      <x:c r="F730" s="86" t="str">
        <x:v>Concluído</x:v>
      </x:c>
      <x:c r="G730" s="86" t="n">
        <x:v>9.3</x:v>
      </x:c>
      <x:c r="H730" s="93" t="n">
        <x:v>186.25</x:v>
      </x:c>
    </x:row>
    <x:row r="731">
      <x:c r="A731" s="85" t="n">
        <x:v>730</x:v>
      </x:c>
      <x:c r="B731" s="86" t="n">
        <x:v>78</x:v>
      </x:c>
      <x:c r="C731" s="86" t="n">
        <x:v>6</x:v>
      </x:c>
      <x:c r="D731" s="95" t="n">
        <x:v>45981</x:v>
      </x:c>
      <x:c r="E731" s="95" t="n">
        <x:v>45989</x:v>
      </x:c>
      <x:c r="F731" s="86" t="str">
        <x:v>Concluído</x:v>
      </x:c>
      <x:c r="G731" s="86" t="n">
        <x:v>9</x:v>
      </x:c>
      <x:c r="H731" s="93" t="n">
        <x:v>627.05</x:v>
      </x:c>
    </x:row>
    <x:row r="732">
      <x:c r="A732" s="85" t="n">
        <x:v>731</x:v>
      </x:c>
      <x:c r="B732" s="86" t="n">
        <x:v>341</x:v>
      </x:c>
      <x:c r="C732" s="86" t="n">
        <x:v>8</x:v>
      </x:c>
      <x:c r="D732" s="95" t="n">
        <x:v>45697</x:v>
      </x:c>
      <x:c r="E732" s="95" t="n">
        <x:v>45698</x:v>
      </x:c>
      <x:c r="F732" s="86" t="str">
        <x:v>Concluído</x:v>
      </x:c>
      <x:c r="G732" s="86" t="n">
        <x:v>9.7</x:v>
      </x:c>
      <x:c r="H732" s="93" t="n">
        <x:v>706.1</x:v>
      </x:c>
    </x:row>
    <x:row r="733">
      <x:c r="A733" s="85" t="n">
        <x:v>732</x:v>
      </x:c>
      <x:c r="B733" s="86" t="n">
        <x:v>103</x:v>
      </x:c>
      <x:c r="C733" s="86" t="n">
        <x:v>4</x:v>
      </x:c>
      <x:c r="D733" s="95" t="n">
        <x:v>45956</x:v>
      </x:c>
      <x:c r="E733" s="95" t="n">
        <x:v>45964</x:v>
      </x:c>
      <x:c r="F733" s="86" t="str">
        <x:v>Reprovado</x:v>
      </x:c>
      <x:c r="G733" s="86" t="n">
        <x:v>6.1</x:v>
      </x:c>
      <x:c r="H733" s="93" t="n">
        <x:v>624.07</x:v>
      </x:c>
    </x:row>
    <x:row r="734">
      <x:c r="A734" s="85" t="n">
        <x:v>733</x:v>
      </x:c>
      <x:c r="B734" s="86" t="n">
        <x:v>253</x:v>
      </x:c>
      <x:c r="C734" s="86" t="n">
        <x:v>9</x:v>
      </x:c>
      <x:c r="D734" s="95" t="n">
        <x:v>46021</x:v>
      </x:c>
      <x:c r="E734" s="95" t="n">
        <x:v>46026</x:v>
      </x:c>
      <x:c r="F734" s="86" t="str">
        <x:v>Reprovado</x:v>
      </x:c>
      <x:c r="G734" s="86" t="n">
        <x:v>9.2</x:v>
      </x:c>
      <x:c r="H734" s="93" t="n">
        <x:v>409.94</x:v>
      </x:c>
    </x:row>
    <x:row r="735">
      <x:c r="A735" s="85" t="n">
        <x:v>734</x:v>
      </x:c>
      <x:c r="B735" s="86" t="n">
        <x:v>310</x:v>
      </x:c>
      <x:c r="C735" s="86" t="n">
        <x:v>3</x:v>
      </x:c>
      <x:c r="D735" s="95" t="n">
        <x:v>45903</x:v>
      </x:c>
      <x:c r="E735" s="95" t="n">
        <x:v>45912</x:v>
      </x:c>
      <x:c r="F735" s="86" t="str">
        <x:v>Concluído</x:v>
      </x:c>
      <x:c r="G735" s="86" t="n">
        <x:v>5.7</x:v>
      </x:c>
      <x:c r="H735" s="93" t="n">
        <x:v>496.5</x:v>
      </x:c>
    </x:row>
    <x:row r="736">
      <x:c r="A736" s="85" t="n">
        <x:v>735</x:v>
      </x:c>
      <x:c r="B736" s="86" t="n">
        <x:v>49</x:v>
      </x:c>
      <x:c r="C736" s="86" t="n">
        <x:v>2</x:v>
      </x:c>
      <x:c r="D736" s="95" t="n">
        <x:v>45542</x:v>
      </x:c>
      <x:c r="E736" s="95" t="n">
        <x:v>45554</x:v>
      </x:c>
      <x:c r="F736" s="86" t="str">
        <x:v>Concluído</x:v>
      </x:c>
      <x:c r="G736" s="86" t="n">
        <x:v>7.1</x:v>
      </x:c>
      <x:c r="H736" s="93" t="n">
        <x:v>270.74</x:v>
      </x:c>
    </x:row>
    <x:row r="737">
      <x:c r="A737" s="85" t="n">
        <x:v>736</x:v>
      </x:c>
      <x:c r="B737" s="86" t="n">
        <x:v>96</x:v>
      </x:c>
      <x:c r="C737" s="86" t="n">
        <x:v>2</x:v>
      </x:c>
      <x:c r="D737" s="95" t="n">
        <x:v>45990</x:v>
      </x:c>
      <x:c r="E737" s="95" t="n">
        <x:v>46005</x:v>
      </x:c>
      <x:c r="F737" s="86" t="str">
        <x:v>Reprovado</x:v>
      </x:c>
      <x:c r="G737" s="86" t="n">
        <x:v>7</x:v>
      </x:c>
      <x:c r="H737" s="93" t="n">
        <x:v>464.53</x:v>
      </x:c>
    </x:row>
    <x:row r="738">
      <x:c r="A738" s="85" t="n">
        <x:v>737</x:v>
      </x:c>
      <x:c r="B738" s="86" t="n">
        <x:v>359</x:v>
      </x:c>
      <x:c r="C738" s="86" t="n">
        <x:v>3</x:v>
      </x:c>
      <x:c r="D738" s="95" t="n">
        <x:v>45517</x:v>
      </x:c>
      <x:c r="E738" s="95" t="n">
        <x:v>45531</x:v>
      </x:c>
      <x:c r="F738" s="86" t="str">
        <x:v>Concluído</x:v>
      </x:c>
      <x:c r="G738" s="86" t="n">
        <x:v>6</x:v>
      </x:c>
      <x:c r="H738" s="93" t="n">
        <x:v>397.02</x:v>
      </x:c>
    </x:row>
    <x:row r="739">
      <x:c r="A739" s="85" t="n">
        <x:v>738</x:v>
      </x:c>
      <x:c r="B739" s="86" t="n">
        <x:v>139</x:v>
      </x:c>
      <x:c r="C739" s="86" t="n">
        <x:v>2</x:v>
      </x:c>
      <x:c r="D739" s="95" t="n">
        <x:v>45512</x:v>
      </x:c>
      <x:c r="E739" s="95" t="n">
        <x:v>45517</x:v>
      </x:c>
      <x:c r="F739" s="86" t="str">
        <x:v>Concluído</x:v>
      </x:c>
      <x:c r="G739" s="86" t="n">
        <x:v>7.3</x:v>
      </x:c>
      <x:c r="H739" s="93" t="n">
        <x:v>763.24</x:v>
      </x:c>
    </x:row>
    <x:row r="740">
      <x:c r="A740" s="85" t="n">
        <x:v>739</x:v>
      </x:c>
      <x:c r="B740" s="86" t="n">
        <x:v>228</x:v>
      </x:c>
      <x:c r="C740" s="86" t="n">
        <x:v>6</x:v>
      </x:c>
      <x:c r="D740" s="95" t="n">
        <x:v>45802</x:v>
      </x:c>
      <x:c r="E740" s="95" t="n">
        <x:v>45803</x:v>
      </x:c>
      <x:c r="F740" s="86" t="str">
        <x:v>Concluído</x:v>
      </x:c>
      <x:c r="G740" s="86" t="n">
        <x:v>6.1</x:v>
      </x:c>
      <x:c r="H740" s="93" t="n">
        <x:v>311.52</x:v>
      </x:c>
    </x:row>
    <x:row r="741">
      <x:c r="A741" s="85" t="n">
        <x:v>740</x:v>
      </x:c>
      <x:c r="B741" s="86" t="n">
        <x:v>365</x:v>
      </x:c>
      <x:c r="C741" s="86" t="n">
        <x:v>5</x:v>
      </x:c>
      <x:c r="D741" s="95" t="n">
        <x:v>45971</x:v>
      </x:c>
      <x:c r="E741" s="95" t="n">
        <x:v>45971</x:v>
      </x:c>
      <x:c r="F741" s="86" t="str">
        <x:v>Concluído</x:v>
      </x:c>
      <x:c r="G741" s="86" t="n">
        <x:v>5.6</x:v>
      </x:c>
      <x:c r="H741" s="93" t="n">
        <x:v>677.2</x:v>
      </x:c>
    </x:row>
    <x:row r="742">
      <x:c r="A742" s="85" t="n">
        <x:v>741</x:v>
      </x:c>
      <x:c r="B742" s="86" t="n">
        <x:v>79</x:v>
      </x:c>
      <x:c r="C742" s="86" t="n">
        <x:v>6</x:v>
      </x:c>
      <x:c r="D742" s="95" t="n">
        <x:v>45663</x:v>
      </x:c>
      <x:c r="E742" s="95" t="n">
        <x:v>45678</x:v>
      </x:c>
      <x:c r="F742" s="86" t="str">
        <x:v>Concluído</x:v>
      </x:c>
      <x:c r="G742" s="86" t="n">
        <x:v>9.8</x:v>
      </x:c>
      <x:c r="H742" s="93" t="n">
        <x:v>779.8</x:v>
      </x:c>
    </x:row>
    <x:row r="743">
      <x:c r="A743" s="85" t="n">
        <x:v>742</x:v>
      </x:c>
      <x:c r="B743" s="86" t="n">
        <x:v>308</x:v>
      </x:c>
      <x:c r="C743" s="86" t="n">
        <x:v>8</x:v>
      </x:c>
      <x:c r="D743" s="95" t="n">
        <x:v>45902</x:v>
      </x:c>
      <x:c r="E743" s="95" t="n">
        <x:v>45908</x:v>
      </x:c>
      <x:c r="F743" s="86" t="str">
        <x:v>Reprovado</x:v>
      </x:c>
      <x:c r="G743" s="86" t="n">
        <x:v>7</x:v>
      </x:c>
      <x:c r="H743" s="93" t="n">
        <x:v>827</x:v>
      </x:c>
    </x:row>
    <x:row r="744">
      <x:c r="A744" s="85" t="n">
        <x:v>743</x:v>
      </x:c>
      <x:c r="B744" s="86" t="n">
        <x:v>24</x:v>
      </x:c>
      <x:c r="C744" s="86" t="n">
        <x:v>4</x:v>
      </x:c>
      <x:c r="D744" s="95" t="n">
        <x:v>45692</x:v>
      </x:c>
      <x:c r="E744" s="95" t="n">
        <x:v>45704</x:v>
      </x:c>
      <x:c r="F744" s="86" t="str">
        <x:v>Concluído</x:v>
      </x:c>
      <x:c r="G744" s="86" t="n">
        <x:v>7.2</x:v>
      </x:c>
      <x:c r="H744" s="93" t="n">
        <x:v>257.96</x:v>
      </x:c>
    </x:row>
    <x:row r="745">
      <x:c r="A745" s="85" t="n">
        <x:v>744</x:v>
      </x:c>
      <x:c r="B745" s="86" t="n">
        <x:v>132</x:v>
      </x:c>
      <x:c r="C745" s="86" t="n">
        <x:v>7</x:v>
      </x:c>
      <x:c r="D745" s="95" t="n">
        <x:v>45984</x:v>
      </x:c>
      <x:c r="E745" s="95" t="n">
        <x:v>46001</x:v>
      </x:c>
      <x:c r="F745" s="86" t="str">
        <x:v>Concluído</x:v>
      </x:c>
      <x:c r="G745" s="86" t="n">
        <x:v>9.3</x:v>
      </x:c>
      <x:c r="H745" s="93" t="n">
        <x:v>683.98</x:v>
      </x:c>
    </x:row>
    <x:row r="746">
      <x:c r="A746" s="85" t="n">
        <x:v>745</x:v>
      </x:c>
      <x:c r="B746" s="86" t="n">
        <x:v>53</x:v>
      </x:c>
      <x:c r="C746" s="86" t="n">
        <x:v>9</x:v>
      </x:c>
      <x:c r="D746" s="95" t="n">
        <x:v>46006</x:v>
      </x:c>
      <x:c r="E746" s="95" t="n">
        <x:v>46008</x:v>
      </x:c>
      <x:c r="F746" s="86" t="str">
        <x:v>Reprovado</x:v>
      </x:c>
      <x:c r="G746" s="86" t="n">
        <x:v>8.7</x:v>
      </x:c>
      <x:c r="H746" s="93" t="n">
        <x:v>608.32</x:v>
      </x:c>
    </x:row>
    <x:row r="747">
      <x:c r="A747" s="85" t="n">
        <x:v>746</x:v>
      </x:c>
      <x:c r="B747" s="86" t="n">
        <x:v>217</x:v>
      </x:c>
      <x:c r="C747" s="86" t="n">
        <x:v>7</x:v>
      </x:c>
      <x:c r="D747" s="95" t="n">
        <x:v>45732</x:v>
      </x:c>
      <x:c r="E747" s="95"/>
      <x:c r="F747" s="86" t="str">
        <x:v>Em andamento</x:v>
      </x:c>
      <x:c r="G747" s="86"/>
      <x:c r="H747" s="93" t="n">
        <x:v>801.4</x:v>
      </x:c>
    </x:row>
    <x:row r="748">
      <x:c r="A748" s="85" t="n">
        <x:v>747</x:v>
      </x:c>
      <x:c r="B748" s="86" t="n">
        <x:v>159</x:v>
      </x:c>
      <x:c r="C748" s="86" t="n">
        <x:v>6</x:v>
      </x:c>
      <x:c r="D748" s="95" t="n">
        <x:v>45382</x:v>
      </x:c>
      <x:c r="E748" s="95" t="n">
        <x:v>45397</x:v>
      </x:c>
      <x:c r="F748" s="86" t="str">
        <x:v>Concluído</x:v>
      </x:c>
      <x:c r="G748" s="86" t="n">
        <x:v>9.7</x:v>
      </x:c>
      <x:c r="H748" s="93" t="n">
        <x:v>823.41</x:v>
      </x:c>
    </x:row>
    <x:row r="749">
      <x:c r="A749" s="85" t="n">
        <x:v>748</x:v>
      </x:c>
      <x:c r="B749" s="86" t="n">
        <x:v>35</x:v>
      </x:c>
      <x:c r="C749" s="86" t="n">
        <x:v>4</x:v>
      </x:c>
      <x:c r="D749" s="95" t="n">
        <x:v>45526</x:v>
      </x:c>
      <x:c r="E749" s="95" t="n">
        <x:v>45546</x:v>
      </x:c>
      <x:c r="F749" s="86" t="str">
        <x:v>Concluído</x:v>
      </x:c>
      <x:c r="G749" s="86" t="n">
        <x:v>6.6</x:v>
      </x:c>
      <x:c r="H749" s="93" t="n">
        <x:v>553.34</x:v>
      </x:c>
    </x:row>
    <x:row r="750">
      <x:c r="A750" s="85" t="n">
        <x:v>749</x:v>
      </x:c>
      <x:c r="B750" s="86" t="n">
        <x:v>301</x:v>
      </x:c>
      <x:c r="C750" s="86" t="n">
        <x:v>2</x:v>
      </x:c>
      <x:c r="D750" s="95" t="n">
        <x:v>45822</x:v>
      </x:c>
      <x:c r="E750" s="95" t="n">
        <x:v>45836</x:v>
      </x:c>
      <x:c r="F750" s="86" t="str">
        <x:v>Concluído</x:v>
      </x:c>
      <x:c r="G750" s="86" t="n">
        <x:v>8.7</x:v>
      </x:c>
      <x:c r="H750" s="93" t="n">
        <x:v>810.6</x:v>
      </x:c>
    </x:row>
    <x:row r="751">
      <x:c r="A751" s="85" t="n">
        <x:v>750</x:v>
      </x:c>
      <x:c r="B751" s="86" t="n">
        <x:v>3</x:v>
      </x:c>
      <x:c r="C751" s="86" t="n">
        <x:v>2</x:v>
      </x:c>
      <x:c r="D751" s="95" t="n">
        <x:v>45996</x:v>
      </x:c>
      <x:c r="E751" s="95" t="n">
        <x:v>46006</x:v>
      </x:c>
      <x:c r="F751" s="86" t="str">
        <x:v>Concluído</x:v>
      </x:c>
      <x:c r="G751" s="86" t="n">
        <x:v>5.4</x:v>
      </x:c>
      <x:c r="H751" s="93" t="n">
        <x:v>842.47</x:v>
      </x:c>
    </x:row>
    <x:row r="752">
      <x:c r="A752" s="85" t="n">
        <x:v>751</x:v>
      </x:c>
      <x:c r="B752" s="86" t="n">
        <x:v>287</x:v>
      </x:c>
      <x:c r="C752" s="86" t="n">
        <x:v>2</x:v>
      </x:c>
      <x:c r="D752" s="95" t="n">
        <x:v>45515</x:v>
      </x:c>
      <x:c r="E752" s="95"/>
      <x:c r="F752" s="86" t="str">
        <x:v>Em andamento</x:v>
      </x:c>
      <x:c r="G752" s="86"/>
      <x:c r="H752" s="93" t="n">
        <x:v>409.28</x:v>
      </x:c>
    </x:row>
    <x:row r="753">
      <x:c r="A753" s="85" t="n">
        <x:v>752</x:v>
      </x:c>
      <x:c r="B753" s="86" t="n">
        <x:v>328</x:v>
      </x:c>
      <x:c r="C753" s="86" t="n">
        <x:v>9</x:v>
      </x:c>
      <x:c r="D753" s="95" t="n">
        <x:v>45964</x:v>
      </x:c>
      <x:c r="E753" s="95" t="n">
        <x:v>45965</x:v>
      </x:c>
      <x:c r="F753" s="86" t="str">
        <x:v>Concluído</x:v>
      </x:c>
      <x:c r="G753" s="86" t="n">
        <x:v>8.7</x:v>
      </x:c>
      <x:c r="H753" s="93" t="n">
        <x:v>205.76</x:v>
      </x:c>
    </x:row>
    <x:row r="754">
      <x:c r="A754" s="85" t="n">
        <x:v>753</x:v>
      </x:c>
      <x:c r="B754" s="86" t="n">
        <x:v>155</x:v>
      </x:c>
      <x:c r="C754" s="86" t="n">
        <x:v>4</x:v>
      </x:c>
      <x:c r="D754" s="95" t="n">
        <x:v>45437</x:v>
      </x:c>
      <x:c r="E754" s="95"/>
      <x:c r="F754" s="86" t="str">
        <x:v>Em andamento</x:v>
      </x:c>
      <x:c r="G754" s="86"/>
      <x:c r="H754" s="93" t="n">
        <x:v>219.18</x:v>
      </x:c>
    </x:row>
    <x:row r="755">
      <x:c r="A755" s="85" t="n">
        <x:v>754</x:v>
      </x:c>
      <x:c r="B755" s="86" t="n">
        <x:v>112</x:v>
      </x:c>
      <x:c r="C755" s="86" t="n">
        <x:v>2</x:v>
      </x:c>
      <x:c r="D755" s="95" t="n">
        <x:v>45816</x:v>
      </x:c>
      <x:c r="E755" s="95" t="n">
        <x:v>45831</x:v>
      </x:c>
      <x:c r="F755" s="86" t="str">
        <x:v>Concluído</x:v>
      </x:c>
      <x:c r="G755" s="86" t="n">
        <x:v>8.4</x:v>
      </x:c>
      <x:c r="H755" s="93" t="n">
        <x:v>487.92</x:v>
      </x:c>
    </x:row>
    <x:row r="756">
      <x:c r="A756" s="85" t="n">
        <x:v>755</x:v>
      </x:c>
      <x:c r="B756" s="86" t="n">
        <x:v>208</x:v>
      </x:c>
      <x:c r="C756" s="86" t="n">
        <x:v>8</x:v>
      </x:c>
      <x:c r="D756" s="95" t="n">
        <x:v>45593</x:v>
      </x:c>
      <x:c r="E756" s="95" t="n">
        <x:v>45607</x:v>
      </x:c>
      <x:c r="F756" s="86" t="str">
        <x:v>Concluído</x:v>
      </x:c>
      <x:c r="G756" s="86" t="n">
        <x:v>8.6</x:v>
      </x:c>
      <x:c r="H756" s="93" t="n">
        <x:v>218.79</x:v>
      </x:c>
    </x:row>
    <x:row r="757">
      <x:c r="A757" s="85" t="n">
        <x:v>756</x:v>
      </x:c>
      <x:c r="B757" s="86" t="n">
        <x:v>415</x:v>
      </x:c>
      <x:c r="C757" s="86" t="n">
        <x:v>5</x:v>
      </x:c>
      <x:c r="D757" s="95" t="n">
        <x:v>45955</x:v>
      </x:c>
      <x:c r="E757" s="95" t="n">
        <x:v>45966</x:v>
      </x:c>
      <x:c r="F757" s="86" t="str">
        <x:v>Concluído</x:v>
      </x:c>
      <x:c r="G757" s="86" t="n">
        <x:v>5.4</x:v>
      </x:c>
      <x:c r="H757" s="93" t="n">
        <x:v>213.91</x:v>
      </x:c>
    </x:row>
    <x:row r="758">
      <x:c r="A758" s="85" t="n">
        <x:v>757</x:v>
      </x:c>
      <x:c r="B758" s="86" t="n">
        <x:v>310</x:v>
      </x:c>
      <x:c r="C758" s="86" t="n">
        <x:v>9</x:v>
      </x:c>
      <x:c r="D758" s="95" t="n">
        <x:v>45813</x:v>
      </x:c>
      <x:c r="E758" s="95" t="n">
        <x:v>45830</x:v>
      </x:c>
      <x:c r="F758" s="86" t="str">
        <x:v>Concluído</x:v>
      </x:c>
      <x:c r="G758" s="86" t="n">
        <x:v>9.3</x:v>
      </x:c>
      <x:c r="H758" s="93" t="n">
        <x:v>313.28</x:v>
      </x:c>
    </x:row>
    <x:row r="759">
      <x:c r="A759" s="85" t="n">
        <x:v>758</x:v>
      </x:c>
      <x:c r="B759" s="86" t="n">
        <x:v>411</x:v>
      </x:c>
      <x:c r="C759" s="86" t="n">
        <x:v>10</x:v>
      </x:c>
      <x:c r="D759" s="95" t="n">
        <x:v>45425</x:v>
      </x:c>
      <x:c r="E759" s="95" t="n">
        <x:v>45427</x:v>
      </x:c>
      <x:c r="F759" s="86" t="str">
        <x:v>Concluído</x:v>
      </x:c>
      <x:c r="G759" s="86" t="n">
        <x:v>6.7</x:v>
      </x:c>
      <x:c r="H759" s="93" t="n">
        <x:v>580.34</x:v>
      </x:c>
    </x:row>
    <x:row r="760">
      <x:c r="A760" s="85" t="n">
        <x:v>759</x:v>
      </x:c>
      <x:c r="B760" s="86" t="n">
        <x:v>417</x:v>
      </x:c>
      <x:c r="C760" s="86" t="n">
        <x:v>10</x:v>
      </x:c>
      <x:c r="D760" s="95" t="n">
        <x:v>45829</x:v>
      </x:c>
      <x:c r="E760" s="95" t="n">
        <x:v>45843</x:v>
      </x:c>
      <x:c r="F760" s="86" t="str">
        <x:v>Concluído</x:v>
      </x:c>
      <x:c r="G760" s="86" t="n">
        <x:v>5</x:v>
      </x:c>
      <x:c r="H760" s="93" t="n">
        <x:v>522.74</x:v>
      </x:c>
    </x:row>
    <x:row r="761">
      <x:c r="A761" s="85" t="n">
        <x:v>760</x:v>
      </x:c>
      <x:c r="B761" s="86" t="n">
        <x:v>29</x:v>
      </x:c>
      <x:c r="C761" s="86" t="n">
        <x:v>3</x:v>
      </x:c>
      <x:c r="D761" s="95" t="n">
        <x:v>45916</x:v>
      </x:c>
      <x:c r="E761" s="95" t="n">
        <x:v>45935</x:v>
      </x:c>
      <x:c r="F761" s="86" t="str">
        <x:v>Concluído</x:v>
      </x:c>
      <x:c r="G761" s="86" t="n">
        <x:v>8.9</x:v>
      </x:c>
      <x:c r="H761" s="93" t="n">
        <x:v>730.89</x:v>
      </x:c>
    </x:row>
    <x:row r="762">
      <x:c r="A762" s="85" t="n">
        <x:v>761</x:v>
      </x:c>
      <x:c r="B762" s="86" t="n">
        <x:v>71</x:v>
      </x:c>
      <x:c r="C762" s="86" t="n">
        <x:v>4</x:v>
      </x:c>
      <x:c r="D762" s="95" t="n">
        <x:v>45790</x:v>
      </x:c>
      <x:c r="E762" s="95"/>
      <x:c r="F762" s="86" t="str">
        <x:v>Em andamento</x:v>
      </x:c>
      <x:c r="G762" s="86"/>
      <x:c r="H762" s="93" t="n">
        <x:v>118.57</x:v>
      </x:c>
    </x:row>
    <x:row r="763">
      <x:c r="A763" s="85" t="n">
        <x:v>762</x:v>
      </x:c>
      <x:c r="B763" s="86" t="n">
        <x:v>221</x:v>
      </x:c>
      <x:c r="C763" s="86" t="n">
        <x:v>8</x:v>
      </x:c>
      <x:c r="D763" s="95" t="n">
        <x:v>45912</x:v>
      </x:c>
      <x:c r="E763" s="95" t="n">
        <x:v>45930</x:v>
      </x:c>
      <x:c r="F763" s="86" t="str">
        <x:v>Concluído</x:v>
      </x:c>
      <x:c r="G763" s="86" t="n">
        <x:v>5.8</x:v>
      </x:c>
      <x:c r="H763" s="93" t="n">
        <x:v>732.94</x:v>
      </x:c>
    </x:row>
    <x:row r="764">
      <x:c r="A764" s="85" t="n">
        <x:v>763</x:v>
      </x:c>
      <x:c r="B764" s="86" t="n">
        <x:v>17</x:v>
      </x:c>
      <x:c r="C764" s="86" t="n">
        <x:v>6</x:v>
      </x:c>
      <x:c r="D764" s="95" t="n">
        <x:v>45661</x:v>
      </x:c>
      <x:c r="E764" s="95"/>
      <x:c r="F764" s="86" t="str">
        <x:v>Não iniciado</x:v>
      </x:c>
      <x:c r="G764" s="86"/>
      <x:c r="H764" s="93" t="n">
        <x:v>468.53</x:v>
      </x:c>
    </x:row>
    <x:row r="765">
      <x:c r="A765" s="85" t="n">
        <x:v>764</x:v>
      </x:c>
      <x:c r="B765" s="86" t="n">
        <x:v>175</x:v>
      </x:c>
      <x:c r="C765" s="86" t="n">
        <x:v>6</x:v>
      </x:c>
      <x:c r="D765" s="95" t="n">
        <x:v>45923</x:v>
      </x:c>
      <x:c r="E765" s="95" t="n">
        <x:v>45940</x:v>
      </x:c>
      <x:c r="F765" s="86" t="str">
        <x:v>Concluído</x:v>
      </x:c>
      <x:c r="G765" s="86" t="n">
        <x:v>7</x:v>
      </x:c>
      <x:c r="H765" s="93" t="n">
        <x:v>449.11</x:v>
      </x:c>
    </x:row>
    <x:row r="766">
      <x:c r="A766" s="85" t="n">
        <x:v>765</x:v>
      </x:c>
      <x:c r="B766" s="86" t="n">
        <x:v>304</x:v>
      </x:c>
      <x:c r="C766" s="86" t="n">
        <x:v>10</x:v>
      </x:c>
      <x:c r="D766" s="95" t="n">
        <x:v>45841</x:v>
      </x:c>
      <x:c r="E766" s="95" t="n">
        <x:v>45841</x:v>
      </x:c>
      <x:c r="F766" s="86" t="str">
        <x:v>Concluído</x:v>
      </x:c>
      <x:c r="G766" s="86" t="n">
        <x:v>5.9</x:v>
      </x:c>
      <x:c r="H766" s="93" t="n">
        <x:v>487.04</x:v>
      </x:c>
    </x:row>
    <x:row r="767">
      <x:c r="A767" s="85" t="n">
        <x:v>766</x:v>
      </x:c>
      <x:c r="B767" s="86" t="n">
        <x:v>300</x:v>
      </x:c>
      <x:c r="C767" s="86" t="n">
        <x:v>9</x:v>
      </x:c>
      <x:c r="D767" s="95" t="n">
        <x:v>45753</x:v>
      </x:c>
      <x:c r="E767" s="95" t="n">
        <x:v>45767</x:v>
      </x:c>
      <x:c r="F767" s="86" t="str">
        <x:v>Concluído</x:v>
      </x:c>
      <x:c r="G767" s="86" t="n">
        <x:v>6.6</x:v>
      </x:c>
      <x:c r="H767" s="93" t="n">
        <x:v>778.72</x:v>
      </x:c>
    </x:row>
    <x:row r="768">
      <x:c r="A768" s="85" t="n">
        <x:v>767</x:v>
      </x:c>
      <x:c r="B768" s="86" t="n">
        <x:v>316</x:v>
      </x:c>
      <x:c r="C768" s="86" t="n">
        <x:v>2</x:v>
      </x:c>
      <x:c r="D768" s="95" t="n">
        <x:v>45740</x:v>
      </x:c>
      <x:c r="E768" s="95" t="n">
        <x:v>45743</x:v>
      </x:c>
      <x:c r="F768" s="86" t="str">
        <x:v>Concluído</x:v>
      </x:c>
      <x:c r="G768" s="86" t="n">
        <x:v>7.7</x:v>
      </x:c>
      <x:c r="H768" s="93" t="n">
        <x:v>339.79</x:v>
      </x:c>
    </x:row>
    <x:row r="769">
      <x:c r="A769" s="85" t="n">
        <x:v>768</x:v>
      </x:c>
      <x:c r="B769" s="86" t="n">
        <x:v>252</x:v>
      </x:c>
      <x:c r="C769" s="86" t="n">
        <x:v>5</x:v>
      </x:c>
      <x:c r="D769" s="95" t="n">
        <x:v>46010</x:v>
      </x:c>
      <x:c r="E769" s="95" t="n">
        <x:v>46021</x:v>
      </x:c>
      <x:c r="F769" s="86" t="str">
        <x:v>Concluído</x:v>
      </x:c>
      <x:c r="G769" s="86" t="n">
        <x:v>7</x:v>
      </x:c>
      <x:c r="H769" s="93" t="n">
        <x:v>357.93</x:v>
      </x:c>
    </x:row>
    <x:row r="770">
      <x:c r="A770" s="85" t="n">
        <x:v>769</x:v>
      </x:c>
      <x:c r="B770" s="86" t="n">
        <x:v>180</x:v>
      </x:c>
      <x:c r="C770" s="86" t="n">
        <x:v>5</x:v>
      </x:c>
      <x:c r="D770" s="95" t="n">
        <x:v>45383</x:v>
      </x:c>
      <x:c r="E770" s="95" t="n">
        <x:v>45399</x:v>
      </x:c>
      <x:c r="F770" s="86" t="str">
        <x:v>Concluído</x:v>
      </x:c>
      <x:c r="G770" s="86" t="n">
        <x:v>7.3</x:v>
      </x:c>
      <x:c r="H770" s="93" t="n">
        <x:v>177.99</x:v>
      </x:c>
    </x:row>
    <x:row r="771">
      <x:c r="A771" s="85" t="n">
        <x:v>770</x:v>
      </x:c>
      <x:c r="B771" s="86" t="n">
        <x:v>117</x:v>
      </x:c>
      <x:c r="C771" s="86" t="n">
        <x:v>4</x:v>
      </x:c>
      <x:c r="D771" s="95" t="n">
        <x:v>45786</x:v>
      </x:c>
      <x:c r="E771" s="95" t="n">
        <x:v>45799</x:v>
      </x:c>
      <x:c r="F771" s="86" t="str">
        <x:v>Concluído</x:v>
      </x:c>
      <x:c r="G771" s="86" t="n">
        <x:v>5.2</x:v>
      </x:c>
      <x:c r="H771" s="93" t="n">
        <x:v>248.69</x:v>
      </x:c>
    </x:row>
    <x:row r="772">
      <x:c r="A772" s="85" t="n">
        <x:v>771</x:v>
      </x:c>
      <x:c r="B772" s="86" t="n">
        <x:v>412</x:v>
      </x:c>
      <x:c r="C772" s="86" t="n">
        <x:v>4</x:v>
      </x:c>
      <x:c r="D772" s="95" t="n">
        <x:v>45876</x:v>
      </x:c>
      <x:c r="E772" s="95" t="n">
        <x:v>45890</x:v>
      </x:c>
      <x:c r="F772" s="86" t="str">
        <x:v>Concluído</x:v>
      </x:c>
      <x:c r="G772" s="86" t="n">
        <x:v>7.9</x:v>
      </x:c>
      <x:c r="H772" s="93" t="n">
        <x:v>292.7</x:v>
      </x:c>
    </x:row>
    <x:row r="773">
      <x:c r="A773" s="85" t="n">
        <x:v>772</x:v>
      </x:c>
      <x:c r="B773" s="86" t="n">
        <x:v>415</x:v>
      </x:c>
      <x:c r="C773" s="86" t="n">
        <x:v>10</x:v>
      </x:c>
      <x:c r="D773" s="95" t="n">
        <x:v>46004</x:v>
      </x:c>
      <x:c r="E773" s="95" t="n">
        <x:v>46005</x:v>
      </x:c>
      <x:c r="F773" s="86" t="str">
        <x:v>Concluído</x:v>
      </x:c>
      <x:c r="G773" s="86" t="n">
        <x:v>8</x:v>
      </x:c>
      <x:c r="H773" s="93" t="n">
        <x:v>555.94</x:v>
      </x:c>
    </x:row>
    <x:row r="774">
      <x:c r="A774" s="85" t="n">
        <x:v>773</x:v>
      </x:c>
      <x:c r="B774" s="86" t="n">
        <x:v>147</x:v>
      </x:c>
      <x:c r="C774" s="86" t="n">
        <x:v>7</x:v>
      </x:c>
      <x:c r="D774" s="95" t="n">
        <x:v>45906</x:v>
      </x:c>
      <x:c r="E774" s="95" t="n">
        <x:v>45920</x:v>
      </x:c>
      <x:c r="F774" s="86" t="str">
        <x:v>Reprovado</x:v>
      </x:c>
      <x:c r="G774" s="86" t="n">
        <x:v>8.8</x:v>
      </x:c>
      <x:c r="H774" s="93" t="n">
        <x:v>546.26</x:v>
      </x:c>
    </x:row>
    <x:row r="775">
      <x:c r="A775" s="85" t="n">
        <x:v>774</x:v>
      </x:c>
      <x:c r="B775" s="86" t="n">
        <x:v>367</x:v>
      </x:c>
      <x:c r="C775" s="86" t="n">
        <x:v>7</x:v>
      </x:c>
      <x:c r="D775" s="95" t="n">
        <x:v>46020</x:v>
      </x:c>
      <x:c r="E775" s="95"/>
      <x:c r="F775" s="86" t="str">
        <x:v>Não iniciado</x:v>
      </x:c>
      <x:c r="G775" s="86"/>
      <x:c r="H775" s="93" t="n">
        <x:v>419.73</x:v>
      </x:c>
    </x:row>
    <x:row r="776">
      <x:c r="A776" s="85" t="n">
        <x:v>775</x:v>
      </x:c>
      <x:c r="B776" s="86" t="n">
        <x:v>112</x:v>
      </x:c>
      <x:c r="C776" s="86" t="n">
        <x:v>8</x:v>
      </x:c>
      <x:c r="D776" s="95" t="n">
        <x:v>45838</x:v>
      </x:c>
      <x:c r="E776" s="95" t="n">
        <x:v>45851</x:v>
      </x:c>
      <x:c r="F776" s="86" t="str">
        <x:v>Concluído</x:v>
      </x:c>
      <x:c r="G776" s="86" t="n">
        <x:v>6.7</x:v>
      </x:c>
      <x:c r="H776" s="93" t="n">
        <x:v>280.46</x:v>
      </x:c>
    </x:row>
    <x:row r="777">
      <x:c r="A777" s="85" t="n">
        <x:v>776</x:v>
      </x:c>
      <x:c r="B777" s="86" t="n">
        <x:v>310</x:v>
      </x:c>
      <x:c r="C777" s="86" t="n">
        <x:v>3</x:v>
      </x:c>
      <x:c r="D777" s="95" t="n">
        <x:v>45953</x:v>
      </x:c>
      <x:c r="E777" s="95" t="n">
        <x:v>45964</x:v>
      </x:c>
      <x:c r="F777" s="86" t="str">
        <x:v>Concluído</x:v>
      </x:c>
      <x:c r="G777" s="86" t="n">
        <x:v>6</x:v>
      </x:c>
      <x:c r="H777" s="93" t="n">
        <x:v>612.45</x:v>
      </x:c>
    </x:row>
    <x:row r="778">
      <x:c r="A778" s="85" t="n">
        <x:v>777</x:v>
      </x:c>
      <x:c r="B778" s="86" t="n">
        <x:v>83</x:v>
      </x:c>
      <x:c r="C778" s="86" t="n">
        <x:v>8</x:v>
      </x:c>
      <x:c r="D778" s="95" t="n">
        <x:v>45864</x:v>
      </x:c>
      <x:c r="E778" s="95" t="n">
        <x:v>45876</x:v>
      </x:c>
      <x:c r="F778" s="86" t="str">
        <x:v>Concluído</x:v>
      </x:c>
      <x:c r="G778" s="86" t="n">
        <x:v>7.3</x:v>
      </x:c>
      <x:c r="H778" s="93" t="n">
        <x:v>227.84</x:v>
      </x:c>
    </x:row>
    <x:row r="779">
      <x:c r="A779" s="85" t="n">
        <x:v>778</x:v>
      </x:c>
      <x:c r="B779" s="86" t="n">
        <x:v>415</x:v>
      </x:c>
      <x:c r="C779" s="86" t="n">
        <x:v>9</x:v>
      </x:c>
      <x:c r="D779" s="95" t="n">
        <x:v>45916</x:v>
      </x:c>
      <x:c r="E779" s="95" t="n">
        <x:v>45931</x:v>
      </x:c>
      <x:c r="F779" s="86" t="str">
        <x:v>Reprovado</x:v>
      </x:c>
      <x:c r="G779" s="86" t="n">
        <x:v>7.1</x:v>
      </x:c>
      <x:c r="H779" s="93" t="n">
        <x:v>259</x:v>
      </x:c>
    </x:row>
    <x:row r="780">
      <x:c r="A780" s="85" t="n">
        <x:v>779</x:v>
      </x:c>
      <x:c r="B780" s="86" t="n">
        <x:v>81</x:v>
      </x:c>
      <x:c r="C780" s="86" t="n">
        <x:v>7</x:v>
      </x:c>
      <x:c r="D780" s="95" t="n">
        <x:v>45690</x:v>
      </x:c>
      <x:c r="E780" s="95" t="n">
        <x:v>45690</x:v>
      </x:c>
      <x:c r="F780" s="86" t="str">
        <x:v>Reprovado</x:v>
      </x:c>
      <x:c r="G780" s="86" t="n">
        <x:v>6.2</x:v>
      </x:c>
      <x:c r="H780" s="93" t="n">
        <x:v>591.51</x:v>
      </x:c>
    </x:row>
    <x:row r="781">
      <x:c r="A781" s="85" t="n">
        <x:v>780</x:v>
      </x:c>
      <x:c r="B781" s="86" t="n">
        <x:v>219</x:v>
      </x:c>
      <x:c r="C781" s="86" t="n">
        <x:v>9</x:v>
      </x:c>
      <x:c r="D781" s="95" t="n">
        <x:v>45757</x:v>
      </x:c>
      <x:c r="E781" s="95" t="n">
        <x:v>45762</x:v>
      </x:c>
      <x:c r="F781" s="86" t="str">
        <x:v>Concluído</x:v>
      </x:c>
      <x:c r="G781" s="86" t="n">
        <x:v>6.2</x:v>
      </x:c>
      <x:c r="H781" s="93" t="n">
        <x:v>531.45</x:v>
      </x:c>
    </x:row>
    <x:row r="782">
      <x:c r="A782" s="85" t="n">
        <x:v>781</x:v>
      </x:c>
      <x:c r="B782" s="86" t="n">
        <x:v>44</x:v>
      </x:c>
      <x:c r="C782" s="86" t="n">
        <x:v>9</x:v>
      </x:c>
      <x:c r="D782" s="95" t="n">
        <x:v>45839</x:v>
      </x:c>
      <x:c r="E782" s="95" t="n">
        <x:v>45851</x:v>
      </x:c>
      <x:c r="F782" s="86" t="str">
        <x:v>Concluído</x:v>
      </x:c>
      <x:c r="G782" s="86" t="n">
        <x:v>6.6</x:v>
      </x:c>
      <x:c r="H782" s="93" t="n">
        <x:v>286.15</x:v>
      </x:c>
    </x:row>
    <x:row r="783">
      <x:c r="A783" s="85" t="n">
        <x:v>782</x:v>
      </x:c>
      <x:c r="B783" s="86" t="n">
        <x:v>374</x:v>
      </x:c>
      <x:c r="C783" s="86" t="n">
        <x:v>10</x:v>
      </x:c>
      <x:c r="D783" s="95" t="n">
        <x:v>45315</x:v>
      </x:c>
      <x:c r="E783" s="95" t="n">
        <x:v>45328</x:v>
      </x:c>
      <x:c r="F783" s="86" t="str">
        <x:v>Concluído</x:v>
      </x:c>
      <x:c r="G783" s="86" t="n">
        <x:v>5.1</x:v>
      </x:c>
      <x:c r="H783" s="93" t="n">
        <x:v>832.55</x:v>
      </x:c>
    </x:row>
    <x:row r="784">
      <x:c r="A784" s="85" t="n">
        <x:v>783</x:v>
      </x:c>
      <x:c r="B784" s="86" t="n">
        <x:v>208</x:v>
      </x:c>
      <x:c r="C784" s="86" t="n">
        <x:v>10</x:v>
      </x:c>
      <x:c r="D784" s="95" t="n">
        <x:v>45841</x:v>
      </x:c>
      <x:c r="E784" s="95" t="n">
        <x:v>45854</x:v>
      </x:c>
      <x:c r="F784" s="86" t="str">
        <x:v>Concluído</x:v>
      </x:c>
      <x:c r="G784" s="86" t="n">
        <x:v>7.6</x:v>
      </x:c>
      <x:c r="H784" s="93" t="n">
        <x:v>359.11</x:v>
      </x:c>
    </x:row>
    <x:row r="785">
      <x:c r="A785" s="85" t="n">
        <x:v>784</x:v>
      </x:c>
      <x:c r="B785" s="86" t="n">
        <x:v>274</x:v>
      </x:c>
      <x:c r="C785" s="86" t="n">
        <x:v>5</x:v>
      </x:c>
      <x:c r="D785" s="95" t="n">
        <x:v>45586</x:v>
      </x:c>
      <x:c r="E785" s="95" t="n">
        <x:v>45591</x:v>
      </x:c>
      <x:c r="F785" s="86" t="str">
        <x:v>Concluído</x:v>
      </x:c>
      <x:c r="G785" s="86" t="n">
        <x:v>8.2</x:v>
      </x:c>
      <x:c r="H785" s="93" t="n">
        <x:v>847.52</x:v>
      </x:c>
    </x:row>
    <x:row r="786">
      <x:c r="A786" s="85" t="n">
        <x:v>785</x:v>
      </x:c>
      <x:c r="B786" s="86" t="n">
        <x:v>196</x:v>
      </x:c>
      <x:c r="C786" s="86" t="n">
        <x:v>4</x:v>
      </x:c>
      <x:c r="D786" s="95" t="n">
        <x:v>45706</x:v>
      </x:c>
      <x:c r="E786" s="95"/>
      <x:c r="F786" s="86" t="str">
        <x:v>Não iniciado</x:v>
      </x:c>
      <x:c r="G786" s="86"/>
      <x:c r="H786" s="93" t="n">
        <x:v>722.3</x:v>
      </x:c>
    </x:row>
    <x:row r="787">
      <x:c r="A787" s="85" t="n">
        <x:v>786</x:v>
      </x:c>
      <x:c r="B787" s="86" t="n">
        <x:v>297</x:v>
      </x:c>
      <x:c r="C787" s="86" t="n">
        <x:v>5</x:v>
      </x:c>
      <x:c r="D787" s="95" t="n">
        <x:v>45708</x:v>
      </x:c>
      <x:c r="E787" s="95"/>
      <x:c r="F787" s="86" t="str">
        <x:v>Em andamento</x:v>
      </x:c>
      <x:c r="G787" s="86"/>
      <x:c r="H787" s="93" t="n">
        <x:v>756.35</x:v>
      </x:c>
    </x:row>
    <x:row r="788">
      <x:c r="A788" s="85" t="n">
        <x:v>787</x:v>
      </x:c>
      <x:c r="B788" s="86" t="n">
        <x:v>39</x:v>
      </x:c>
      <x:c r="C788" s="86" t="n">
        <x:v>8</x:v>
      </x:c>
      <x:c r="D788" s="95" t="n">
        <x:v>45865</x:v>
      </x:c>
      <x:c r="E788" s="95" t="n">
        <x:v>45881</x:v>
      </x:c>
      <x:c r="F788" s="86" t="str">
        <x:v>Concluído</x:v>
      </x:c>
      <x:c r="G788" s="86" t="n">
        <x:v>10</x:v>
      </x:c>
      <x:c r="H788" s="93" t="n">
        <x:v>317.07</x:v>
      </x:c>
    </x:row>
    <x:row r="789">
      <x:c r="A789" s="85" t="n">
        <x:v>788</x:v>
      </x:c>
      <x:c r="B789" s="86" t="n">
        <x:v>121</x:v>
      </x:c>
      <x:c r="C789" s="86" t="n">
        <x:v>2</x:v>
      </x:c>
      <x:c r="D789" s="95" t="n">
        <x:v>45854</x:v>
      </x:c>
      <x:c r="E789" s="95" t="n">
        <x:v>45871</x:v>
      </x:c>
      <x:c r="F789" s="86" t="str">
        <x:v>Concluído</x:v>
      </x:c>
      <x:c r="G789" s="86" t="n">
        <x:v>5.5</x:v>
      </x:c>
      <x:c r="H789" s="93" t="n">
        <x:v>288.93</x:v>
      </x:c>
    </x:row>
    <x:row r="790">
      <x:c r="A790" s="85" t="n">
        <x:v>789</x:v>
      </x:c>
      <x:c r="B790" s="86" t="n">
        <x:v>262</x:v>
      </x:c>
      <x:c r="C790" s="86" t="n">
        <x:v>2</x:v>
      </x:c>
      <x:c r="D790" s="95" t="n">
        <x:v>45860</x:v>
      </x:c>
      <x:c r="E790" s="95"/>
      <x:c r="F790" s="86" t="str">
        <x:v>Em andamento</x:v>
      </x:c>
      <x:c r="G790" s="86"/>
      <x:c r="H790" s="93" t="n">
        <x:v>274.42</x:v>
      </x:c>
    </x:row>
    <x:row r="791">
      <x:c r="A791" s="85" t="n">
        <x:v>790</x:v>
      </x:c>
      <x:c r="B791" s="86" t="n">
        <x:v>226</x:v>
      </x:c>
      <x:c r="C791" s="86" t="n">
        <x:v>10</x:v>
      </x:c>
      <x:c r="D791" s="95" t="n">
        <x:v>45890</x:v>
      </x:c>
      <x:c r="E791" s="95"/>
      <x:c r="F791" s="86" t="str">
        <x:v>Não iniciado</x:v>
      </x:c>
      <x:c r="G791" s="86"/>
      <x:c r="H791" s="93" t="n">
        <x:v>777.81</x:v>
      </x:c>
    </x:row>
    <x:row r="792">
      <x:c r="A792" s="85" t="n">
        <x:v>791</x:v>
      </x:c>
      <x:c r="B792" s="86" t="n">
        <x:v>221</x:v>
      </x:c>
      <x:c r="C792" s="86" t="n">
        <x:v>4</x:v>
      </x:c>
      <x:c r="D792" s="95" t="n">
        <x:v>45365</x:v>
      </x:c>
      <x:c r="E792" s="95"/>
      <x:c r="F792" s="86" t="str">
        <x:v>Em andamento</x:v>
      </x:c>
      <x:c r="G792" s="86"/>
      <x:c r="H792" s="93" t="n">
        <x:v>748.93</x:v>
      </x:c>
    </x:row>
    <x:row r="793">
      <x:c r="A793" s="85" t="n">
        <x:v>792</x:v>
      </x:c>
      <x:c r="B793" s="86" t="n">
        <x:v>417</x:v>
      </x:c>
      <x:c r="C793" s="86" t="n">
        <x:v>5</x:v>
      </x:c>
      <x:c r="D793" s="95" t="n">
        <x:v>45947</x:v>
      </x:c>
      <x:c r="E793" s="95" t="n">
        <x:v>45950</x:v>
      </x:c>
      <x:c r="F793" s="86" t="str">
        <x:v>Concluído</x:v>
      </x:c>
      <x:c r="G793" s="86" t="n">
        <x:v>8</x:v>
      </x:c>
      <x:c r="H793" s="93" t="n">
        <x:v>112.94</x:v>
      </x:c>
    </x:row>
    <x:row r="794">
      <x:c r="A794" s="85" t="n">
        <x:v>793</x:v>
      </x:c>
      <x:c r="B794" s="86" t="n">
        <x:v>311</x:v>
      </x:c>
      <x:c r="C794" s="86" t="n">
        <x:v>7</x:v>
      </x:c>
      <x:c r="D794" s="95" t="n">
        <x:v>45552</x:v>
      </x:c>
      <x:c r="E794" s="95" t="n">
        <x:v>45557</x:v>
      </x:c>
      <x:c r="F794" s="86" t="str">
        <x:v>Reprovado</x:v>
      </x:c>
      <x:c r="G794" s="86" t="n">
        <x:v>8.4</x:v>
      </x:c>
      <x:c r="H794" s="93" t="n">
        <x:v>719.69</x:v>
      </x:c>
    </x:row>
    <x:row r="795">
      <x:c r="A795" s="85" t="n">
        <x:v>794</x:v>
      </x:c>
      <x:c r="B795" s="86" t="n">
        <x:v>275</x:v>
      </x:c>
      <x:c r="C795" s="86" t="n">
        <x:v>10</x:v>
      </x:c>
      <x:c r="D795" s="95" t="n">
        <x:v>45848</x:v>
      </x:c>
      <x:c r="E795" s="95" t="n">
        <x:v>45865</x:v>
      </x:c>
      <x:c r="F795" s="86" t="str">
        <x:v>Concluído</x:v>
      </x:c>
      <x:c r="G795" s="86" t="n">
        <x:v>8.5</x:v>
      </x:c>
      <x:c r="H795" s="93" t="n">
        <x:v>611.99</x:v>
      </x:c>
    </x:row>
    <x:row r="796">
      <x:c r="A796" s="85" t="n">
        <x:v>795</x:v>
      </x:c>
      <x:c r="B796" s="86" t="n">
        <x:v>318</x:v>
      </x:c>
      <x:c r="C796" s="86" t="n">
        <x:v>3</x:v>
      </x:c>
      <x:c r="D796" s="95" t="n">
        <x:v>45932</x:v>
      </x:c>
      <x:c r="E796" s="95" t="n">
        <x:v>45939</x:v>
      </x:c>
      <x:c r="F796" s="86" t="str">
        <x:v>Concluído</x:v>
      </x:c>
      <x:c r="G796" s="86" t="n">
        <x:v>7</x:v>
      </x:c>
      <x:c r="H796" s="93" t="n">
        <x:v>190.1</x:v>
      </x:c>
    </x:row>
    <x:row r="797">
      <x:c r="A797" s="85" t="n">
        <x:v>796</x:v>
      </x:c>
      <x:c r="B797" s="86" t="n">
        <x:v>144</x:v>
      </x:c>
      <x:c r="C797" s="86" t="n">
        <x:v>6</x:v>
      </x:c>
      <x:c r="D797" s="95" t="n">
        <x:v>45944</x:v>
      </x:c>
      <x:c r="E797" s="95"/>
      <x:c r="F797" s="86" t="str">
        <x:v>Em andamento</x:v>
      </x:c>
      <x:c r="G797" s="86"/>
      <x:c r="H797" s="93" t="n">
        <x:v>676.37</x:v>
      </x:c>
    </x:row>
    <x:row r="798">
      <x:c r="A798" s="85" t="n">
        <x:v>797</x:v>
      </x:c>
      <x:c r="B798" s="86" t="n">
        <x:v>76</x:v>
      </x:c>
      <x:c r="C798" s="86" t="n">
        <x:v>9</x:v>
      </x:c>
      <x:c r="D798" s="95" t="n">
        <x:v>45611</x:v>
      </x:c>
      <x:c r="E798" s="95" t="n">
        <x:v>45620</x:v>
      </x:c>
      <x:c r="F798" s="86" t="str">
        <x:v>Concluído</x:v>
      </x:c>
      <x:c r="G798" s="86" t="n">
        <x:v>5.2</x:v>
      </x:c>
      <x:c r="H798" s="93" t="n">
        <x:v>478.56</x:v>
      </x:c>
    </x:row>
    <x:row r="799">
      <x:c r="A799" s="85" t="n">
        <x:v>798</x:v>
      </x:c>
      <x:c r="B799" s="86" t="n">
        <x:v>323</x:v>
      </x:c>
      <x:c r="C799" s="86" t="n">
        <x:v>10</x:v>
      </x:c>
      <x:c r="D799" s="95" t="n">
        <x:v>45946</x:v>
      </x:c>
      <x:c r="E799" s="95" t="n">
        <x:v>45947</x:v>
      </x:c>
      <x:c r="F799" s="86" t="str">
        <x:v>Concluído</x:v>
      </x:c>
      <x:c r="G799" s="86" t="n">
        <x:v>7.1</x:v>
      </x:c>
      <x:c r="H799" s="93" t="n">
        <x:v>458.1</x:v>
      </x:c>
    </x:row>
    <x:row r="800">
      <x:c r="A800" s="85" t="n">
        <x:v>799</x:v>
      </x:c>
      <x:c r="B800" s="86" t="n">
        <x:v>126</x:v>
      </x:c>
      <x:c r="C800" s="86" t="n">
        <x:v>4</x:v>
      </x:c>
      <x:c r="D800" s="95" t="n">
        <x:v>45966</x:v>
      </x:c>
      <x:c r="E800" s="95" t="n">
        <x:v>45966</x:v>
      </x:c>
      <x:c r="F800" s="86" t="str">
        <x:v>Concluído</x:v>
      </x:c>
      <x:c r="G800" s="86" t="n">
        <x:v>8.4</x:v>
      </x:c>
      <x:c r="H800" s="93" t="n">
        <x:v>579.49</x:v>
      </x:c>
    </x:row>
    <x:row r="801">
      <x:c r="A801" s="85" t="n">
        <x:v>800</x:v>
      </x:c>
      <x:c r="B801" s="86" t="n">
        <x:v>266</x:v>
      </x:c>
      <x:c r="C801" s="86" t="n">
        <x:v>9</x:v>
      </x:c>
      <x:c r="D801" s="95" t="n">
        <x:v>45929</x:v>
      </x:c>
      <x:c r="E801" s="95" t="n">
        <x:v>45938</x:v>
      </x:c>
      <x:c r="F801" s="86" t="str">
        <x:v>Concluído</x:v>
      </x:c>
      <x:c r="G801" s="86" t="n">
        <x:v>6.5</x:v>
      </x:c>
      <x:c r="H801" s="93" t="n">
        <x:v>545.71</x:v>
      </x:c>
    </x:row>
    <x:row r="802">
      <x:c r="A802" s="85" t="n">
        <x:v>801</x:v>
      </x:c>
      <x:c r="B802" s="86" t="n">
        <x:v>53</x:v>
      </x:c>
      <x:c r="C802" s="86" t="n">
        <x:v>7</x:v>
      </x:c>
      <x:c r="D802" s="95" t="n">
        <x:v>45918</x:v>
      </x:c>
      <x:c r="E802" s="95" t="n">
        <x:v>45936</x:v>
      </x:c>
      <x:c r="F802" s="86" t="str">
        <x:v>Concluído</x:v>
      </x:c>
      <x:c r="G802" s="86" t="n">
        <x:v>8.7</x:v>
      </x:c>
      <x:c r="H802" s="93" t="n">
        <x:v>687</x:v>
      </x:c>
    </x:row>
    <x:row r="803">
      <x:c r="A803" s="85" t="n">
        <x:v>802</x:v>
      </x:c>
      <x:c r="B803" s="86" t="n">
        <x:v>287</x:v>
      </x:c>
      <x:c r="C803" s="86" t="n">
        <x:v>10</x:v>
      </x:c>
      <x:c r="D803" s="95" t="n">
        <x:v>45826</x:v>
      </x:c>
      <x:c r="E803" s="95" t="n">
        <x:v>45846</x:v>
      </x:c>
      <x:c r="F803" s="86" t="str">
        <x:v>Concluído</x:v>
      </x:c>
      <x:c r="G803" s="86" t="n">
        <x:v>6.2</x:v>
      </x:c>
      <x:c r="H803" s="93" t="n">
        <x:v>192.79</x:v>
      </x:c>
    </x:row>
    <x:row r="804">
      <x:c r="A804" s="85" t="n">
        <x:v>803</x:v>
      </x:c>
      <x:c r="B804" s="86" t="n">
        <x:v>198</x:v>
      </x:c>
      <x:c r="C804" s="86" t="n">
        <x:v>9</x:v>
      </x:c>
      <x:c r="D804" s="95" t="n">
        <x:v>45920</x:v>
      </x:c>
      <x:c r="E804" s="95" t="n">
        <x:v>45931</x:v>
      </x:c>
      <x:c r="F804" s="86" t="str">
        <x:v>Concluído</x:v>
      </x:c>
      <x:c r="G804" s="86" t="n">
        <x:v>8.7</x:v>
      </x:c>
      <x:c r="H804" s="93" t="n">
        <x:v>452.44</x:v>
      </x:c>
    </x:row>
    <x:row r="805">
      <x:c r="A805" s="85" t="n">
        <x:v>804</x:v>
      </x:c>
      <x:c r="B805" s="86" t="n">
        <x:v>270</x:v>
      </x:c>
      <x:c r="C805" s="86" t="n">
        <x:v>2</x:v>
      </x:c>
      <x:c r="D805" s="95" t="n">
        <x:v>45890</x:v>
      </x:c>
      <x:c r="E805" s="95" t="n">
        <x:v>45892</x:v>
      </x:c>
      <x:c r="F805" s="86" t="str">
        <x:v>Concluído</x:v>
      </x:c>
      <x:c r="G805" s="86" t="n">
        <x:v>5.2</x:v>
      </x:c>
      <x:c r="H805" s="93" t="n">
        <x:v>580.78</x:v>
      </x:c>
    </x:row>
    <x:row r="806">
      <x:c r="A806" s="85" t="n">
        <x:v>805</x:v>
      </x:c>
      <x:c r="B806" s="86" t="n">
        <x:v>195</x:v>
      </x:c>
      <x:c r="C806" s="86" t="n">
        <x:v>4</x:v>
      </x:c>
      <x:c r="D806" s="95" t="n">
        <x:v>45903</x:v>
      </x:c>
      <x:c r="E806" s="95" t="n">
        <x:v>45923</x:v>
      </x:c>
      <x:c r="F806" s="86" t="str">
        <x:v>Concluído</x:v>
      </x:c>
      <x:c r="G806" s="86" t="n">
        <x:v>8</x:v>
      </x:c>
      <x:c r="H806" s="93" t="n">
        <x:v>405.62</x:v>
      </x:c>
    </x:row>
    <x:row r="807">
      <x:c r="A807" s="85" t="n">
        <x:v>806</x:v>
      </x:c>
      <x:c r="B807" s="86" t="n">
        <x:v>412</x:v>
      </x:c>
      <x:c r="C807" s="86" t="n">
        <x:v>5</x:v>
      </x:c>
      <x:c r="D807" s="95" t="n">
        <x:v>45303</x:v>
      </x:c>
      <x:c r="E807" s="95" t="n">
        <x:v>45313</x:v>
      </x:c>
      <x:c r="F807" s="86" t="str">
        <x:v>Concluído</x:v>
      </x:c>
      <x:c r="G807" s="86" t="n">
        <x:v>6</x:v>
      </x:c>
      <x:c r="H807" s="93" t="n">
        <x:v>266.41</x:v>
      </x:c>
    </x:row>
    <x:row r="808">
      <x:c r="A808" s="85" t="n">
        <x:v>807</x:v>
      </x:c>
      <x:c r="B808" s="86" t="n">
        <x:v>47</x:v>
      </x:c>
      <x:c r="C808" s="86" t="n">
        <x:v>6</x:v>
      </x:c>
      <x:c r="D808" s="95" t="n">
        <x:v>45790</x:v>
      </x:c>
      <x:c r="E808" s="95" t="n">
        <x:v>45798</x:v>
      </x:c>
      <x:c r="F808" s="86" t="str">
        <x:v>Concluído</x:v>
      </x:c>
      <x:c r="G808" s="86" t="n">
        <x:v>8.3</x:v>
      </x:c>
      <x:c r="H808" s="93" t="n">
        <x:v>528.85</x:v>
      </x:c>
    </x:row>
    <x:row r="809">
      <x:c r="A809" s="85" t="n">
        <x:v>808</x:v>
      </x:c>
      <x:c r="B809" s="86" t="n">
        <x:v>389</x:v>
      </x:c>
      <x:c r="C809" s="86" t="n">
        <x:v>4</x:v>
      </x:c>
      <x:c r="D809" s="95" t="n">
        <x:v>45958</x:v>
      </x:c>
      <x:c r="E809" s="95"/>
      <x:c r="F809" s="86" t="str">
        <x:v>Não iniciado</x:v>
      </x:c>
      <x:c r="G809" s="86"/>
      <x:c r="H809" s="93" t="n">
        <x:v>818.84</x:v>
      </x:c>
    </x:row>
    <x:row r="810">
      <x:c r="A810" s="85" t="n">
        <x:v>809</x:v>
      </x:c>
      <x:c r="B810" s="86" t="n">
        <x:v>125</x:v>
      </x:c>
      <x:c r="C810" s="86" t="n">
        <x:v>2</x:v>
      </x:c>
      <x:c r="D810" s="95" t="n">
        <x:v>45641</x:v>
      </x:c>
      <x:c r="E810" s="95" t="n">
        <x:v>45644</x:v>
      </x:c>
      <x:c r="F810" s="86" t="str">
        <x:v>Concluído</x:v>
      </x:c>
      <x:c r="G810" s="86" t="n">
        <x:v>8.6</x:v>
      </x:c>
      <x:c r="H810" s="93" t="n">
        <x:v>144.82</x:v>
      </x:c>
    </x:row>
    <x:row r="811">
      <x:c r="A811" s="85" t="n">
        <x:v>810</x:v>
      </x:c>
      <x:c r="B811" s="86" t="n">
        <x:v>400</x:v>
      </x:c>
      <x:c r="C811" s="86" t="n">
        <x:v>4</x:v>
      </x:c>
      <x:c r="D811" s="95" t="n">
        <x:v>45952</x:v>
      </x:c>
      <x:c r="E811" s="95" t="n">
        <x:v>45953</x:v>
      </x:c>
      <x:c r="F811" s="86" t="str">
        <x:v>Reprovado</x:v>
      </x:c>
      <x:c r="G811" s="86" t="n">
        <x:v>9.6</x:v>
      </x:c>
      <x:c r="H811" s="93" t="n">
        <x:v>120.94</x:v>
      </x:c>
    </x:row>
    <x:row r="812">
      <x:c r="A812" s="85" t="n">
        <x:v>811</x:v>
      </x:c>
      <x:c r="B812" s="86" t="n">
        <x:v>38</x:v>
      </x:c>
      <x:c r="C812" s="86" t="n">
        <x:v>10</x:v>
      </x:c>
      <x:c r="D812" s="95" t="n">
        <x:v>45901</x:v>
      </x:c>
      <x:c r="E812" s="95" t="n">
        <x:v>45904</x:v>
      </x:c>
      <x:c r="F812" s="86" t="str">
        <x:v>Reprovado</x:v>
      </x:c>
      <x:c r="G812" s="86" t="n">
        <x:v>9.8</x:v>
      </x:c>
      <x:c r="H812" s="93" t="n">
        <x:v>235.71</x:v>
      </x:c>
    </x:row>
    <x:row r="813">
      <x:c r="A813" s="85" t="n">
        <x:v>812</x:v>
      </x:c>
      <x:c r="B813" s="86" t="n">
        <x:v>308</x:v>
      </x:c>
      <x:c r="C813" s="86" t="n">
        <x:v>4</x:v>
      </x:c>
      <x:c r="D813" s="95" t="n">
        <x:v>45977</x:v>
      </x:c>
      <x:c r="E813" s="95" t="n">
        <x:v>45990</x:v>
      </x:c>
      <x:c r="F813" s="86" t="str">
        <x:v>Concluído</x:v>
      </x:c>
      <x:c r="G813" s="86" t="n">
        <x:v>9.1</x:v>
      </x:c>
      <x:c r="H813" s="93" t="n">
        <x:v>485.44</x:v>
      </x:c>
    </x:row>
    <x:row r="814">
      <x:c r="A814" s="85" t="n">
        <x:v>813</x:v>
      </x:c>
      <x:c r="B814" s="86" t="n">
        <x:v>334</x:v>
      </x:c>
      <x:c r="C814" s="86" t="n">
        <x:v>9</x:v>
      </x:c>
      <x:c r="D814" s="95" t="n">
        <x:v>45564</x:v>
      </x:c>
      <x:c r="E814" s="95" t="n">
        <x:v>45581</x:v>
      </x:c>
      <x:c r="F814" s="86" t="str">
        <x:v>Concluído</x:v>
      </x:c>
      <x:c r="G814" s="86" t="n">
        <x:v>6.9</x:v>
      </x:c>
      <x:c r="H814" s="93" t="n">
        <x:v>660.87</x:v>
      </x:c>
    </x:row>
    <x:row r="815">
      <x:c r="A815" s="85" t="n">
        <x:v>814</x:v>
      </x:c>
      <x:c r="B815" s="86" t="n">
        <x:v>174</x:v>
      </x:c>
      <x:c r="C815" s="86" t="n">
        <x:v>1</x:v>
      </x:c>
      <x:c r="D815" s="95" t="n">
        <x:v>45989</x:v>
      </x:c>
      <x:c r="E815" s="95" t="n">
        <x:v>46006</x:v>
      </x:c>
      <x:c r="F815" s="86" t="str">
        <x:v>Concluído</x:v>
      </x:c>
      <x:c r="G815" s="86" t="n">
        <x:v>8.8</x:v>
      </x:c>
      <x:c r="H815" s="93" t="n">
        <x:v>484.39</x:v>
      </x:c>
    </x:row>
    <x:row r="816">
      <x:c r="A816" s="85" t="n">
        <x:v>815</x:v>
      </x:c>
      <x:c r="B816" s="86" t="n">
        <x:v>390</x:v>
      </x:c>
      <x:c r="C816" s="86" t="n">
        <x:v>1</x:v>
      </x:c>
      <x:c r="D816" s="95" t="n">
        <x:v>45915</x:v>
      </x:c>
      <x:c r="E816" s="95" t="n">
        <x:v>45925</x:v>
      </x:c>
      <x:c r="F816" s="86" t="str">
        <x:v>Concluído</x:v>
      </x:c>
      <x:c r="G816" s="86" t="n">
        <x:v>5.6</x:v>
      </x:c>
      <x:c r="H816" s="93" t="n">
        <x:v>311.57</x:v>
      </x:c>
    </x:row>
    <x:row r="817">
      <x:c r="A817" s="85" t="n">
        <x:v>816</x:v>
      </x:c>
      <x:c r="B817" s="86" t="n">
        <x:v>218</x:v>
      </x:c>
      <x:c r="C817" s="86" t="n">
        <x:v>5</x:v>
      </x:c>
      <x:c r="D817" s="95" t="n">
        <x:v>46007</x:v>
      </x:c>
      <x:c r="E817" s="95" t="n">
        <x:v>46027</x:v>
      </x:c>
      <x:c r="F817" s="86" t="str">
        <x:v>Concluído</x:v>
      </x:c>
      <x:c r="G817" s="86" t="n">
        <x:v>9.5</x:v>
      </x:c>
      <x:c r="H817" s="93" t="n">
        <x:v>543.34</x:v>
      </x:c>
    </x:row>
    <x:row r="818">
      <x:c r="A818" s="85" t="n">
        <x:v>817</x:v>
      </x:c>
      <x:c r="B818" s="86" t="n">
        <x:v>276</x:v>
      </x:c>
      <x:c r="C818" s="86" t="n">
        <x:v>4</x:v>
      </x:c>
      <x:c r="D818" s="95" t="n">
        <x:v>45460</x:v>
      </x:c>
      <x:c r="E818" s="95" t="n">
        <x:v>45460</x:v>
      </x:c>
      <x:c r="F818" s="86" t="str">
        <x:v>Concluído</x:v>
      </x:c>
      <x:c r="G818" s="86" t="n">
        <x:v>5.2</x:v>
      </x:c>
      <x:c r="H818" s="93" t="n">
        <x:v>83.8</x:v>
      </x:c>
    </x:row>
    <x:row r="819">
      <x:c r="A819" s="85" t="n">
        <x:v>818</x:v>
      </x:c>
      <x:c r="B819" s="86" t="n">
        <x:v>419</x:v>
      </x:c>
      <x:c r="C819" s="86" t="n">
        <x:v>5</x:v>
      </x:c>
      <x:c r="D819" s="95" t="n">
        <x:v>45471</x:v>
      </x:c>
      <x:c r="E819" s="95" t="n">
        <x:v>45475</x:v>
      </x:c>
      <x:c r="F819" s="86" t="str">
        <x:v>Concluído</x:v>
      </x:c>
      <x:c r="G819" s="86" t="n">
        <x:v>9.6</x:v>
      </x:c>
      <x:c r="H819" s="93" t="n">
        <x:v>266.37</x:v>
      </x:c>
    </x:row>
    <x:row r="820">
      <x:c r="A820" s="85" t="n">
        <x:v>819</x:v>
      </x:c>
      <x:c r="B820" s="86" t="n">
        <x:v>411</x:v>
      </x:c>
      <x:c r="C820" s="86" t="n">
        <x:v>8</x:v>
      </x:c>
      <x:c r="D820" s="95" t="n">
        <x:v>45587</x:v>
      </x:c>
      <x:c r="E820" s="95" t="n">
        <x:v>45589</x:v>
      </x:c>
      <x:c r="F820" s="86" t="str">
        <x:v>Concluído</x:v>
      </x:c>
      <x:c r="G820" s="86" t="n">
        <x:v>5.1</x:v>
      </x:c>
      <x:c r="H820" s="93" t="n">
        <x:v>430.42</x:v>
      </x:c>
    </x:row>
    <x:row r="821">
      <x:c r="A821" s="85" t="n">
        <x:v>820</x:v>
      </x:c>
      <x:c r="B821" s="86" t="n">
        <x:v>383</x:v>
      </x:c>
      <x:c r="C821" s="86" t="n">
        <x:v>6</x:v>
      </x:c>
      <x:c r="D821" s="95" t="n">
        <x:v>45953</x:v>
      </x:c>
      <x:c r="E821" s="95"/>
      <x:c r="F821" s="86" t="str">
        <x:v>Em andamento</x:v>
      </x:c>
      <x:c r="G821" s="86"/>
      <x:c r="H821" s="93" t="n">
        <x:v>198.32</x:v>
      </x:c>
    </x:row>
    <x:row r="822">
      <x:c r="A822" s="85" t="n">
        <x:v>821</x:v>
      </x:c>
      <x:c r="B822" s="86" t="n">
        <x:v>316</x:v>
      </x:c>
      <x:c r="C822" s="86" t="n">
        <x:v>9</x:v>
      </x:c>
      <x:c r="D822" s="95" t="n">
        <x:v>45624</x:v>
      </x:c>
      <x:c r="E822" s="95" t="n">
        <x:v>45644</x:v>
      </x:c>
      <x:c r="F822" s="86" t="str">
        <x:v>Concluído</x:v>
      </x:c>
      <x:c r="G822" s="86" t="n">
        <x:v>7.8</x:v>
      </x:c>
      <x:c r="H822" s="93" t="n">
        <x:v>314.98</x:v>
      </x:c>
    </x:row>
    <x:row r="823">
      <x:c r="A823" s="85" t="n">
        <x:v>822</x:v>
      </x:c>
      <x:c r="B823" s="86" t="n">
        <x:v>4</x:v>
      </x:c>
      <x:c r="C823" s="86" t="n">
        <x:v>2</x:v>
      </x:c>
      <x:c r="D823" s="95" t="n">
        <x:v>45874</x:v>
      </x:c>
      <x:c r="E823" s="95" t="n">
        <x:v>45893</x:v>
      </x:c>
      <x:c r="F823" s="86" t="str">
        <x:v>Concluído</x:v>
      </x:c>
      <x:c r="G823" s="86" t="n">
        <x:v>7.2</x:v>
      </x:c>
      <x:c r="H823" s="93" t="n">
        <x:v>187.37</x:v>
      </x:c>
    </x:row>
    <x:row r="824">
      <x:c r="A824" s="85" t="n">
        <x:v>823</x:v>
      </x:c>
      <x:c r="B824" s="86" t="n">
        <x:v>419</x:v>
      </x:c>
      <x:c r="C824" s="86" t="n">
        <x:v>9</x:v>
      </x:c>
      <x:c r="D824" s="95" t="n">
        <x:v>45916</x:v>
      </x:c>
      <x:c r="E824" s="95" t="n">
        <x:v>45933</x:v>
      </x:c>
      <x:c r="F824" s="86" t="str">
        <x:v>Concluído</x:v>
      </x:c>
      <x:c r="G824" s="86" t="n">
        <x:v>5.3</x:v>
      </x:c>
      <x:c r="H824" s="93" t="n">
        <x:v>318.7</x:v>
      </x:c>
    </x:row>
    <x:row r="825">
      <x:c r="A825" s="85" t="n">
        <x:v>824</x:v>
      </x:c>
      <x:c r="B825" s="86" t="n">
        <x:v>400</x:v>
      </x:c>
      <x:c r="C825" s="86" t="n">
        <x:v>2</x:v>
      </x:c>
      <x:c r="D825" s="95" t="n">
        <x:v>45420</x:v>
      </x:c>
      <x:c r="E825" s="95" t="n">
        <x:v>45429</x:v>
      </x:c>
      <x:c r="F825" s="86" t="str">
        <x:v>Concluído</x:v>
      </x:c>
      <x:c r="G825" s="86" t="n">
        <x:v>9.8</x:v>
      </x:c>
      <x:c r="H825" s="93" t="n">
        <x:v>289.09</x:v>
      </x:c>
    </x:row>
    <x:row r="826">
      <x:c r="A826" s="85" t="n">
        <x:v>825</x:v>
      </x:c>
      <x:c r="B826" s="86" t="n">
        <x:v>310</x:v>
      </x:c>
      <x:c r="C826" s="86" t="n">
        <x:v>4</x:v>
      </x:c>
      <x:c r="D826" s="95" t="n">
        <x:v>46018</x:v>
      </x:c>
      <x:c r="E826" s="95"/>
      <x:c r="F826" s="86" t="str">
        <x:v>Não iniciado</x:v>
      </x:c>
      <x:c r="G826" s="86"/>
      <x:c r="H826" s="93" t="n">
        <x:v>380.23</x:v>
      </x:c>
    </x:row>
    <x:row r="827">
      <x:c r="A827" s="85" t="n">
        <x:v>826</x:v>
      </x:c>
      <x:c r="B827" s="86" t="n">
        <x:v>42</x:v>
      </x:c>
      <x:c r="C827" s="86" t="n">
        <x:v>8</x:v>
      </x:c>
      <x:c r="D827" s="95" t="n">
        <x:v>45837</x:v>
      </x:c>
      <x:c r="E827" s="95" t="n">
        <x:v>45842</x:v>
      </x:c>
      <x:c r="F827" s="86" t="str">
        <x:v>Concluído</x:v>
      </x:c>
      <x:c r="G827" s="86" t="n">
        <x:v>8.3</x:v>
      </x:c>
      <x:c r="H827" s="93" t="n">
        <x:v>680.6</x:v>
      </x:c>
    </x:row>
    <x:row r="828">
      <x:c r="A828" s="85" t="n">
        <x:v>827</x:v>
      </x:c>
      <x:c r="B828" s="86" t="n">
        <x:v>243</x:v>
      </x:c>
      <x:c r="C828" s="86" t="n">
        <x:v>9</x:v>
      </x:c>
      <x:c r="D828" s="95" t="n">
        <x:v>45550</x:v>
      </x:c>
      <x:c r="E828" s="95" t="n">
        <x:v>45569</x:v>
      </x:c>
      <x:c r="F828" s="86" t="str">
        <x:v>Concluído</x:v>
      </x:c>
      <x:c r="G828" s="86" t="n">
        <x:v>8.5</x:v>
      </x:c>
      <x:c r="H828" s="93" t="n">
        <x:v>262.54</x:v>
      </x:c>
    </x:row>
    <x:row r="829">
      <x:c r="A829" s="85" t="n">
        <x:v>828</x:v>
      </x:c>
      <x:c r="B829" s="86" t="n">
        <x:v>132</x:v>
      </x:c>
      <x:c r="C829" s="86" t="n">
        <x:v>4</x:v>
      </x:c>
      <x:c r="D829" s="95" t="n">
        <x:v>46016</x:v>
      </x:c>
      <x:c r="E829" s="95" t="n">
        <x:v>46035</x:v>
      </x:c>
      <x:c r="F829" s="86" t="str">
        <x:v>Concluído</x:v>
      </x:c>
      <x:c r="G829" s="86" t="n">
        <x:v>7.4</x:v>
      </x:c>
      <x:c r="H829" s="93" t="n">
        <x:v>667.48</x:v>
      </x:c>
    </x:row>
    <x:row r="830">
      <x:c r="A830" s="85" t="n">
        <x:v>829</x:v>
      </x:c>
      <x:c r="B830" s="86" t="n">
        <x:v>287</x:v>
      </x:c>
      <x:c r="C830" s="86" t="n">
        <x:v>2</x:v>
      </x:c>
      <x:c r="D830" s="95" t="n">
        <x:v>45300</x:v>
      </x:c>
      <x:c r="E830" s="95" t="n">
        <x:v>45303</x:v>
      </x:c>
      <x:c r="F830" s="86" t="str">
        <x:v>Reprovado</x:v>
      </x:c>
      <x:c r="G830" s="86" t="n">
        <x:v>8.7</x:v>
      </x:c>
      <x:c r="H830" s="93" t="n">
        <x:v>276.05</x:v>
      </x:c>
    </x:row>
    <x:row r="831">
      <x:c r="A831" s="85" t="n">
        <x:v>830</x:v>
      </x:c>
      <x:c r="B831" s="86" t="n">
        <x:v>251</x:v>
      </x:c>
      <x:c r="C831" s="86" t="n">
        <x:v>2</x:v>
      </x:c>
      <x:c r="D831" s="95" t="n">
        <x:v>45827</x:v>
      </x:c>
      <x:c r="E831" s="95"/>
      <x:c r="F831" s="86" t="str">
        <x:v>Não iniciado</x:v>
      </x:c>
      <x:c r="G831" s="86"/>
      <x:c r="H831" s="93" t="n">
        <x:v>594.68</x:v>
      </x:c>
    </x:row>
    <x:row r="832">
      <x:c r="A832" s="85" t="n">
        <x:v>831</x:v>
      </x:c>
      <x:c r="B832" s="86" t="n">
        <x:v>308</x:v>
      </x:c>
      <x:c r="C832" s="86" t="n">
        <x:v>1</x:v>
      </x:c>
      <x:c r="D832" s="95" t="n">
        <x:v>45800</x:v>
      </x:c>
      <x:c r="E832" s="95" t="n">
        <x:v>45817</x:v>
      </x:c>
      <x:c r="F832" s="86" t="str">
        <x:v>Concluído</x:v>
      </x:c>
      <x:c r="G832" s="86" t="n">
        <x:v>6</x:v>
      </x:c>
      <x:c r="H832" s="93" t="n">
        <x:v>475.23</x:v>
      </x:c>
    </x:row>
    <x:row r="833">
      <x:c r="A833" s="85" t="n">
        <x:v>832</x:v>
      </x:c>
      <x:c r="B833" s="86" t="n">
        <x:v>393</x:v>
      </x:c>
      <x:c r="C833" s="86" t="n">
        <x:v>9</x:v>
      </x:c>
      <x:c r="D833" s="95" t="n">
        <x:v>45699</x:v>
      </x:c>
      <x:c r="E833" s="95"/>
      <x:c r="F833" s="86" t="str">
        <x:v>Em andamento</x:v>
      </x:c>
      <x:c r="G833" s="86"/>
      <x:c r="H833" s="93" t="n">
        <x:v>188.74</x:v>
      </x:c>
    </x:row>
    <x:row r="834">
      <x:c r="A834" s="85" t="n">
        <x:v>833</x:v>
      </x:c>
      <x:c r="B834" s="86" t="n">
        <x:v>339</x:v>
      </x:c>
      <x:c r="C834" s="86" t="n">
        <x:v>7</x:v>
      </x:c>
      <x:c r="D834" s="95" t="n">
        <x:v>45733</x:v>
      </x:c>
      <x:c r="E834" s="95" t="n">
        <x:v>45749</x:v>
      </x:c>
      <x:c r="F834" s="86" t="str">
        <x:v>Concluído</x:v>
      </x:c>
      <x:c r="G834" s="86" t="n">
        <x:v>9.5</x:v>
      </x:c>
      <x:c r="H834" s="93" t="n">
        <x:v>626.63</x:v>
      </x:c>
    </x:row>
    <x:row r="835">
      <x:c r="A835" s="85" t="n">
        <x:v>834</x:v>
      </x:c>
      <x:c r="B835" s="86" t="n">
        <x:v>2</x:v>
      </x:c>
      <x:c r="C835" s="86" t="n">
        <x:v>5</x:v>
      </x:c>
      <x:c r="D835" s="95" t="n">
        <x:v>45851</x:v>
      </x:c>
      <x:c r="E835" s="95" t="n">
        <x:v>45851</x:v>
      </x:c>
      <x:c r="F835" s="86" t="str">
        <x:v>Reprovado</x:v>
      </x:c>
      <x:c r="G835" s="86" t="n">
        <x:v>9.5</x:v>
      </x:c>
      <x:c r="H835" s="93" t="n">
        <x:v>463.08</x:v>
      </x:c>
    </x:row>
    <x:row r="836">
      <x:c r="A836" s="85" t="n">
        <x:v>835</x:v>
      </x:c>
      <x:c r="B836" s="86" t="n">
        <x:v>162</x:v>
      </x:c>
      <x:c r="C836" s="86" t="n">
        <x:v>7</x:v>
      </x:c>
      <x:c r="D836" s="95" t="n">
        <x:v>45724</x:v>
      </x:c>
      <x:c r="E836" s="95" t="n">
        <x:v>45742</x:v>
      </x:c>
      <x:c r="F836" s="86" t="str">
        <x:v>Concluído</x:v>
      </x:c>
      <x:c r="G836" s="86" t="n">
        <x:v>6.6</x:v>
      </x:c>
      <x:c r="H836" s="93" t="n">
        <x:v>841.71</x:v>
      </x:c>
    </x:row>
    <x:row r="837">
      <x:c r="A837" s="85" t="n">
        <x:v>836</x:v>
      </x:c>
      <x:c r="B837" s="86" t="n">
        <x:v>15</x:v>
      </x:c>
      <x:c r="C837" s="86" t="n">
        <x:v>4</x:v>
      </x:c>
      <x:c r="D837" s="95" t="n">
        <x:v>45543</x:v>
      </x:c>
      <x:c r="E837" s="95" t="n">
        <x:v>45563</x:v>
      </x:c>
      <x:c r="F837" s="86" t="str">
        <x:v>Concluído</x:v>
      </x:c>
      <x:c r="G837" s="86" t="n">
        <x:v>7.5</x:v>
      </x:c>
      <x:c r="H837" s="93" t="n">
        <x:v>790.01</x:v>
      </x:c>
    </x:row>
    <x:row r="838">
      <x:c r="A838" s="85" t="n">
        <x:v>837</x:v>
      </x:c>
      <x:c r="B838" s="86" t="n">
        <x:v>136</x:v>
      </x:c>
      <x:c r="C838" s="86" t="n">
        <x:v>5</x:v>
      </x:c>
      <x:c r="D838" s="95" t="n">
        <x:v>45717</x:v>
      </x:c>
      <x:c r="E838" s="95"/>
      <x:c r="F838" s="86" t="str">
        <x:v>Em andamento</x:v>
      </x:c>
      <x:c r="G838" s="86"/>
      <x:c r="H838" s="93" t="n">
        <x:v>641.08</x:v>
      </x:c>
    </x:row>
    <x:row r="839">
      <x:c r="A839" s="85" t="n">
        <x:v>838</x:v>
      </x:c>
      <x:c r="B839" s="86" t="n">
        <x:v>83</x:v>
      </x:c>
      <x:c r="C839" s="86" t="n">
        <x:v>7</x:v>
      </x:c>
      <x:c r="D839" s="95" t="n">
        <x:v>45906</x:v>
      </x:c>
      <x:c r="E839" s="95" t="n">
        <x:v>45913</x:v>
      </x:c>
      <x:c r="F839" s="86" t="str">
        <x:v>Concluído</x:v>
      </x:c>
      <x:c r="G839" s="86" t="n">
        <x:v>8.2</x:v>
      </x:c>
      <x:c r="H839" s="93" t="n">
        <x:v>110.54</x:v>
      </x:c>
    </x:row>
    <x:row r="840">
      <x:c r="A840" s="85" t="n">
        <x:v>839</x:v>
      </x:c>
      <x:c r="B840" s="86" t="n">
        <x:v>73</x:v>
      </x:c>
      <x:c r="C840" s="86" t="n">
        <x:v>5</x:v>
      </x:c>
      <x:c r="D840" s="95" t="n">
        <x:v>45938</x:v>
      </x:c>
      <x:c r="E840" s="95" t="n">
        <x:v>45945</x:v>
      </x:c>
      <x:c r="F840" s="86" t="str">
        <x:v>Reprovado</x:v>
      </x:c>
      <x:c r="G840" s="86" t="n">
        <x:v>5.5</x:v>
      </x:c>
      <x:c r="H840" s="93" t="n">
        <x:v>560.51</x:v>
      </x:c>
    </x:row>
    <x:row r="841">
      <x:c r="A841" s="85" t="n">
        <x:v>840</x:v>
      </x:c>
      <x:c r="B841" s="86" t="n">
        <x:v>313</x:v>
      </x:c>
      <x:c r="C841" s="86" t="n">
        <x:v>3</x:v>
      </x:c>
      <x:c r="D841" s="95" t="n">
        <x:v>45420</x:v>
      </x:c>
      <x:c r="E841" s="95" t="n">
        <x:v>45426</x:v>
      </x:c>
      <x:c r="F841" s="86" t="str">
        <x:v>Concluído</x:v>
      </x:c>
      <x:c r="G841" s="86" t="n">
        <x:v>6.3</x:v>
      </x:c>
      <x:c r="H841" s="93" t="n">
        <x:v>235.23</x:v>
      </x:c>
    </x:row>
    <x:row r="842">
      <x:c r="A842" s="85" t="n">
        <x:v>841</x:v>
      </x:c>
      <x:c r="B842" s="86" t="n">
        <x:v>297</x:v>
      </x:c>
      <x:c r="C842" s="86" t="n">
        <x:v>9</x:v>
      </x:c>
      <x:c r="D842" s="95" t="n">
        <x:v>45832</x:v>
      </x:c>
      <x:c r="E842" s="95" t="n">
        <x:v>45845</x:v>
      </x:c>
      <x:c r="F842" s="86" t="str">
        <x:v>Concluído</x:v>
      </x:c>
      <x:c r="G842" s="86" t="n">
        <x:v>5.7</x:v>
      </x:c>
      <x:c r="H842" s="93" t="n">
        <x:v>266.61</x:v>
      </x:c>
    </x:row>
    <x:row r="843">
      <x:c r="A843" s="85" t="n">
        <x:v>842</x:v>
      </x:c>
      <x:c r="B843" s="86" t="n">
        <x:v>333</x:v>
      </x:c>
      <x:c r="C843" s="86" t="n">
        <x:v>2</x:v>
      </x:c>
      <x:c r="D843" s="95" t="n">
        <x:v>45339</x:v>
      </x:c>
      <x:c r="E843" s="95" t="n">
        <x:v>45339</x:v>
      </x:c>
      <x:c r="F843" s="86" t="str">
        <x:v>Concluído</x:v>
      </x:c>
      <x:c r="G843" s="86" t="n">
        <x:v>8.4</x:v>
      </x:c>
      <x:c r="H843" s="93" t="n">
        <x:v>122.88</x:v>
      </x:c>
    </x:row>
    <x:row r="844">
      <x:c r="A844" s="85" t="n">
        <x:v>843</x:v>
      </x:c>
      <x:c r="B844" s="86" t="n">
        <x:v>21</x:v>
      </x:c>
      <x:c r="C844" s="86" t="n">
        <x:v>5</x:v>
      </x:c>
      <x:c r="D844" s="95" t="n">
        <x:v>45519</x:v>
      </x:c>
      <x:c r="E844" s="95" t="n">
        <x:v>45537</x:v>
      </x:c>
      <x:c r="F844" s="86" t="str">
        <x:v>Reprovado</x:v>
      </x:c>
      <x:c r="G844" s="86" t="n">
        <x:v>8.6</x:v>
      </x:c>
      <x:c r="H844" s="93" t="n">
        <x:v>298.34</x:v>
      </x:c>
    </x:row>
    <x:row r="845">
      <x:c r="A845" s="85" t="n">
        <x:v>844</x:v>
      </x:c>
      <x:c r="B845" s="86" t="n">
        <x:v>384</x:v>
      </x:c>
      <x:c r="C845" s="86" t="n">
        <x:v>3</x:v>
      </x:c>
      <x:c r="D845" s="95" t="n">
        <x:v>45880</x:v>
      </x:c>
      <x:c r="E845" s="95" t="n">
        <x:v>45899</x:v>
      </x:c>
      <x:c r="F845" s="86" t="str">
        <x:v>Concluído</x:v>
      </x:c>
      <x:c r="G845" s="86" t="n">
        <x:v>9</x:v>
      </x:c>
      <x:c r="H845" s="93" t="n">
        <x:v>692.32</x:v>
      </x:c>
    </x:row>
    <x:row r="846">
      <x:c r="A846" s="85" t="n">
        <x:v>845</x:v>
      </x:c>
      <x:c r="B846" s="86" t="n">
        <x:v>295</x:v>
      </x:c>
      <x:c r="C846" s="86" t="n">
        <x:v>1</x:v>
      </x:c>
      <x:c r="D846" s="95" t="n">
        <x:v>45314</x:v>
      </x:c>
      <x:c r="E846" s="95"/>
      <x:c r="F846" s="86" t="str">
        <x:v>Não iniciado</x:v>
      </x:c>
      <x:c r="G846" s="86"/>
      <x:c r="H846" s="93" t="n">
        <x:v>543.86</x:v>
      </x:c>
    </x:row>
    <x:row r="847">
      <x:c r="A847" s="85" t="n">
        <x:v>846</x:v>
      </x:c>
      <x:c r="B847" s="86" t="n">
        <x:v>160</x:v>
      </x:c>
      <x:c r="C847" s="86" t="n">
        <x:v>10</x:v>
      </x:c>
      <x:c r="D847" s="95" t="n">
        <x:v>45825</x:v>
      </x:c>
      <x:c r="E847" s="95" t="n">
        <x:v>45840</x:v>
      </x:c>
      <x:c r="F847" s="86" t="str">
        <x:v>Concluído</x:v>
      </x:c>
      <x:c r="G847" s="86" t="n">
        <x:v>7</x:v>
      </x:c>
      <x:c r="H847" s="93" t="n">
        <x:v>291.8</x:v>
      </x:c>
    </x:row>
    <x:row r="848">
      <x:c r="A848" s="85" t="n">
        <x:v>847</x:v>
      </x:c>
      <x:c r="B848" s="86" t="n">
        <x:v>63</x:v>
      </x:c>
      <x:c r="C848" s="86" t="n">
        <x:v>10</x:v>
      </x:c>
      <x:c r="D848" s="95" t="n">
        <x:v>45913</x:v>
      </x:c>
      <x:c r="E848" s="95"/>
      <x:c r="F848" s="86" t="str">
        <x:v>Em andamento</x:v>
      </x:c>
      <x:c r="G848" s="86"/>
      <x:c r="H848" s="93" t="n">
        <x:v>687.33</x:v>
      </x:c>
    </x:row>
    <x:row r="849">
      <x:c r="A849" s="85" t="n">
        <x:v>848</x:v>
      </x:c>
      <x:c r="B849" s="86" t="n">
        <x:v>383</x:v>
      </x:c>
      <x:c r="C849" s="86" t="n">
        <x:v>4</x:v>
      </x:c>
      <x:c r="D849" s="95" t="n">
        <x:v>45942</x:v>
      </x:c>
      <x:c r="E849" s="95" t="n">
        <x:v>45961</x:v>
      </x:c>
      <x:c r="F849" s="86" t="str">
        <x:v>Concluído</x:v>
      </x:c>
      <x:c r="G849" s="86" t="n">
        <x:v>7.9</x:v>
      </x:c>
      <x:c r="H849" s="93" t="n">
        <x:v>272.24</x:v>
      </x:c>
    </x:row>
    <x:row r="850">
      <x:c r="A850" s="85" t="n">
        <x:v>849</x:v>
      </x:c>
      <x:c r="B850" s="86" t="n">
        <x:v>363</x:v>
      </x:c>
      <x:c r="C850" s="86" t="n">
        <x:v>5</x:v>
      </x:c>
      <x:c r="D850" s="95" t="n">
        <x:v>45722</x:v>
      </x:c>
      <x:c r="E850" s="95" t="n">
        <x:v>45724</x:v>
      </x:c>
      <x:c r="F850" s="86" t="str">
        <x:v>Concluído</x:v>
      </x:c>
      <x:c r="G850" s="86" t="n">
        <x:v>8.9</x:v>
      </x:c>
      <x:c r="H850" s="93" t="n">
        <x:v>416.63</x:v>
      </x:c>
    </x:row>
    <x:row r="851">
      <x:c r="A851" s="85" t="n">
        <x:v>850</x:v>
      </x:c>
      <x:c r="B851" s="86" t="n">
        <x:v>91</x:v>
      </x:c>
      <x:c r="C851" s="86" t="n">
        <x:v>9</x:v>
      </x:c>
      <x:c r="D851" s="95" t="n">
        <x:v>45849</x:v>
      </x:c>
      <x:c r="E851" s="95" t="n">
        <x:v>45865</x:v>
      </x:c>
      <x:c r="F851" s="86" t="str">
        <x:v>Concluído</x:v>
      </x:c>
      <x:c r="G851" s="86" t="n">
        <x:v>5</x:v>
      </x:c>
      <x:c r="H851" s="93" t="n">
        <x:v>497.32</x:v>
      </x:c>
    </x:row>
    <x:row r="852">
      <x:c r="A852" s="85" t="n">
        <x:v>851</x:v>
      </x:c>
      <x:c r="B852" s="86" t="n">
        <x:v>275</x:v>
      </x:c>
      <x:c r="C852" s="86" t="n">
        <x:v>6</x:v>
      </x:c>
      <x:c r="D852" s="95" t="n">
        <x:v>45894</x:v>
      </x:c>
      <x:c r="E852" s="95" t="n">
        <x:v>45908</x:v>
      </x:c>
      <x:c r="F852" s="86" t="str">
        <x:v>Concluído</x:v>
      </x:c>
      <x:c r="G852" s="86" t="n">
        <x:v>6.2</x:v>
      </x:c>
      <x:c r="H852" s="93" t="n">
        <x:v>713.62</x:v>
      </x:c>
    </x:row>
    <x:row r="853">
      <x:c r="A853" s="85" t="n">
        <x:v>852</x:v>
      </x:c>
      <x:c r="B853" s="86" t="n">
        <x:v>275</x:v>
      </x:c>
      <x:c r="C853" s="86" t="n">
        <x:v>10</x:v>
      </x:c>
      <x:c r="D853" s="95" t="n">
        <x:v>45999</x:v>
      </x:c>
      <x:c r="E853" s="95" t="n">
        <x:v>46013</x:v>
      </x:c>
      <x:c r="F853" s="86" t="str">
        <x:v>Concluído</x:v>
      </x:c>
      <x:c r="G853" s="86" t="n">
        <x:v>5.3</x:v>
      </x:c>
      <x:c r="H853" s="93" t="n">
        <x:v>272.46</x:v>
      </x:c>
    </x:row>
    <x:row r="854">
      <x:c r="A854" s="85" t="n">
        <x:v>853</x:v>
      </x:c>
      <x:c r="B854" s="86" t="n">
        <x:v>63</x:v>
      </x:c>
      <x:c r="C854" s="86" t="n">
        <x:v>10</x:v>
      </x:c>
      <x:c r="D854" s="95" t="n">
        <x:v>45978</x:v>
      </x:c>
      <x:c r="E854" s="95" t="n">
        <x:v>45981</x:v>
      </x:c>
      <x:c r="F854" s="86" t="str">
        <x:v>Concluído</x:v>
      </x:c>
      <x:c r="G854" s="86" t="n">
        <x:v>6.3</x:v>
      </x:c>
      <x:c r="H854" s="93" t="n">
        <x:v>311.43</x:v>
      </x:c>
    </x:row>
    <x:row r="855">
      <x:c r="A855" s="85" t="n">
        <x:v>854</x:v>
      </x:c>
      <x:c r="B855" s="86" t="n">
        <x:v>62</x:v>
      </x:c>
      <x:c r="C855" s="86" t="n">
        <x:v>3</x:v>
      </x:c>
      <x:c r="D855" s="95" t="n">
        <x:v>45341</x:v>
      </x:c>
      <x:c r="E855" s="95" t="n">
        <x:v>45360</x:v>
      </x:c>
      <x:c r="F855" s="86" t="str">
        <x:v>Concluído</x:v>
      </x:c>
      <x:c r="G855" s="86" t="n">
        <x:v>5.1</x:v>
      </x:c>
      <x:c r="H855" s="93" t="n">
        <x:v>230.66</x:v>
      </x:c>
    </x:row>
    <x:row r="856">
      <x:c r="A856" s="85" t="n">
        <x:v>855</x:v>
      </x:c>
      <x:c r="B856" s="86" t="n">
        <x:v>267</x:v>
      </x:c>
      <x:c r="C856" s="86" t="n">
        <x:v>8</x:v>
      </x:c>
      <x:c r="D856" s="95" t="n">
        <x:v>45928</x:v>
      </x:c>
      <x:c r="E856" s="95" t="n">
        <x:v>45928</x:v>
      </x:c>
      <x:c r="F856" s="86" t="str">
        <x:v>Concluído</x:v>
      </x:c>
      <x:c r="G856" s="86" t="n">
        <x:v>9.4</x:v>
      </x:c>
      <x:c r="H856" s="93" t="n">
        <x:v>630.37</x:v>
      </x:c>
    </x:row>
    <x:row r="857">
      <x:c r="A857" s="85" t="n">
        <x:v>856</x:v>
      </x:c>
      <x:c r="B857" s="86" t="n">
        <x:v>414</x:v>
      </x:c>
      <x:c r="C857" s="86" t="n">
        <x:v>3</x:v>
      </x:c>
      <x:c r="D857" s="95" t="n">
        <x:v>45475</x:v>
      </x:c>
      <x:c r="E857" s="95" t="n">
        <x:v>45493</x:v>
      </x:c>
      <x:c r="F857" s="86" t="str">
        <x:v>Concluído</x:v>
      </x:c>
      <x:c r="G857" s="86" t="n">
        <x:v>5.9</x:v>
      </x:c>
      <x:c r="H857" s="93" t="n">
        <x:v>483.36</x:v>
      </x:c>
    </x:row>
    <x:row r="858">
      <x:c r="A858" s="85" t="n">
        <x:v>857</x:v>
      </x:c>
      <x:c r="B858" s="86" t="n">
        <x:v>134</x:v>
      </x:c>
      <x:c r="C858" s="86" t="n">
        <x:v>3</x:v>
      </x:c>
      <x:c r="D858" s="95" t="n">
        <x:v>45711</x:v>
      </x:c>
      <x:c r="E858" s="95" t="n">
        <x:v>45722</x:v>
      </x:c>
      <x:c r="F858" s="86" t="str">
        <x:v>Concluído</x:v>
      </x:c>
      <x:c r="G858" s="86" t="n">
        <x:v>7</x:v>
      </x:c>
      <x:c r="H858" s="93" t="n">
        <x:v>423.65</x:v>
      </x:c>
    </x:row>
    <x:row r="859">
      <x:c r="A859" s="85" t="n">
        <x:v>858</x:v>
      </x:c>
      <x:c r="B859" s="86" t="n">
        <x:v>85</x:v>
      </x:c>
      <x:c r="C859" s="86" t="n">
        <x:v>3</x:v>
      </x:c>
      <x:c r="D859" s="95" t="n">
        <x:v>45850</x:v>
      </x:c>
      <x:c r="E859" s="95"/>
      <x:c r="F859" s="86" t="str">
        <x:v>Não iniciado</x:v>
      </x:c>
      <x:c r="G859" s="86"/>
      <x:c r="H859" s="93" t="n">
        <x:v>279.47</x:v>
      </x:c>
    </x:row>
    <x:row r="860">
      <x:c r="A860" s="85" t="n">
        <x:v>859</x:v>
      </x:c>
      <x:c r="B860" s="86" t="n">
        <x:v>99</x:v>
      </x:c>
      <x:c r="C860" s="86" t="n">
        <x:v>3</x:v>
      </x:c>
      <x:c r="D860" s="95" t="n">
        <x:v>46005</x:v>
      </x:c>
      <x:c r="E860" s="95" t="n">
        <x:v>46023</x:v>
      </x:c>
      <x:c r="F860" s="86" t="str">
        <x:v>Concluído</x:v>
      </x:c>
      <x:c r="G860" s="86" t="n">
        <x:v>7.2</x:v>
      </x:c>
      <x:c r="H860" s="93" t="n">
        <x:v>635.33</x:v>
      </x:c>
    </x:row>
    <x:row r="861">
      <x:c r="A861" s="85" t="n">
        <x:v>860</x:v>
      </x:c>
      <x:c r="B861" s="86" t="n">
        <x:v>284</x:v>
      </x:c>
      <x:c r="C861" s="86" t="n">
        <x:v>8</x:v>
      </x:c>
      <x:c r="D861" s="95" t="n">
        <x:v>45993</x:v>
      </x:c>
      <x:c r="E861" s="95" t="n">
        <x:v>45996</x:v>
      </x:c>
      <x:c r="F861" s="86" t="str">
        <x:v>Concluído</x:v>
      </x:c>
      <x:c r="G861" s="86" t="n">
        <x:v>7</x:v>
      </x:c>
      <x:c r="H861" s="93" t="n">
        <x:v>313.55</x:v>
      </x:c>
    </x:row>
    <x:row r="862">
      <x:c r="A862" s="85" t="n">
        <x:v>861</x:v>
      </x:c>
      <x:c r="B862" s="86" t="n">
        <x:v>195</x:v>
      </x:c>
      <x:c r="C862" s="86" t="n">
        <x:v>10</x:v>
      </x:c>
      <x:c r="D862" s="95" t="n">
        <x:v>45889</x:v>
      </x:c>
      <x:c r="E862" s="95" t="n">
        <x:v>45893</x:v>
      </x:c>
      <x:c r="F862" s="86" t="str">
        <x:v>Concluído</x:v>
      </x:c>
      <x:c r="G862" s="86" t="n">
        <x:v>8.6</x:v>
      </x:c>
      <x:c r="H862" s="93" t="n">
        <x:v>819.71</x:v>
      </x:c>
    </x:row>
    <x:row r="863">
      <x:c r="A863" s="85" t="n">
        <x:v>862</x:v>
      </x:c>
      <x:c r="B863" s="86" t="n">
        <x:v>212</x:v>
      </x:c>
      <x:c r="C863" s="86" t="n">
        <x:v>7</x:v>
      </x:c>
      <x:c r="D863" s="95" t="n">
        <x:v>45536</x:v>
      </x:c>
      <x:c r="E863" s="95" t="n">
        <x:v>45536</x:v>
      </x:c>
      <x:c r="F863" s="86" t="str">
        <x:v>Concluído</x:v>
      </x:c>
      <x:c r="G863" s="86" t="n">
        <x:v>8.5</x:v>
      </x:c>
      <x:c r="H863" s="93" t="n">
        <x:v>657.81</x:v>
      </x:c>
    </x:row>
    <x:row r="864">
      <x:c r="A864" s="85" t="n">
        <x:v>863</x:v>
      </x:c>
      <x:c r="B864" s="86" t="n">
        <x:v>72</x:v>
      </x:c>
      <x:c r="C864" s="86" t="n">
        <x:v>7</x:v>
      </x:c>
      <x:c r="D864" s="95" t="n">
        <x:v>45869</x:v>
      </x:c>
      <x:c r="E864" s="95"/>
      <x:c r="F864" s="86" t="str">
        <x:v>Não iniciado</x:v>
      </x:c>
      <x:c r="G864" s="86"/>
      <x:c r="H864" s="93" t="n">
        <x:v>250.98</x:v>
      </x:c>
    </x:row>
    <x:row r="865">
      <x:c r="A865" s="85" t="n">
        <x:v>864</x:v>
      </x:c>
      <x:c r="B865" s="86" t="n">
        <x:v>395</x:v>
      </x:c>
      <x:c r="C865" s="86" t="n">
        <x:v>2</x:v>
      </x:c>
      <x:c r="D865" s="95" t="n">
        <x:v>45899</x:v>
      </x:c>
      <x:c r="E865" s="95"/>
      <x:c r="F865" s="86" t="str">
        <x:v>Em andamento</x:v>
      </x:c>
      <x:c r="G865" s="86"/>
      <x:c r="H865" s="93" t="n">
        <x:v>676.27</x:v>
      </x:c>
    </x:row>
    <x:row r="866">
      <x:c r="A866" s="85" t="n">
        <x:v>865</x:v>
      </x:c>
      <x:c r="B866" s="86" t="n">
        <x:v>18</x:v>
      </x:c>
      <x:c r="C866" s="86" t="n">
        <x:v>6</x:v>
      </x:c>
      <x:c r="D866" s="95" t="n">
        <x:v>45765</x:v>
      </x:c>
      <x:c r="E866" s="95" t="n">
        <x:v>45767</x:v>
      </x:c>
      <x:c r="F866" s="86" t="str">
        <x:v>Concluído</x:v>
      </x:c>
      <x:c r="G866" s="86" t="n">
        <x:v>6.2</x:v>
      </x:c>
      <x:c r="H866" s="93" t="n">
        <x:v>197.17</x:v>
      </x:c>
    </x:row>
    <x:row r="867">
      <x:c r="A867" s="85" t="n">
        <x:v>866</x:v>
      </x:c>
      <x:c r="B867" s="86" t="n">
        <x:v>218</x:v>
      </x:c>
      <x:c r="C867" s="86" t="n">
        <x:v>1</x:v>
      </x:c>
      <x:c r="D867" s="95" t="n">
        <x:v>45739</x:v>
      </x:c>
      <x:c r="E867" s="95" t="n">
        <x:v>45748</x:v>
      </x:c>
      <x:c r="F867" s="86" t="str">
        <x:v>Concluído</x:v>
      </x:c>
      <x:c r="G867" s="86" t="n">
        <x:v>6.3</x:v>
      </x:c>
      <x:c r="H867" s="93" t="n">
        <x:v>233.11</x:v>
      </x:c>
    </x:row>
    <x:row r="868">
      <x:c r="A868" s="85" t="n">
        <x:v>867</x:v>
      </x:c>
      <x:c r="B868" s="86" t="n">
        <x:v>190</x:v>
      </x:c>
      <x:c r="C868" s="86" t="n">
        <x:v>4</x:v>
      </x:c>
      <x:c r="D868" s="95" t="n">
        <x:v>45934</x:v>
      </x:c>
      <x:c r="E868" s="95"/>
      <x:c r="F868" s="86" t="str">
        <x:v>Em andamento</x:v>
      </x:c>
      <x:c r="G868" s="86"/>
      <x:c r="H868" s="93" t="n">
        <x:v>847.23</x:v>
      </x:c>
    </x:row>
    <x:row r="869">
      <x:c r="A869" s="85" t="n">
        <x:v>868</x:v>
      </x:c>
      <x:c r="B869" s="86" t="n">
        <x:v>158</x:v>
      </x:c>
      <x:c r="C869" s="86" t="n">
        <x:v>1</x:v>
      </x:c>
      <x:c r="D869" s="95" t="n">
        <x:v>45395</x:v>
      </x:c>
      <x:c r="E869" s="95" t="n">
        <x:v>45395</x:v>
      </x:c>
      <x:c r="F869" s="86" t="str">
        <x:v>Concluído</x:v>
      </x:c>
      <x:c r="G869" s="86" t="n">
        <x:v>7.2</x:v>
      </x:c>
      <x:c r="H869" s="93" t="n">
        <x:v>436.32</x:v>
      </x:c>
    </x:row>
    <x:row r="870">
      <x:c r="A870" s="85" t="n">
        <x:v>869</x:v>
      </x:c>
      <x:c r="B870" s="86" t="n">
        <x:v>46</x:v>
      </x:c>
      <x:c r="C870" s="86" t="n">
        <x:v>10</x:v>
      </x:c>
      <x:c r="D870" s="95" t="n">
        <x:v>45443</x:v>
      </x:c>
      <x:c r="E870" s="95" t="n">
        <x:v>45455</x:v>
      </x:c>
      <x:c r="F870" s="86" t="str">
        <x:v>Concluído</x:v>
      </x:c>
      <x:c r="G870" s="86" t="n">
        <x:v>6.7</x:v>
      </x:c>
      <x:c r="H870" s="93" t="n">
        <x:v>738.13</x:v>
      </x:c>
    </x:row>
    <x:row r="871">
      <x:c r="A871" s="85" t="n">
        <x:v>870</x:v>
      </x:c>
      <x:c r="B871" s="86" t="n">
        <x:v>353</x:v>
      </x:c>
      <x:c r="C871" s="86" t="n">
        <x:v>8</x:v>
      </x:c>
      <x:c r="D871" s="95" t="n">
        <x:v>45879</x:v>
      </x:c>
      <x:c r="E871" s="95" t="n">
        <x:v>45893</x:v>
      </x:c>
      <x:c r="F871" s="86" t="str">
        <x:v>Concluído</x:v>
      </x:c>
      <x:c r="G871" s="86" t="n">
        <x:v>5.6</x:v>
      </x:c>
      <x:c r="H871" s="93" t="n">
        <x:v>669.44</x:v>
      </x:c>
    </x:row>
    <x:row r="872">
      <x:c r="A872" s="85" t="n">
        <x:v>871</x:v>
      </x:c>
      <x:c r="B872" s="86" t="n">
        <x:v>345</x:v>
      </x:c>
      <x:c r="C872" s="86" t="n">
        <x:v>8</x:v>
      </x:c>
      <x:c r="D872" s="95" t="n">
        <x:v>45473</x:v>
      </x:c>
      <x:c r="E872" s="95"/>
      <x:c r="F872" s="86" t="str">
        <x:v>Não iniciado</x:v>
      </x:c>
      <x:c r="G872" s="86"/>
      <x:c r="H872" s="93" t="n">
        <x:v>634.92</x:v>
      </x:c>
    </x:row>
    <x:row r="873">
      <x:c r="A873" s="85" t="n">
        <x:v>872</x:v>
      </x:c>
      <x:c r="B873" s="86" t="n">
        <x:v>231</x:v>
      </x:c>
      <x:c r="C873" s="86" t="n">
        <x:v>2</x:v>
      </x:c>
      <x:c r="D873" s="95" t="n">
        <x:v>45455</x:v>
      </x:c>
      <x:c r="E873" s="95" t="n">
        <x:v>45473</x:v>
      </x:c>
      <x:c r="F873" s="86" t="str">
        <x:v>Concluído</x:v>
      </x:c>
      <x:c r="G873" s="86" t="n">
        <x:v>5.3</x:v>
      </x:c>
      <x:c r="H873" s="93" t="n">
        <x:v>534.92</x:v>
      </x:c>
    </x:row>
    <x:row r="874">
      <x:c r="A874" s="85" t="n">
        <x:v>873</x:v>
      </x:c>
      <x:c r="B874" s="86" t="n">
        <x:v>171</x:v>
      </x:c>
      <x:c r="C874" s="86" t="n">
        <x:v>6</x:v>
      </x:c>
      <x:c r="D874" s="95" t="n">
        <x:v>45687</x:v>
      </x:c>
      <x:c r="E874" s="95" t="n">
        <x:v>45692</x:v>
      </x:c>
      <x:c r="F874" s="86" t="str">
        <x:v>Concluído</x:v>
      </x:c>
      <x:c r="G874" s="86" t="n">
        <x:v>7.4</x:v>
      </x:c>
      <x:c r="H874" s="93" t="n">
        <x:v>647.53</x:v>
      </x:c>
    </x:row>
    <x:row r="875">
      <x:c r="A875" s="85" t="n">
        <x:v>874</x:v>
      </x:c>
      <x:c r="B875" s="86" t="n">
        <x:v>119</x:v>
      </x:c>
      <x:c r="C875" s="86" t="n">
        <x:v>6</x:v>
      </x:c>
      <x:c r="D875" s="95" t="n">
        <x:v>45754</x:v>
      </x:c>
      <x:c r="E875" s="95" t="n">
        <x:v>45771</x:v>
      </x:c>
      <x:c r="F875" s="86" t="str">
        <x:v>Reprovado</x:v>
      </x:c>
      <x:c r="G875" s="86" t="n">
        <x:v>8.3</x:v>
      </x:c>
      <x:c r="H875" s="93" t="n">
        <x:v>675.62</x:v>
      </x:c>
    </x:row>
    <x:row r="876">
      <x:c r="A876" s="85" t="n">
        <x:v>875</x:v>
      </x:c>
      <x:c r="B876" s="86" t="n">
        <x:v>76</x:v>
      </x:c>
      <x:c r="C876" s="86" t="n">
        <x:v>2</x:v>
      </x:c>
      <x:c r="D876" s="95" t="n">
        <x:v>45558</x:v>
      </x:c>
      <x:c r="E876" s="95" t="n">
        <x:v>45575</x:v>
      </x:c>
      <x:c r="F876" s="86" t="str">
        <x:v>Concluído</x:v>
      </x:c>
      <x:c r="G876" s="86" t="n">
        <x:v>8.4</x:v>
      </x:c>
      <x:c r="H876" s="93" t="n">
        <x:v>569.39</x:v>
      </x:c>
    </x:row>
    <x:row r="877">
      <x:c r="A877" s="85" t="n">
        <x:v>876</x:v>
      </x:c>
      <x:c r="B877" s="86" t="n">
        <x:v>89</x:v>
      </x:c>
      <x:c r="C877" s="86" t="n">
        <x:v>1</x:v>
      </x:c>
      <x:c r="D877" s="95" t="n">
        <x:v>45678</x:v>
      </x:c>
      <x:c r="E877" s="95"/>
      <x:c r="F877" s="86" t="str">
        <x:v>Não iniciado</x:v>
      </x:c>
      <x:c r="G877" s="86"/>
      <x:c r="H877" s="93" t="n">
        <x:v>245.28</x:v>
      </x:c>
    </x:row>
    <x:row r="878">
      <x:c r="A878" s="85" t="n">
        <x:v>877</x:v>
      </x:c>
      <x:c r="B878" s="86" t="n">
        <x:v>42</x:v>
      </x:c>
      <x:c r="C878" s="86" t="n">
        <x:v>8</x:v>
      </x:c>
      <x:c r="D878" s="95" t="n">
        <x:v>45789</x:v>
      </x:c>
      <x:c r="E878" s="95" t="n">
        <x:v>45804</x:v>
      </x:c>
      <x:c r="F878" s="86" t="str">
        <x:v>Concluído</x:v>
      </x:c>
      <x:c r="G878" s="86" t="n">
        <x:v>8</x:v>
      </x:c>
      <x:c r="H878" s="93" t="n">
        <x:v>667.73</x:v>
      </x:c>
    </x:row>
    <x:row r="879">
      <x:c r="A879" s="85" t="n">
        <x:v>878</x:v>
      </x:c>
      <x:c r="B879" s="86" t="n">
        <x:v>195</x:v>
      </x:c>
      <x:c r="C879" s="86" t="n">
        <x:v>10</x:v>
      </x:c>
      <x:c r="D879" s="95" t="n">
        <x:v>45935</x:v>
      </x:c>
      <x:c r="E879" s="95" t="n">
        <x:v>45941</x:v>
      </x:c>
      <x:c r="F879" s="86" t="str">
        <x:v>Reprovado</x:v>
      </x:c>
      <x:c r="G879" s="86" t="n">
        <x:v>6.1</x:v>
      </x:c>
      <x:c r="H879" s="93" t="n">
        <x:v>412.6</x:v>
      </x:c>
    </x:row>
    <x:row r="880">
      <x:c r="A880" s="85" t="n">
        <x:v>879</x:v>
      </x:c>
      <x:c r="B880" s="86" t="n">
        <x:v>406</x:v>
      </x:c>
      <x:c r="C880" s="86" t="n">
        <x:v>10</x:v>
      </x:c>
      <x:c r="D880" s="95" t="n">
        <x:v>45573</x:v>
      </x:c>
      <x:c r="E880" s="95" t="n">
        <x:v>45592</x:v>
      </x:c>
      <x:c r="F880" s="86" t="str">
        <x:v>Concluído</x:v>
      </x:c>
      <x:c r="G880" s="86" t="n">
        <x:v>5.1</x:v>
      </x:c>
      <x:c r="H880" s="93" t="n">
        <x:v>563.9</x:v>
      </x:c>
    </x:row>
    <x:row r="881">
      <x:c r="A881" s="85" t="n">
        <x:v>880</x:v>
      </x:c>
      <x:c r="B881" s="86" t="n">
        <x:v>375</x:v>
      </x:c>
      <x:c r="C881" s="86" t="n">
        <x:v>9</x:v>
      </x:c>
      <x:c r="D881" s="95" t="n">
        <x:v>45982</x:v>
      </x:c>
      <x:c r="E881" s="95" t="n">
        <x:v>46002</x:v>
      </x:c>
      <x:c r="F881" s="86" t="str">
        <x:v>Concluído</x:v>
      </x:c>
      <x:c r="G881" s="86" t="n">
        <x:v>7.2</x:v>
      </x:c>
      <x:c r="H881" s="93" t="n">
        <x:v>282.56</x:v>
      </x:c>
    </x:row>
    <x:row r="882">
      <x:c r="A882" s="85" t="n">
        <x:v>881</x:v>
      </x:c>
      <x:c r="B882" s="86" t="n">
        <x:v>11</x:v>
      </x:c>
      <x:c r="C882" s="86" t="n">
        <x:v>1</x:v>
      </x:c>
      <x:c r="D882" s="95" t="n">
        <x:v>45792</x:v>
      </x:c>
      <x:c r="E882" s="95" t="n">
        <x:v>45801</x:v>
      </x:c>
      <x:c r="F882" s="86" t="str">
        <x:v>Concluído</x:v>
      </x:c>
      <x:c r="G882" s="86" t="n">
        <x:v>7</x:v>
      </x:c>
      <x:c r="H882" s="93" t="n">
        <x:v>370.27</x:v>
      </x:c>
    </x:row>
    <x:row r="883">
      <x:c r="A883" s="85" t="n">
        <x:v>882</x:v>
      </x:c>
      <x:c r="B883" s="86" t="n">
        <x:v>256</x:v>
      </x:c>
      <x:c r="C883" s="86" t="n">
        <x:v>7</x:v>
      </x:c>
      <x:c r="D883" s="95" t="n">
        <x:v>45980</x:v>
      </x:c>
      <x:c r="E883" s="95" t="n">
        <x:v>45997</x:v>
      </x:c>
      <x:c r="F883" s="86" t="str">
        <x:v>Concluído</x:v>
      </x:c>
      <x:c r="G883" s="86" t="n">
        <x:v>7.4</x:v>
      </x:c>
      <x:c r="H883" s="93" t="n">
        <x:v>266.15</x:v>
      </x:c>
    </x:row>
    <x:row r="884">
      <x:c r="A884" s="85" t="n">
        <x:v>883</x:v>
      </x:c>
      <x:c r="B884" s="86" t="n">
        <x:v>44</x:v>
      </x:c>
      <x:c r="C884" s="86" t="n">
        <x:v>1</x:v>
      </x:c>
      <x:c r="D884" s="95" t="n">
        <x:v>45862</x:v>
      </x:c>
      <x:c r="E884" s="95" t="n">
        <x:v>45878</x:v>
      </x:c>
      <x:c r="F884" s="86" t="str">
        <x:v>Concluído</x:v>
      </x:c>
      <x:c r="G884" s="86" t="n">
        <x:v>7.6</x:v>
      </x:c>
      <x:c r="H884" s="93" t="n">
        <x:v>555.92</x:v>
      </x:c>
    </x:row>
    <x:row r="885">
      <x:c r="A885" s="85" t="n">
        <x:v>884</x:v>
      </x:c>
      <x:c r="B885" s="86" t="n">
        <x:v>281</x:v>
      </x:c>
      <x:c r="C885" s="86" t="n">
        <x:v>1</x:v>
      </x:c>
      <x:c r="D885" s="95" t="n">
        <x:v>45591</x:v>
      </x:c>
      <x:c r="E885" s="95" t="n">
        <x:v>45611</x:v>
      </x:c>
      <x:c r="F885" s="86" t="str">
        <x:v>Concluído</x:v>
      </x:c>
      <x:c r="G885" s="86" t="n">
        <x:v>7.5</x:v>
      </x:c>
      <x:c r="H885" s="93" t="n">
        <x:v>247.56</x:v>
      </x:c>
    </x:row>
    <x:row r="886">
      <x:c r="A886" s="85" t="n">
        <x:v>885</x:v>
      </x:c>
      <x:c r="B886" s="86" t="n">
        <x:v>224</x:v>
      </x:c>
      <x:c r="C886" s="86" t="n">
        <x:v>9</x:v>
      </x:c>
      <x:c r="D886" s="95" t="n">
        <x:v>45988</x:v>
      </x:c>
      <x:c r="E886" s="95" t="n">
        <x:v>45998</x:v>
      </x:c>
      <x:c r="F886" s="86" t="str">
        <x:v>Concluído</x:v>
      </x:c>
      <x:c r="G886" s="86" t="n">
        <x:v>6.1</x:v>
      </x:c>
      <x:c r="H886" s="93" t="n">
        <x:v>222.89</x:v>
      </x:c>
    </x:row>
    <x:row r="887">
      <x:c r="A887" s="85" t="n">
        <x:v>886</x:v>
      </x:c>
      <x:c r="B887" s="86" t="n">
        <x:v>212</x:v>
      </x:c>
      <x:c r="C887" s="86" t="n">
        <x:v>5</x:v>
      </x:c>
      <x:c r="D887" s="95" t="n">
        <x:v>45781</x:v>
      </x:c>
      <x:c r="E887" s="95" t="n">
        <x:v>45783</x:v>
      </x:c>
      <x:c r="F887" s="86" t="str">
        <x:v>Concluído</x:v>
      </x:c>
      <x:c r="G887" s="86" t="n">
        <x:v>9.6</x:v>
      </x:c>
      <x:c r="H887" s="93" t="n">
        <x:v>603.19</x:v>
      </x:c>
    </x:row>
    <x:row r="888">
      <x:c r="A888" s="85" t="n">
        <x:v>887</x:v>
      </x:c>
      <x:c r="B888" s="86" t="n">
        <x:v>340</x:v>
      </x:c>
      <x:c r="C888" s="86" t="n">
        <x:v>9</x:v>
      </x:c>
      <x:c r="D888" s="95" t="n">
        <x:v>45924</x:v>
      </x:c>
      <x:c r="E888" s="95"/>
      <x:c r="F888" s="86" t="str">
        <x:v>Em andamento</x:v>
      </x:c>
      <x:c r="G888" s="86"/>
      <x:c r="H888" s="93" t="n">
        <x:v>98.07</x:v>
      </x:c>
    </x:row>
    <x:row r="889">
      <x:c r="A889" s="85" t="n">
        <x:v>888</x:v>
      </x:c>
      <x:c r="B889" s="86" t="n">
        <x:v>228</x:v>
      </x:c>
      <x:c r="C889" s="86" t="n">
        <x:v>6</x:v>
      </x:c>
      <x:c r="D889" s="95" t="n">
        <x:v>45342</x:v>
      </x:c>
      <x:c r="E889" s="95" t="n">
        <x:v>45353</x:v>
      </x:c>
      <x:c r="F889" s="86" t="str">
        <x:v>Concluído</x:v>
      </x:c>
      <x:c r="G889" s="86" t="n">
        <x:v>5.8</x:v>
      </x:c>
      <x:c r="H889" s="93" t="n">
        <x:v>772.3</x:v>
      </x:c>
    </x:row>
    <x:row r="890">
      <x:c r="A890" s="85" t="n">
        <x:v>889</x:v>
      </x:c>
      <x:c r="B890" s="86" t="n">
        <x:v>107</x:v>
      </x:c>
      <x:c r="C890" s="86" t="n">
        <x:v>2</x:v>
      </x:c>
      <x:c r="D890" s="95" t="n">
        <x:v>45840</x:v>
      </x:c>
      <x:c r="E890" s="95" t="n">
        <x:v>45858</x:v>
      </x:c>
      <x:c r="F890" s="86" t="str">
        <x:v>Reprovado</x:v>
      </x:c>
      <x:c r="G890" s="86" t="n">
        <x:v>5.8</x:v>
      </x:c>
      <x:c r="H890" s="93" t="n">
        <x:v>89.51</x:v>
      </x:c>
    </x:row>
    <x:row r="891">
      <x:c r="A891" s="85" t="n">
        <x:v>890</x:v>
      </x:c>
      <x:c r="B891" s="86" t="n">
        <x:v>12</x:v>
      </x:c>
      <x:c r="C891" s="86" t="n">
        <x:v>8</x:v>
      </x:c>
      <x:c r="D891" s="95" t="n">
        <x:v>45619</x:v>
      </x:c>
      <x:c r="E891" s="95" t="n">
        <x:v>45633</x:v>
      </x:c>
      <x:c r="F891" s="86" t="str">
        <x:v>Concluído</x:v>
      </x:c>
      <x:c r="G891" s="86" t="n">
        <x:v>5.7</x:v>
      </x:c>
      <x:c r="H891" s="93" t="n">
        <x:v>554.79</x:v>
      </x:c>
    </x:row>
    <x:row r="892">
      <x:c r="A892" s="85" t="n">
        <x:v>891</x:v>
      </x:c>
      <x:c r="B892" s="86" t="n">
        <x:v>4</x:v>
      </x:c>
      <x:c r="C892" s="86" t="n">
        <x:v>5</x:v>
      </x:c>
      <x:c r="D892" s="95" t="n">
        <x:v>45927</x:v>
      </x:c>
      <x:c r="E892" s="95" t="n">
        <x:v>45933</x:v>
      </x:c>
      <x:c r="F892" s="86" t="str">
        <x:v>Concluído</x:v>
      </x:c>
      <x:c r="G892" s="86" t="n">
        <x:v>9.3</x:v>
      </x:c>
      <x:c r="H892" s="93" t="n">
        <x:v>273.21</x:v>
      </x:c>
    </x:row>
    <x:row r="893">
      <x:c r="A893" s="85" t="n">
        <x:v>892</x:v>
      </x:c>
      <x:c r="B893" s="86" t="n">
        <x:v>54</x:v>
      </x:c>
      <x:c r="C893" s="86" t="n">
        <x:v>1</x:v>
      </x:c>
      <x:c r="D893" s="95" t="n">
        <x:v>45944</x:v>
      </x:c>
      <x:c r="E893" s="95" t="n">
        <x:v>45962</x:v>
      </x:c>
      <x:c r="F893" s="86" t="str">
        <x:v>Concluído</x:v>
      </x:c>
      <x:c r="G893" s="86" t="n">
        <x:v>6.3</x:v>
      </x:c>
      <x:c r="H893" s="93" t="n">
        <x:v>805.57</x:v>
      </x:c>
    </x:row>
    <x:row r="894">
      <x:c r="A894" s="85" t="n">
        <x:v>893</x:v>
      </x:c>
      <x:c r="B894" s="86" t="n">
        <x:v>372</x:v>
      </x:c>
      <x:c r="C894" s="86" t="n">
        <x:v>7</x:v>
      </x:c>
      <x:c r="D894" s="95" t="n">
        <x:v>45683</x:v>
      </x:c>
      <x:c r="E894" s="95" t="n">
        <x:v>45690</x:v>
      </x:c>
      <x:c r="F894" s="86" t="str">
        <x:v>Concluído</x:v>
      </x:c>
      <x:c r="G894" s="86" t="n">
        <x:v>6.3</x:v>
      </x:c>
      <x:c r="H894" s="93" t="n">
        <x:v>369.71</x:v>
      </x:c>
    </x:row>
    <x:row r="895">
      <x:c r="A895" s="85" t="n">
        <x:v>894</x:v>
      </x:c>
      <x:c r="B895" s="86" t="n">
        <x:v>134</x:v>
      </x:c>
      <x:c r="C895" s="86" t="n">
        <x:v>5</x:v>
      </x:c>
      <x:c r="D895" s="95" t="n">
        <x:v>45783</x:v>
      </x:c>
      <x:c r="E895" s="95" t="n">
        <x:v>45786</x:v>
      </x:c>
      <x:c r="F895" s="86" t="str">
        <x:v>Reprovado</x:v>
      </x:c>
      <x:c r="G895" s="86" t="n">
        <x:v>9.1</x:v>
      </x:c>
      <x:c r="H895" s="93" t="n">
        <x:v>615.95</x:v>
      </x:c>
    </x:row>
    <x:row r="896">
      <x:c r="A896" s="85" t="n">
        <x:v>895</x:v>
      </x:c>
      <x:c r="B896" s="86" t="n">
        <x:v>146</x:v>
      </x:c>
      <x:c r="C896" s="86" t="n">
        <x:v>1</x:v>
      </x:c>
      <x:c r="D896" s="95" t="n">
        <x:v>46022</x:v>
      </x:c>
      <x:c r="E896" s="95" t="n">
        <x:v>46031</x:v>
      </x:c>
      <x:c r="F896" s="86" t="str">
        <x:v>Concluído</x:v>
      </x:c>
      <x:c r="G896" s="86" t="n">
        <x:v>9.3</x:v>
      </x:c>
      <x:c r="H896" s="93" t="n">
        <x:v>596.92</x:v>
      </x:c>
    </x:row>
    <x:row r="897">
      <x:c r="A897" s="85" t="n">
        <x:v>896</x:v>
      </x:c>
      <x:c r="B897" s="86" t="n">
        <x:v>398</x:v>
      </x:c>
      <x:c r="C897" s="86" t="n">
        <x:v>5</x:v>
      </x:c>
      <x:c r="D897" s="95" t="n">
        <x:v>46020</x:v>
      </x:c>
      <x:c r="E897" s="95" t="n">
        <x:v>46033</x:v>
      </x:c>
      <x:c r="F897" s="86" t="str">
        <x:v>Concluído</x:v>
      </x:c>
      <x:c r="G897" s="86" t="n">
        <x:v>8.1</x:v>
      </x:c>
      <x:c r="H897" s="93" t="n">
        <x:v>482.39</x:v>
      </x:c>
    </x:row>
    <x:row r="898">
      <x:c r="A898" s="85" t="n">
        <x:v>897</x:v>
      </x:c>
      <x:c r="B898" s="86" t="n">
        <x:v>179</x:v>
      </x:c>
      <x:c r="C898" s="86" t="n">
        <x:v>3</x:v>
      </x:c>
      <x:c r="D898" s="95" t="n">
        <x:v>45876</x:v>
      </x:c>
      <x:c r="E898" s="95" t="n">
        <x:v>45894</x:v>
      </x:c>
      <x:c r="F898" s="86" t="str">
        <x:v>Concluído</x:v>
      </x:c>
      <x:c r="G898" s="86" t="n">
        <x:v>9</x:v>
      </x:c>
      <x:c r="H898" s="93" t="n">
        <x:v>390.79</x:v>
      </x:c>
    </x:row>
    <x:row r="899">
      <x:c r="A899" s="85" t="n">
        <x:v>898</x:v>
      </x:c>
      <x:c r="B899" s="86" t="n">
        <x:v>49</x:v>
      </x:c>
      <x:c r="C899" s="86" t="n">
        <x:v>9</x:v>
      </x:c>
      <x:c r="D899" s="95" t="n">
        <x:v>45508</x:v>
      </x:c>
      <x:c r="E899" s="95"/>
      <x:c r="F899" s="86" t="str">
        <x:v>Não iniciado</x:v>
      </x:c>
      <x:c r="G899" s="86"/>
      <x:c r="H899" s="93" t="n">
        <x:v>156.15</x:v>
      </x:c>
    </x:row>
    <x:row r="900">
      <x:c r="A900" s="85" t="n">
        <x:v>899</x:v>
      </x:c>
      <x:c r="B900" s="86" t="n">
        <x:v>284</x:v>
      </x:c>
      <x:c r="C900" s="86" t="n">
        <x:v>5</x:v>
      </x:c>
      <x:c r="D900" s="95" t="n">
        <x:v>45752</x:v>
      </x:c>
      <x:c r="E900" s="95" t="n">
        <x:v>45768</x:v>
      </x:c>
      <x:c r="F900" s="86" t="str">
        <x:v>Concluído</x:v>
      </x:c>
      <x:c r="G900" s="86" t="n">
        <x:v>8.2</x:v>
      </x:c>
      <x:c r="H900" s="93" t="n">
        <x:v>734.96</x:v>
      </x:c>
    </x:row>
    <x:row r="901">
      <x:c r="A901" s="85" t="n">
        <x:v>900</x:v>
      </x:c>
      <x:c r="B901" s="86" t="n">
        <x:v>157</x:v>
      </x:c>
      <x:c r="C901" s="86" t="n">
        <x:v>3</x:v>
      </x:c>
      <x:c r="D901" s="95" t="n">
        <x:v>45596</x:v>
      </x:c>
      <x:c r="E901" s="95" t="n">
        <x:v>45614</x:v>
      </x:c>
      <x:c r="F901" s="86" t="str">
        <x:v>Concluído</x:v>
      </x:c>
      <x:c r="G901" s="86" t="n">
        <x:v>9.7</x:v>
      </x:c>
      <x:c r="H901" s="93" t="n">
        <x:v>82.55</x:v>
      </x:c>
    </x:row>
    <x:row r="902">
      <x:c r="A902" s="85" t="n">
        <x:v>901</x:v>
      </x:c>
      <x:c r="B902" s="86" t="n">
        <x:v>363</x:v>
      </x:c>
      <x:c r="C902" s="86" t="n">
        <x:v>3</x:v>
      </x:c>
      <x:c r="D902" s="95" t="n">
        <x:v>45334</x:v>
      </x:c>
      <x:c r="E902" s="95" t="n">
        <x:v>45347</x:v>
      </x:c>
      <x:c r="F902" s="86" t="str">
        <x:v>Concluído</x:v>
      </x:c>
      <x:c r="G902" s="86" t="n">
        <x:v>6.4</x:v>
      </x:c>
      <x:c r="H902" s="93" t="n">
        <x:v>482.67</x:v>
      </x:c>
    </x:row>
    <x:row r="903">
      <x:c r="A903" s="85" t="n">
        <x:v>902</x:v>
      </x:c>
      <x:c r="B903" s="86" t="n">
        <x:v>417</x:v>
      </x:c>
      <x:c r="C903" s="86" t="n">
        <x:v>7</x:v>
      </x:c>
      <x:c r="D903" s="95" t="n">
        <x:v>45826</x:v>
      </x:c>
      <x:c r="E903" s="95" t="n">
        <x:v>45845</x:v>
      </x:c>
      <x:c r="F903" s="86" t="str">
        <x:v>Concluído</x:v>
      </x:c>
      <x:c r="G903" s="86" t="n">
        <x:v>9</x:v>
      </x:c>
      <x:c r="H903" s="93" t="n">
        <x:v>214.61</x:v>
      </x:c>
    </x:row>
    <x:row r="904">
      <x:c r="A904" s="85" t="n">
        <x:v>903</x:v>
      </x:c>
      <x:c r="B904" s="86" t="n">
        <x:v>300</x:v>
      </x:c>
      <x:c r="C904" s="86" t="n">
        <x:v>5</x:v>
      </x:c>
      <x:c r="D904" s="95" t="n">
        <x:v>45435</x:v>
      </x:c>
      <x:c r="E904" s="95"/>
      <x:c r="F904" s="86" t="str">
        <x:v>Não iniciado</x:v>
      </x:c>
      <x:c r="G904" s="86"/>
      <x:c r="H904" s="93" t="n">
        <x:v>173.47</x:v>
      </x:c>
    </x:row>
    <x:row r="905">
      <x:c r="A905" s="85" t="n">
        <x:v>904</x:v>
      </x:c>
      <x:c r="B905" s="86" t="n">
        <x:v>94</x:v>
      </x:c>
      <x:c r="C905" s="86" t="n">
        <x:v>2</x:v>
      </x:c>
      <x:c r="D905" s="95" t="n">
        <x:v>45507</x:v>
      </x:c>
      <x:c r="E905" s="95" t="n">
        <x:v>45511</x:v>
      </x:c>
      <x:c r="F905" s="86" t="str">
        <x:v>Concluído</x:v>
      </x:c>
      <x:c r="G905" s="86" t="n">
        <x:v>8.1</x:v>
      </x:c>
      <x:c r="H905" s="93" t="n">
        <x:v>268.76</x:v>
      </x:c>
    </x:row>
    <x:row r="906">
      <x:c r="A906" s="85" t="n">
        <x:v>905</x:v>
      </x:c>
      <x:c r="B906" s="86" t="n">
        <x:v>226</x:v>
      </x:c>
      <x:c r="C906" s="86" t="n">
        <x:v>2</x:v>
      </x:c>
      <x:c r="D906" s="95" t="n">
        <x:v>45982</x:v>
      </x:c>
      <x:c r="E906" s="95" t="n">
        <x:v>45993</x:v>
      </x:c>
      <x:c r="F906" s="86" t="str">
        <x:v>Concluído</x:v>
      </x:c>
      <x:c r="G906" s="86" t="n">
        <x:v>8.6</x:v>
      </x:c>
      <x:c r="H906" s="93" t="n">
        <x:v>829.3</x:v>
      </x:c>
    </x:row>
    <x:row r="907">
      <x:c r="A907" s="85" t="n">
        <x:v>906</x:v>
      </x:c>
      <x:c r="B907" s="86" t="n">
        <x:v>297</x:v>
      </x:c>
      <x:c r="C907" s="86" t="n">
        <x:v>9</x:v>
      </x:c>
      <x:c r="D907" s="95" t="n">
        <x:v>45921</x:v>
      </x:c>
      <x:c r="E907" s="95" t="n">
        <x:v>45921</x:v>
      </x:c>
      <x:c r="F907" s="86" t="str">
        <x:v>Reprovado</x:v>
      </x:c>
      <x:c r="G907" s="86" t="n">
        <x:v>8</x:v>
      </x:c>
      <x:c r="H907" s="93" t="n">
        <x:v>471.59</x:v>
      </x:c>
    </x:row>
    <x:row r="908">
      <x:c r="A908" s="85" t="n">
        <x:v>907</x:v>
      </x:c>
      <x:c r="B908" s="86" t="n">
        <x:v>23</x:v>
      </x:c>
      <x:c r="C908" s="86" t="n">
        <x:v>6</x:v>
      </x:c>
      <x:c r="D908" s="95" t="n">
        <x:v>45961</x:v>
      </x:c>
      <x:c r="E908" s="95" t="n">
        <x:v>45966</x:v>
      </x:c>
      <x:c r="F908" s="86" t="str">
        <x:v>Concluído</x:v>
      </x:c>
      <x:c r="G908" s="86" t="n">
        <x:v>8.3</x:v>
      </x:c>
      <x:c r="H908" s="93" t="n">
        <x:v>111.81</x:v>
      </x:c>
    </x:row>
    <x:row r="909">
      <x:c r="A909" s="85" t="n">
        <x:v>908</x:v>
      </x:c>
      <x:c r="B909" s="86" t="n">
        <x:v>297</x:v>
      </x:c>
      <x:c r="C909" s="86" t="n">
        <x:v>3</x:v>
      </x:c>
      <x:c r="D909" s="95" t="n">
        <x:v>45813</x:v>
      </x:c>
      <x:c r="E909" s="95" t="n">
        <x:v>45822</x:v>
      </x:c>
      <x:c r="F909" s="86" t="str">
        <x:v>Concluído</x:v>
      </x:c>
      <x:c r="G909" s="86" t="n">
        <x:v>7.9</x:v>
      </x:c>
      <x:c r="H909" s="93" t="n">
        <x:v>605.71</x:v>
      </x:c>
    </x:row>
    <x:row r="910">
      <x:c r="A910" s="85" t="n">
        <x:v>909</x:v>
      </x:c>
      <x:c r="B910" s="86" t="n">
        <x:v>350</x:v>
      </x:c>
      <x:c r="C910" s="86" t="n">
        <x:v>2</x:v>
      </x:c>
      <x:c r="D910" s="95" t="n">
        <x:v>45921</x:v>
      </x:c>
      <x:c r="E910" s="95" t="n">
        <x:v>45938</x:v>
      </x:c>
      <x:c r="F910" s="86" t="str">
        <x:v>Concluído</x:v>
      </x:c>
      <x:c r="G910" s="86" t="n">
        <x:v>6.3</x:v>
      </x:c>
      <x:c r="H910" s="93" t="n">
        <x:v>401.23</x:v>
      </x:c>
    </x:row>
    <x:row r="911">
      <x:c r="A911" s="85" t="n">
        <x:v>910</x:v>
      </x:c>
      <x:c r="B911" s="86" t="n">
        <x:v>58</x:v>
      </x:c>
      <x:c r="C911" s="86" t="n">
        <x:v>2</x:v>
      </x:c>
      <x:c r="D911" s="95" t="n">
        <x:v>45981</x:v>
      </x:c>
      <x:c r="E911" s="95" t="n">
        <x:v>45996</x:v>
      </x:c>
      <x:c r="F911" s="86" t="str">
        <x:v>Concluído</x:v>
      </x:c>
      <x:c r="G911" s="86" t="n">
        <x:v>6.6</x:v>
      </x:c>
      <x:c r="H911" s="93" t="n">
        <x:v>607.53</x:v>
      </x:c>
    </x:row>
    <x:row r="912">
      <x:c r="A912" s="85" t="n">
        <x:v>911</x:v>
      </x:c>
      <x:c r="B912" s="86" t="n">
        <x:v>317</x:v>
      </x:c>
      <x:c r="C912" s="86" t="n">
        <x:v>4</x:v>
      </x:c>
      <x:c r="D912" s="95" t="n">
        <x:v>45586</x:v>
      </x:c>
      <x:c r="E912" s="95" t="n">
        <x:v>45600</x:v>
      </x:c>
      <x:c r="F912" s="86" t="str">
        <x:v>Concluído</x:v>
      </x:c>
      <x:c r="G912" s="86" t="n">
        <x:v>6.7</x:v>
      </x:c>
      <x:c r="H912" s="93" t="n">
        <x:v>459.8</x:v>
      </x:c>
    </x:row>
    <x:row r="913">
      <x:c r="A913" s="85" t="n">
        <x:v>912</x:v>
      </x:c>
      <x:c r="B913" s="86" t="n">
        <x:v>15</x:v>
      </x:c>
      <x:c r="C913" s="86" t="n">
        <x:v>3</x:v>
      </x:c>
      <x:c r="D913" s="95" t="n">
        <x:v>45388</x:v>
      </x:c>
      <x:c r="E913" s="95" t="n">
        <x:v>45392</x:v>
      </x:c>
      <x:c r="F913" s="86" t="str">
        <x:v>Concluído</x:v>
      </x:c>
      <x:c r="G913" s="86" t="n">
        <x:v>5.2</x:v>
      </x:c>
      <x:c r="H913" s="93" t="n">
        <x:v>267.23</x:v>
      </x:c>
    </x:row>
    <x:row r="914">
      <x:c r="A914" s="85" t="n">
        <x:v>913</x:v>
      </x:c>
      <x:c r="B914" s="86" t="n">
        <x:v>375</x:v>
      </x:c>
      <x:c r="C914" s="86" t="n">
        <x:v>7</x:v>
      </x:c>
      <x:c r="D914" s="95" t="n">
        <x:v>45668</x:v>
      </x:c>
      <x:c r="E914" s="95" t="n">
        <x:v>45668</x:v>
      </x:c>
      <x:c r="F914" s="86" t="str">
        <x:v>Concluído</x:v>
      </x:c>
      <x:c r="G914" s="86" t="n">
        <x:v>9.2</x:v>
      </x:c>
      <x:c r="H914" s="93" t="n">
        <x:v>93.24</x:v>
      </x:c>
    </x:row>
    <x:row r="915">
      <x:c r="A915" s="85" t="n">
        <x:v>914</x:v>
      </x:c>
      <x:c r="B915" s="86" t="n">
        <x:v>195</x:v>
      </x:c>
      <x:c r="C915" s="86" t="n">
        <x:v>2</x:v>
      </x:c>
      <x:c r="D915" s="95" t="n">
        <x:v>45744</x:v>
      </x:c>
      <x:c r="E915" s="95" t="n">
        <x:v>45744</x:v>
      </x:c>
      <x:c r="F915" s="86" t="str">
        <x:v>Concluído</x:v>
      </x:c>
      <x:c r="G915" s="86" t="n">
        <x:v>9.4</x:v>
      </x:c>
      <x:c r="H915" s="93" t="n">
        <x:v>420.26</x:v>
      </x:c>
    </x:row>
    <x:row r="916">
      <x:c r="A916" s="85" t="n">
        <x:v>915</x:v>
      </x:c>
      <x:c r="B916" s="86" t="n">
        <x:v>285</x:v>
      </x:c>
      <x:c r="C916" s="86" t="n">
        <x:v>9</x:v>
      </x:c>
      <x:c r="D916" s="95" t="n">
        <x:v>45724</x:v>
      </x:c>
      <x:c r="E916" s="95" t="n">
        <x:v>45735</x:v>
      </x:c>
      <x:c r="F916" s="86" t="str">
        <x:v>Concluído</x:v>
      </x:c>
      <x:c r="G916" s="86" t="n">
        <x:v>6.4</x:v>
      </x:c>
      <x:c r="H916" s="93" t="n">
        <x:v>667</x:v>
      </x:c>
    </x:row>
    <x:row r="917">
      <x:c r="A917" s="85" t="n">
        <x:v>916</x:v>
      </x:c>
      <x:c r="B917" s="86" t="n">
        <x:v>387</x:v>
      </x:c>
      <x:c r="C917" s="86" t="n">
        <x:v>1</x:v>
      </x:c>
      <x:c r="D917" s="95" t="n">
        <x:v>45696</x:v>
      </x:c>
      <x:c r="E917" s="95"/>
      <x:c r="F917" s="86" t="str">
        <x:v>Não iniciado</x:v>
      </x:c>
      <x:c r="G917" s="86"/>
      <x:c r="H917" s="93" t="n">
        <x:v>757.14</x:v>
      </x:c>
    </x:row>
    <x:row r="918">
      <x:c r="A918" s="85" t="n">
        <x:v>917</x:v>
      </x:c>
      <x:c r="B918" s="86" t="n">
        <x:v>233</x:v>
      </x:c>
      <x:c r="C918" s="86" t="n">
        <x:v>10</x:v>
      </x:c>
      <x:c r="D918" s="95" t="n">
        <x:v>45767</x:v>
      </x:c>
      <x:c r="E918" s="95" t="n">
        <x:v>45771</x:v>
      </x:c>
      <x:c r="F918" s="86" t="str">
        <x:v>Concluído</x:v>
      </x:c>
      <x:c r="G918" s="86" t="n">
        <x:v>5.6</x:v>
      </x:c>
      <x:c r="H918" s="93" t="n">
        <x:v>234.59</x:v>
      </x:c>
    </x:row>
    <x:row r="919">
      <x:c r="A919" s="85" t="n">
        <x:v>918</x:v>
      </x:c>
      <x:c r="B919" s="86" t="n">
        <x:v>413</x:v>
      </x:c>
      <x:c r="C919" s="86" t="n">
        <x:v>7</x:v>
      </x:c>
      <x:c r="D919" s="95" t="n">
        <x:v>46013</x:v>
      </x:c>
      <x:c r="E919" s="95" t="n">
        <x:v>46030</x:v>
      </x:c>
      <x:c r="F919" s="86" t="str">
        <x:v>Concluído</x:v>
      </x:c>
      <x:c r="G919" s="86" t="n">
        <x:v>8.5</x:v>
      </x:c>
      <x:c r="H919" s="93" t="n">
        <x:v>713.58</x:v>
      </x:c>
    </x:row>
    <x:row r="920">
      <x:c r="A920" s="85" t="n">
        <x:v>919</x:v>
      </x:c>
      <x:c r="B920" s="86" t="n">
        <x:v>365</x:v>
      </x:c>
      <x:c r="C920" s="86" t="n">
        <x:v>3</x:v>
      </x:c>
      <x:c r="D920" s="95" t="n">
        <x:v>46015</x:v>
      </x:c>
      <x:c r="E920" s="95"/>
      <x:c r="F920" s="86" t="str">
        <x:v>Não iniciado</x:v>
      </x:c>
      <x:c r="G920" s="86"/>
      <x:c r="H920" s="93" t="n">
        <x:v>561.87</x:v>
      </x:c>
    </x:row>
    <x:row r="921">
      <x:c r="A921" s="85" t="n">
        <x:v>920</x:v>
      </x:c>
      <x:c r="B921" s="86" t="n">
        <x:v>49</x:v>
      </x:c>
      <x:c r="C921" s="86" t="n">
        <x:v>9</x:v>
      </x:c>
      <x:c r="D921" s="95" t="n">
        <x:v>45848</x:v>
      </x:c>
      <x:c r="E921" s="95"/>
      <x:c r="F921" s="86" t="str">
        <x:v>Não iniciado</x:v>
      </x:c>
      <x:c r="G921" s="86"/>
      <x:c r="H921" s="93" t="n">
        <x:v>444.17</x:v>
      </x:c>
    </x:row>
    <x:row r="922">
      <x:c r="A922" s="85" t="n">
        <x:v>921</x:v>
      </x:c>
      <x:c r="B922" s="86" t="n">
        <x:v>188</x:v>
      </x:c>
      <x:c r="C922" s="86" t="n">
        <x:v>10</x:v>
      </x:c>
      <x:c r="D922" s="95" t="n">
        <x:v>45658</x:v>
      </x:c>
      <x:c r="E922" s="95"/>
      <x:c r="F922" s="86" t="str">
        <x:v>Não iniciado</x:v>
      </x:c>
      <x:c r="G922" s="86"/>
      <x:c r="H922" s="93" t="n">
        <x:v>455.82</x:v>
      </x:c>
    </x:row>
    <x:row r="923">
      <x:c r="A923" s="85" t="n">
        <x:v>922</x:v>
      </x:c>
      <x:c r="B923" s="86" t="n">
        <x:v>293</x:v>
      </x:c>
      <x:c r="C923" s="86" t="n">
        <x:v>5</x:v>
      </x:c>
      <x:c r="D923" s="95" t="n">
        <x:v>45697</x:v>
      </x:c>
      <x:c r="E923" s="95" t="n">
        <x:v>45699</x:v>
      </x:c>
      <x:c r="F923" s="86" t="str">
        <x:v>Concluído</x:v>
      </x:c>
      <x:c r="G923" s="86" t="n">
        <x:v>9.5</x:v>
      </x:c>
      <x:c r="H923" s="93" t="n">
        <x:v>788.72</x:v>
      </x:c>
    </x:row>
    <x:row r="924">
      <x:c r="A924" s="85" t="n">
        <x:v>923</x:v>
      </x:c>
      <x:c r="B924" s="86" t="n">
        <x:v>191</x:v>
      </x:c>
      <x:c r="C924" s="86" t="n">
        <x:v>6</x:v>
      </x:c>
      <x:c r="D924" s="95" t="n">
        <x:v>45867</x:v>
      </x:c>
      <x:c r="E924" s="95" t="n">
        <x:v>45877</x:v>
      </x:c>
      <x:c r="F924" s="86" t="str">
        <x:v>Concluído</x:v>
      </x:c>
      <x:c r="G924" s="86" t="n">
        <x:v>6.1</x:v>
      </x:c>
      <x:c r="H924" s="93" t="n">
        <x:v>696.23</x:v>
      </x:c>
    </x:row>
    <x:row r="925">
      <x:c r="A925" s="85" t="n">
        <x:v>924</x:v>
      </x:c>
      <x:c r="B925" s="86" t="n">
        <x:v>43</x:v>
      </x:c>
      <x:c r="C925" s="86" t="n">
        <x:v>4</x:v>
      </x:c>
      <x:c r="D925" s="95" t="n">
        <x:v>45921</x:v>
      </x:c>
      <x:c r="E925" s="95" t="n">
        <x:v>45940</x:v>
      </x:c>
      <x:c r="F925" s="86" t="str">
        <x:v>Concluído</x:v>
      </x:c>
      <x:c r="G925" s="86" t="n">
        <x:v>6.7</x:v>
      </x:c>
      <x:c r="H925" s="93" t="n">
        <x:v>456.57</x:v>
      </x:c>
    </x:row>
    <x:row r="926">
      <x:c r="A926" s="85" t="n">
        <x:v>925</x:v>
      </x:c>
      <x:c r="B926" s="86" t="n">
        <x:v>190</x:v>
      </x:c>
      <x:c r="C926" s="86" t="n">
        <x:v>1</x:v>
      </x:c>
      <x:c r="D926" s="95" t="n">
        <x:v>46017</x:v>
      </x:c>
      <x:c r="E926" s="95" t="n">
        <x:v>46027</x:v>
      </x:c>
      <x:c r="F926" s="86" t="str">
        <x:v>Concluído</x:v>
      </x:c>
      <x:c r="G926" s="86" t="n">
        <x:v>8.3</x:v>
      </x:c>
      <x:c r="H926" s="93" t="n">
        <x:v>590.76</x:v>
      </x:c>
    </x:row>
    <x:row r="927">
      <x:c r="A927" s="85" t="n">
        <x:v>926</x:v>
      </x:c>
      <x:c r="B927" s="86" t="n">
        <x:v>193</x:v>
      </x:c>
      <x:c r="C927" s="86" t="n">
        <x:v>8</x:v>
      </x:c>
      <x:c r="D927" s="95" t="n">
        <x:v>45880</x:v>
      </x:c>
      <x:c r="E927" s="95" t="n">
        <x:v>45896</x:v>
      </x:c>
      <x:c r="F927" s="86" t="str">
        <x:v>Concluído</x:v>
      </x:c>
      <x:c r="G927" s="86" t="n">
        <x:v>7</x:v>
      </x:c>
      <x:c r="H927" s="93" t="n">
        <x:v>230.39</x:v>
      </x:c>
    </x:row>
    <x:row r="928">
      <x:c r="A928" s="85" t="n">
        <x:v>927</x:v>
      </x:c>
      <x:c r="B928" s="86" t="n">
        <x:v>127</x:v>
      </x:c>
      <x:c r="C928" s="86" t="n">
        <x:v>4</x:v>
      </x:c>
      <x:c r="D928" s="95" t="n">
        <x:v>45968</x:v>
      </x:c>
      <x:c r="E928" s="95" t="n">
        <x:v>45983</x:v>
      </x:c>
      <x:c r="F928" s="86" t="str">
        <x:v>Concluído</x:v>
      </x:c>
      <x:c r="G928" s="86" t="n">
        <x:v>8.2</x:v>
      </x:c>
      <x:c r="H928" s="93" t="n">
        <x:v>395.86</x:v>
      </x:c>
    </x:row>
    <x:row r="929">
      <x:c r="A929" s="85" t="n">
        <x:v>928</x:v>
      </x:c>
      <x:c r="B929" s="86" t="n">
        <x:v>148</x:v>
      </x:c>
      <x:c r="C929" s="86" t="n">
        <x:v>8</x:v>
      </x:c>
      <x:c r="D929" s="95" t="n">
        <x:v>45612</x:v>
      </x:c>
      <x:c r="E929" s="95" t="n">
        <x:v>45622</x:v>
      </x:c>
      <x:c r="F929" s="86" t="str">
        <x:v>Concluído</x:v>
      </x:c>
      <x:c r="G929" s="86" t="n">
        <x:v>6</x:v>
      </x:c>
      <x:c r="H929" s="93" t="n">
        <x:v>717.13</x:v>
      </x:c>
    </x:row>
    <x:row r="930">
      <x:c r="A930" s="85" t="n">
        <x:v>929</x:v>
      </x:c>
      <x:c r="B930" s="86" t="n">
        <x:v>18</x:v>
      </x:c>
      <x:c r="C930" s="86" t="n">
        <x:v>1</x:v>
      </x:c>
      <x:c r="D930" s="95" t="n">
        <x:v>45778</x:v>
      </x:c>
      <x:c r="E930" s="95" t="n">
        <x:v>45790</x:v>
      </x:c>
      <x:c r="F930" s="86" t="str">
        <x:v>Concluído</x:v>
      </x:c>
      <x:c r="G930" s="86" t="n">
        <x:v>6.8</x:v>
      </x:c>
      <x:c r="H930" s="93" t="n">
        <x:v>470.52</x:v>
      </x:c>
    </x:row>
    <x:row r="931">
      <x:c r="A931" s="85" t="n">
        <x:v>930</x:v>
      </x:c>
      <x:c r="B931" s="86" t="n">
        <x:v>11</x:v>
      </x:c>
      <x:c r="C931" s="86" t="n">
        <x:v>3</x:v>
      </x:c>
      <x:c r="D931" s="95" t="n">
        <x:v>45820</x:v>
      </x:c>
      <x:c r="E931" s="95" t="n">
        <x:v>45839</x:v>
      </x:c>
      <x:c r="F931" s="86" t="str">
        <x:v>Concluído</x:v>
      </x:c>
      <x:c r="G931" s="86" t="n">
        <x:v>7.9</x:v>
      </x:c>
      <x:c r="H931" s="93" t="n">
        <x:v>713.45</x:v>
      </x:c>
    </x:row>
    <x:row r="932">
      <x:c r="A932" s="85" t="n">
        <x:v>931</x:v>
      </x:c>
      <x:c r="B932" s="86" t="n">
        <x:v>242</x:v>
      </x:c>
      <x:c r="C932" s="86" t="n">
        <x:v>3</x:v>
      </x:c>
      <x:c r="D932" s="95" t="n">
        <x:v>45452</x:v>
      </x:c>
      <x:c r="E932" s="95" t="n">
        <x:v>45461</x:v>
      </x:c>
      <x:c r="F932" s="86" t="str">
        <x:v>Concluído</x:v>
      </x:c>
      <x:c r="G932" s="86" t="n">
        <x:v>9.4</x:v>
      </x:c>
      <x:c r="H932" s="93" t="n">
        <x:v>286.78</x:v>
      </x:c>
    </x:row>
    <x:row r="933">
      <x:c r="A933" s="85" t="n">
        <x:v>932</x:v>
      </x:c>
      <x:c r="B933" s="86" t="n">
        <x:v>331</x:v>
      </x:c>
      <x:c r="C933" s="86" t="n">
        <x:v>4</x:v>
      </x:c>
      <x:c r="D933" s="95" t="n">
        <x:v>45810</x:v>
      </x:c>
      <x:c r="E933" s="95" t="n">
        <x:v>45828</x:v>
      </x:c>
      <x:c r="F933" s="86" t="str">
        <x:v>Concluído</x:v>
      </x:c>
      <x:c r="G933" s="86" t="n">
        <x:v>7.8</x:v>
      </x:c>
      <x:c r="H933" s="93" t="n">
        <x:v>207.72</x:v>
      </x:c>
    </x:row>
    <x:row r="934">
      <x:c r="A934" s="85" t="n">
        <x:v>933</x:v>
      </x:c>
      <x:c r="B934" s="86" t="n">
        <x:v>359</x:v>
      </x:c>
      <x:c r="C934" s="86" t="n">
        <x:v>2</x:v>
      </x:c>
      <x:c r="D934" s="95" t="n">
        <x:v>45671</x:v>
      </x:c>
      <x:c r="E934" s="95" t="n">
        <x:v>45680</x:v>
      </x:c>
      <x:c r="F934" s="86" t="str">
        <x:v>Concluído</x:v>
      </x:c>
      <x:c r="G934" s="86" t="n">
        <x:v>9.6</x:v>
      </x:c>
      <x:c r="H934" s="93" t="n">
        <x:v>261.28</x:v>
      </x:c>
    </x:row>
    <x:row r="935">
      <x:c r="A935" s="85" t="n">
        <x:v>934</x:v>
      </x:c>
      <x:c r="B935" s="86" t="n">
        <x:v>168</x:v>
      </x:c>
      <x:c r="C935" s="86" t="n">
        <x:v>6</x:v>
      </x:c>
      <x:c r="D935" s="95" t="n">
        <x:v>45635</x:v>
      </x:c>
      <x:c r="E935" s="95" t="n">
        <x:v>45636</x:v>
      </x:c>
      <x:c r="F935" s="86" t="str">
        <x:v>Concluído</x:v>
      </x:c>
      <x:c r="G935" s="86" t="n">
        <x:v>7.3</x:v>
      </x:c>
      <x:c r="H935" s="93" t="n">
        <x:v>828.52</x:v>
      </x:c>
    </x:row>
    <x:row r="936">
      <x:c r="A936" s="85" t="n">
        <x:v>935</x:v>
      </x:c>
      <x:c r="B936" s="86" t="n">
        <x:v>209</x:v>
      </x:c>
      <x:c r="C936" s="86" t="n">
        <x:v>5</x:v>
      </x:c>
      <x:c r="D936" s="95" t="n">
        <x:v>45444</x:v>
      </x:c>
      <x:c r="E936" s="95" t="n">
        <x:v>45460</x:v>
      </x:c>
      <x:c r="F936" s="86" t="str">
        <x:v>Concluído</x:v>
      </x:c>
      <x:c r="G936" s="86" t="n">
        <x:v>6</x:v>
      </x:c>
      <x:c r="H936" s="93" t="n">
        <x:v>294.05</x:v>
      </x:c>
    </x:row>
    <x:row r="937">
      <x:c r="A937" s="85" t="n">
        <x:v>936</x:v>
      </x:c>
      <x:c r="B937" s="86" t="n">
        <x:v>273</x:v>
      </x:c>
      <x:c r="C937" s="86" t="n">
        <x:v>6</x:v>
      </x:c>
      <x:c r="D937" s="95" t="n">
        <x:v>45573</x:v>
      </x:c>
      <x:c r="E937" s="95" t="n">
        <x:v>45591</x:v>
      </x:c>
      <x:c r="F937" s="86" t="str">
        <x:v>Concluído</x:v>
      </x:c>
      <x:c r="G937" s="86" t="n">
        <x:v>9.5</x:v>
      </x:c>
      <x:c r="H937" s="93" t="n">
        <x:v>840.25</x:v>
      </x:c>
    </x:row>
    <x:row r="938">
      <x:c r="A938" s="85" t="n">
        <x:v>937</x:v>
      </x:c>
      <x:c r="B938" s="86" t="n">
        <x:v>48</x:v>
      </x:c>
      <x:c r="C938" s="86" t="n">
        <x:v>7</x:v>
      </x:c>
      <x:c r="D938" s="95" t="n">
        <x:v>45667</x:v>
      </x:c>
      <x:c r="E938" s="95" t="n">
        <x:v>45683</x:v>
      </x:c>
      <x:c r="F938" s="86" t="str">
        <x:v>Concluído</x:v>
      </x:c>
      <x:c r="G938" s="86" t="n">
        <x:v>8.4</x:v>
      </x:c>
      <x:c r="H938" s="93" t="n">
        <x:v>135.79</x:v>
      </x:c>
    </x:row>
    <x:row r="939">
      <x:c r="A939" s="85" t="n">
        <x:v>938</x:v>
      </x:c>
      <x:c r="B939" s="86" t="n">
        <x:v>348</x:v>
      </x:c>
      <x:c r="C939" s="86" t="n">
        <x:v>7</x:v>
      </x:c>
      <x:c r="D939" s="95" t="n">
        <x:v>45717</x:v>
      </x:c>
      <x:c r="E939" s="95" t="n">
        <x:v>45727</x:v>
      </x:c>
      <x:c r="F939" s="86" t="str">
        <x:v>Concluído</x:v>
      </x:c>
      <x:c r="G939" s="86" t="n">
        <x:v>7</x:v>
      </x:c>
      <x:c r="H939" s="93" t="n">
        <x:v>333.99</x:v>
      </x:c>
    </x:row>
    <x:row r="940">
      <x:c r="A940" s="85" t="n">
        <x:v>939</x:v>
      </x:c>
      <x:c r="B940" s="86" t="n">
        <x:v>395</x:v>
      </x:c>
      <x:c r="C940" s="86" t="n">
        <x:v>8</x:v>
      </x:c>
      <x:c r="D940" s="95" t="n">
        <x:v>45974</x:v>
      </x:c>
      <x:c r="E940" s="95"/>
      <x:c r="F940" s="86" t="str">
        <x:v>Não iniciado</x:v>
      </x:c>
      <x:c r="G940" s="86"/>
      <x:c r="H940" s="93" t="n">
        <x:v>729.07</x:v>
      </x:c>
    </x:row>
    <x:row r="941">
      <x:c r="A941" s="85" t="n">
        <x:v>940</x:v>
      </x:c>
      <x:c r="B941" s="86" t="n">
        <x:v>42</x:v>
      </x:c>
      <x:c r="C941" s="86" t="n">
        <x:v>8</x:v>
      </x:c>
      <x:c r="D941" s="95" t="n">
        <x:v>45936</x:v>
      </x:c>
      <x:c r="E941" s="95" t="n">
        <x:v>45950</x:v>
      </x:c>
      <x:c r="F941" s="86" t="str">
        <x:v>Concluído</x:v>
      </x:c>
      <x:c r="G941" s="86" t="n">
        <x:v>8.3</x:v>
      </x:c>
      <x:c r="H941" s="93" t="n">
        <x:v>612.89</x:v>
      </x:c>
    </x:row>
    <x:row r="942">
      <x:c r="A942" s="85" t="n">
        <x:v>941</x:v>
      </x:c>
      <x:c r="B942" s="86" t="n">
        <x:v>350</x:v>
      </x:c>
      <x:c r="C942" s="86" t="n">
        <x:v>3</x:v>
      </x:c>
      <x:c r="D942" s="95" t="n">
        <x:v>45998</x:v>
      </x:c>
      <x:c r="E942" s="95" t="n">
        <x:v>45999</x:v>
      </x:c>
      <x:c r="F942" s="86" t="str">
        <x:v>Concluído</x:v>
      </x:c>
      <x:c r="G942" s="86" t="n">
        <x:v>6.6</x:v>
      </x:c>
      <x:c r="H942" s="93" t="n">
        <x:v>774.22</x:v>
      </x:c>
    </x:row>
    <x:row r="943">
      <x:c r="A943" s="85" t="n">
        <x:v>942</x:v>
      </x:c>
      <x:c r="B943" s="86" t="n">
        <x:v>197</x:v>
      </x:c>
      <x:c r="C943" s="86" t="n">
        <x:v>5</x:v>
      </x:c>
      <x:c r="D943" s="95" t="n">
        <x:v>45786</x:v>
      </x:c>
      <x:c r="E943" s="95" t="n">
        <x:v>45786</x:v>
      </x:c>
      <x:c r="F943" s="86" t="str">
        <x:v>Concluído</x:v>
      </x:c>
      <x:c r="G943" s="86" t="n">
        <x:v>8.5</x:v>
      </x:c>
      <x:c r="H943" s="93" t="n">
        <x:v>618.21</x:v>
      </x:c>
    </x:row>
    <x:row r="944">
      <x:c r="A944" s="85" t="n">
        <x:v>943</x:v>
      </x:c>
      <x:c r="B944" s="86" t="n">
        <x:v>245</x:v>
      </x:c>
      <x:c r="C944" s="86" t="n">
        <x:v>1</x:v>
      </x:c>
      <x:c r="D944" s="95" t="n">
        <x:v>45855</x:v>
      </x:c>
      <x:c r="E944" s="95" t="n">
        <x:v>45869</x:v>
      </x:c>
      <x:c r="F944" s="86" t="str">
        <x:v>Concluído</x:v>
      </x:c>
      <x:c r="G944" s="86" t="n">
        <x:v>7.7</x:v>
      </x:c>
      <x:c r="H944" s="93" t="n">
        <x:v>514.17</x:v>
      </x:c>
    </x:row>
    <x:row r="945">
      <x:c r="A945" s="85" t="n">
        <x:v>944</x:v>
      </x:c>
      <x:c r="B945" s="86" t="n">
        <x:v>220</x:v>
      </x:c>
      <x:c r="C945" s="86" t="n">
        <x:v>9</x:v>
      </x:c>
      <x:c r="D945" s="95" t="n">
        <x:v>45775</x:v>
      </x:c>
      <x:c r="E945" s="95" t="n">
        <x:v>45784</x:v>
      </x:c>
      <x:c r="F945" s="86" t="str">
        <x:v>Concluído</x:v>
      </x:c>
      <x:c r="G945" s="86" t="n">
        <x:v>8.6</x:v>
      </x:c>
      <x:c r="H945" s="93" t="n">
        <x:v>798.82</x:v>
      </x:c>
    </x:row>
    <x:row r="946">
      <x:c r="A946" s="85" t="n">
        <x:v>945</x:v>
      </x:c>
      <x:c r="B946" s="86" t="n">
        <x:v>2</x:v>
      </x:c>
      <x:c r="C946" s="86" t="n">
        <x:v>6</x:v>
      </x:c>
      <x:c r="D946" s="95" t="n">
        <x:v>45448</x:v>
      </x:c>
      <x:c r="E946" s="95" t="n">
        <x:v>45459</x:v>
      </x:c>
      <x:c r="F946" s="86" t="str">
        <x:v>Concluído</x:v>
      </x:c>
      <x:c r="G946" s="86" t="n">
        <x:v>5.8</x:v>
      </x:c>
      <x:c r="H946" s="93" t="n">
        <x:v>159.44</x:v>
      </x:c>
    </x:row>
    <x:row r="947">
      <x:c r="A947" s="85" t="n">
        <x:v>946</x:v>
      </x:c>
      <x:c r="B947" s="86" t="n">
        <x:v>57</x:v>
      </x:c>
      <x:c r="C947" s="86" t="n">
        <x:v>2</x:v>
      </x:c>
      <x:c r="D947" s="95" t="n">
        <x:v>45577</x:v>
      </x:c>
      <x:c r="E947" s="95" t="n">
        <x:v>45583</x:v>
      </x:c>
      <x:c r="F947" s="86" t="str">
        <x:v>Reprovado</x:v>
      </x:c>
      <x:c r="G947" s="86" t="n">
        <x:v>5.2</x:v>
      </x:c>
      <x:c r="H947" s="93" t="n">
        <x:v>282.14</x:v>
      </x:c>
    </x:row>
    <x:row r="948">
      <x:c r="A948" s="85" t="n">
        <x:v>947</x:v>
      </x:c>
      <x:c r="B948" s="86" t="n">
        <x:v>282</x:v>
      </x:c>
      <x:c r="C948" s="86" t="n">
        <x:v>3</x:v>
      </x:c>
      <x:c r="D948" s="95" t="n">
        <x:v>45713</x:v>
      </x:c>
      <x:c r="E948" s="95" t="n">
        <x:v>45720</x:v>
      </x:c>
      <x:c r="F948" s="86" t="str">
        <x:v>Concluído</x:v>
      </x:c>
      <x:c r="G948" s="86" t="n">
        <x:v>9</x:v>
      </x:c>
      <x:c r="H948" s="93" t="n">
        <x:v>445.14</x:v>
      </x:c>
    </x:row>
    <x:row r="949">
      <x:c r="A949" s="85" t="n">
        <x:v>948</x:v>
      </x:c>
      <x:c r="B949" s="86" t="n">
        <x:v>30</x:v>
      </x:c>
      <x:c r="C949" s="86" t="n">
        <x:v>3</x:v>
      </x:c>
      <x:c r="D949" s="95" t="n">
        <x:v>45911</x:v>
      </x:c>
      <x:c r="E949" s="95" t="n">
        <x:v>45921</x:v>
      </x:c>
      <x:c r="F949" s="86" t="str">
        <x:v>Reprovado</x:v>
      </x:c>
      <x:c r="G949" s="86" t="n">
        <x:v>9.3</x:v>
      </x:c>
      <x:c r="H949" s="93" t="n">
        <x:v>811.19</x:v>
      </x:c>
    </x:row>
    <x:row r="950">
      <x:c r="A950" s="85" t="n">
        <x:v>949</x:v>
      </x:c>
      <x:c r="B950" s="86" t="n">
        <x:v>94</x:v>
      </x:c>
      <x:c r="C950" s="86" t="n">
        <x:v>3</x:v>
      </x:c>
      <x:c r="D950" s="95" t="n">
        <x:v>45976</x:v>
      </x:c>
      <x:c r="E950" s="95" t="n">
        <x:v>45985</x:v>
      </x:c>
      <x:c r="F950" s="86" t="str">
        <x:v>Concluído</x:v>
      </x:c>
      <x:c r="G950" s="86" t="n">
        <x:v>6.1</x:v>
      </x:c>
      <x:c r="H950" s="93" t="n">
        <x:v>784.19</x:v>
      </x:c>
    </x:row>
    <x:row r="951">
      <x:c r="A951" s="85" t="n">
        <x:v>950</x:v>
      </x:c>
      <x:c r="B951" s="86" t="n">
        <x:v>176</x:v>
      </x:c>
      <x:c r="C951" s="86" t="n">
        <x:v>3</x:v>
      </x:c>
      <x:c r="D951" s="95" t="n">
        <x:v>45910</x:v>
      </x:c>
      <x:c r="E951" s="95" t="n">
        <x:v>45916</x:v>
      </x:c>
      <x:c r="F951" s="86" t="str">
        <x:v>Concluído</x:v>
      </x:c>
      <x:c r="G951" s="86" t="n">
        <x:v>9.4</x:v>
      </x:c>
      <x:c r="H951" s="93" t="n">
        <x:v>796.64</x:v>
      </x:c>
    </x:row>
    <x:row r="952">
      <x:c r="A952" s="85" t="n">
        <x:v>951</x:v>
      </x:c>
      <x:c r="B952" s="86" t="n">
        <x:v>69</x:v>
      </x:c>
      <x:c r="C952" s="86" t="n">
        <x:v>6</x:v>
      </x:c>
      <x:c r="D952" s="95" t="n">
        <x:v>45855</x:v>
      </x:c>
      <x:c r="E952" s="95"/>
      <x:c r="F952" s="86" t="str">
        <x:v>Não iniciado</x:v>
      </x:c>
      <x:c r="G952" s="86"/>
      <x:c r="H952" s="93" t="n">
        <x:v>810.32</x:v>
      </x:c>
    </x:row>
    <x:row r="953">
      <x:c r="A953" s="85" t="n">
        <x:v>952</x:v>
      </x:c>
      <x:c r="B953" s="86" t="n">
        <x:v>66</x:v>
      </x:c>
      <x:c r="C953" s="86" t="n">
        <x:v>2</x:v>
      </x:c>
      <x:c r="D953" s="95" t="n">
        <x:v>45433</x:v>
      </x:c>
      <x:c r="E953" s="95" t="n">
        <x:v>45443</x:v>
      </x:c>
      <x:c r="F953" s="86" t="str">
        <x:v>Concluído</x:v>
      </x:c>
      <x:c r="G953" s="86" t="n">
        <x:v>8.4</x:v>
      </x:c>
      <x:c r="H953" s="93" t="n">
        <x:v>180.93</x:v>
      </x:c>
    </x:row>
    <x:row r="954">
      <x:c r="A954" s="85" t="n">
        <x:v>953</x:v>
      </x:c>
      <x:c r="B954" s="86" t="n">
        <x:v>416</x:v>
      </x:c>
      <x:c r="C954" s="86" t="n">
        <x:v>7</x:v>
      </x:c>
      <x:c r="D954" s="95" t="n">
        <x:v>45861</x:v>
      </x:c>
      <x:c r="E954" s="95" t="n">
        <x:v>45863</x:v>
      </x:c>
      <x:c r="F954" s="86" t="str">
        <x:v>Reprovado</x:v>
      </x:c>
      <x:c r="G954" s="86" t="n">
        <x:v>6.4</x:v>
      </x:c>
      <x:c r="H954" s="93" t="n">
        <x:v>786.65</x:v>
      </x:c>
    </x:row>
    <x:row r="955">
      <x:c r="A955" s="85" t="n">
        <x:v>954</x:v>
      </x:c>
      <x:c r="B955" s="86" t="n">
        <x:v>320</x:v>
      </x:c>
      <x:c r="C955" s="86" t="n">
        <x:v>2</x:v>
      </x:c>
      <x:c r="D955" s="95" t="n">
        <x:v>45367</x:v>
      </x:c>
      <x:c r="E955" s="95"/>
      <x:c r="F955" s="86" t="str">
        <x:v>Em andamento</x:v>
      </x:c>
      <x:c r="G955" s="86"/>
      <x:c r="H955" s="93" t="n">
        <x:v>154.15</x:v>
      </x:c>
    </x:row>
    <x:row r="956">
      <x:c r="A956" s="85" t="n">
        <x:v>955</x:v>
      </x:c>
      <x:c r="B956" s="86" t="n">
        <x:v>39</x:v>
      </x:c>
      <x:c r="C956" s="86" t="n">
        <x:v>7</x:v>
      </x:c>
      <x:c r="D956" s="95" t="n">
        <x:v>45835</x:v>
      </x:c>
      <x:c r="E956" s="95" t="n">
        <x:v>45853</x:v>
      </x:c>
      <x:c r="F956" s="86" t="str">
        <x:v>Concluído</x:v>
      </x:c>
      <x:c r="G956" s="86" t="n">
        <x:v>9.4</x:v>
      </x:c>
      <x:c r="H956" s="93" t="n">
        <x:v>137.25</x:v>
      </x:c>
    </x:row>
    <x:row r="957">
      <x:c r="A957" s="85" t="n">
        <x:v>956</x:v>
      </x:c>
      <x:c r="B957" s="86" t="n">
        <x:v>243</x:v>
      </x:c>
      <x:c r="C957" s="86" t="n">
        <x:v>4</x:v>
      </x:c>
      <x:c r="D957" s="95" t="n">
        <x:v>45938</x:v>
      </x:c>
      <x:c r="E957" s="95" t="n">
        <x:v>45950</x:v>
      </x:c>
      <x:c r="F957" s="86" t="str">
        <x:v>Concluído</x:v>
      </x:c>
      <x:c r="G957" s="86" t="n">
        <x:v>6.6</x:v>
      </x:c>
      <x:c r="H957" s="93" t="n">
        <x:v>472.79</x:v>
      </x:c>
    </x:row>
    <x:row r="958">
      <x:c r="A958" s="85" t="n">
        <x:v>957</x:v>
      </x:c>
      <x:c r="B958" s="86" t="n">
        <x:v>241</x:v>
      </x:c>
      <x:c r="C958" s="86" t="n">
        <x:v>3</x:v>
      </x:c>
      <x:c r="D958" s="95" t="n">
        <x:v>45977</x:v>
      </x:c>
      <x:c r="E958" s="95" t="n">
        <x:v>45982</x:v>
      </x:c>
      <x:c r="F958" s="86" t="str">
        <x:v>Concluído</x:v>
      </x:c>
      <x:c r="G958" s="86" t="n">
        <x:v>5.9</x:v>
      </x:c>
      <x:c r="H958" s="93" t="n">
        <x:v>412.04</x:v>
      </x:c>
    </x:row>
    <x:row r="959">
      <x:c r="A959" s="85" t="n">
        <x:v>958</x:v>
      </x:c>
      <x:c r="B959" s="86" t="n">
        <x:v>240</x:v>
      </x:c>
      <x:c r="C959" s="86" t="n">
        <x:v>1</x:v>
      </x:c>
      <x:c r="D959" s="95" t="n">
        <x:v>45793</x:v>
      </x:c>
      <x:c r="E959" s="95" t="n">
        <x:v>45807</x:v>
      </x:c>
      <x:c r="F959" s="86" t="str">
        <x:v>Concluído</x:v>
      </x:c>
      <x:c r="G959" s="86" t="n">
        <x:v>6.7</x:v>
      </x:c>
      <x:c r="H959" s="93" t="n">
        <x:v>393.56</x:v>
      </x:c>
    </x:row>
    <x:row r="960">
      <x:c r="A960" s="85" t="n">
        <x:v>959</x:v>
      </x:c>
      <x:c r="B960" s="86" t="n">
        <x:v>312</x:v>
      </x:c>
      <x:c r="C960" s="86" t="n">
        <x:v>4</x:v>
      </x:c>
      <x:c r="D960" s="95" t="n">
        <x:v>45336</x:v>
      </x:c>
      <x:c r="E960" s="95" t="n">
        <x:v>45345</x:v>
      </x:c>
      <x:c r="F960" s="86" t="str">
        <x:v>Concluído</x:v>
      </x:c>
      <x:c r="G960" s="86" t="n">
        <x:v>8.4</x:v>
      </x:c>
      <x:c r="H960" s="93" t="n">
        <x:v>162.17</x:v>
      </x:c>
    </x:row>
    <x:row r="961">
      <x:c r="A961" s="85" t="n">
        <x:v>960</x:v>
      </x:c>
      <x:c r="B961" s="86" t="n">
        <x:v>196</x:v>
      </x:c>
      <x:c r="C961" s="86" t="n">
        <x:v>2</x:v>
      </x:c>
      <x:c r="D961" s="95" t="n">
        <x:v>45925</x:v>
      </x:c>
      <x:c r="E961" s="95"/>
      <x:c r="F961" s="86" t="str">
        <x:v>Não iniciado</x:v>
      </x:c>
      <x:c r="G961" s="86"/>
      <x:c r="H961" s="93" t="n">
        <x:v>714.32</x:v>
      </x:c>
    </x:row>
    <x:row r="962">
      <x:c r="A962" s="85" t="n">
        <x:v>961</x:v>
      </x:c>
      <x:c r="B962" s="86" t="n">
        <x:v>274</x:v>
      </x:c>
      <x:c r="C962" s="86" t="n">
        <x:v>2</x:v>
      </x:c>
      <x:c r="D962" s="95" t="n">
        <x:v>45899</x:v>
      </x:c>
      <x:c r="E962" s="95" t="n">
        <x:v>45906</x:v>
      </x:c>
      <x:c r="F962" s="86" t="str">
        <x:v>Concluído</x:v>
      </x:c>
      <x:c r="G962" s="86" t="n">
        <x:v>8.3</x:v>
      </x:c>
      <x:c r="H962" s="93" t="n">
        <x:v>715.91</x:v>
      </x:c>
    </x:row>
    <x:row r="963">
      <x:c r="A963" s="85" t="n">
        <x:v>962</x:v>
      </x:c>
      <x:c r="B963" s="86" t="n">
        <x:v>132</x:v>
      </x:c>
      <x:c r="C963" s="86" t="n">
        <x:v>7</x:v>
      </x:c>
      <x:c r="D963" s="95" t="n">
        <x:v>45939</x:v>
      </x:c>
      <x:c r="E963" s="95"/>
      <x:c r="F963" s="86" t="str">
        <x:v>Em andamento</x:v>
      </x:c>
      <x:c r="G963" s="86"/>
      <x:c r="H963" s="93" t="n">
        <x:v>473.44</x:v>
      </x:c>
    </x:row>
    <x:row r="964">
      <x:c r="A964" s="85" t="n">
        <x:v>963</x:v>
      </x:c>
      <x:c r="B964" s="86" t="n">
        <x:v>357</x:v>
      </x:c>
      <x:c r="C964" s="86" t="n">
        <x:v>1</x:v>
      </x:c>
      <x:c r="D964" s="95" t="n">
        <x:v>45977</x:v>
      </x:c>
      <x:c r="E964" s="95" t="n">
        <x:v>45997</x:v>
      </x:c>
      <x:c r="F964" s="86" t="str">
        <x:v>Concluído</x:v>
      </x:c>
      <x:c r="G964" s="86" t="n">
        <x:v>5.2</x:v>
      </x:c>
      <x:c r="H964" s="93" t="n">
        <x:v>154.43</x:v>
      </x:c>
    </x:row>
    <x:row r="965">
      <x:c r="A965" s="85" t="n">
        <x:v>964</x:v>
      </x:c>
      <x:c r="B965" s="86" t="n">
        <x:v>303</x:v>
      </x:c>
      <x:c r="C965" s="86" t="n">
        <x:v>6</x:v>
      </x:c>
      <x:c r="D965" s="95" t="n">
        <x:v>46017</x:v>
      </x:c>
      <x:c r="E965" s="95" t="n">
        <x:v>46028</x:v>
      </x:c>
      <x:c r="F965" s="86" t="str">
        <x:v>Concluído</x:v>
      </x:c>
      <x:c r="G965" s="86" t="n">
        <x:v>9</x:v>
      </x:c>
      <x:c r="H965" s="93" t="n">
        <x:v>248.9</x:v>
      </x:c>
    </x:row>
    <x:row r="966">
      <x:c r="A966" s="85" t="n">
        <x:v>965</x:v>
      </x:c>
      <x:c r="B966" s="86" t="n">
        <x:v>278</x:v>
      </x:c>
      <x:c r="C966" s="86" t="n">
        <x:v>9</x:v>
      </x:c>
      <x:c r="D966" s="95" t="n">
        <x:v>45578</x:v>
      </x:c>
      <x:c r="E966" s="95"/>
      <x:c r="F966" s="86" t="str">
        <x:v>Em andamento</x:v>
      </x:c>
      <x:c r="G966" s="86"/>
      <x:c r="H966" s="93" t="n">
        <x:v>679.03</x:v>
      </x:c>
    </x:row>
    <x:row r="967">
      <x:c r="A967" s="85" t="n">
        <x:v>966</x:v>
      </x:c>
      <x:c r="B967" s="86" t="n">
        <x:v>341</x:v>
      </x:c>
      <x:c r="C967" s="86" t="n">
        <x:v>6</x:v>
      </x:c>
      <x:c r="D967" s="95" t="n">
        <x:v>45883</x:v>
      </x:c>
      <x:c r="E967" s="95" t="n">
        <x:v>45886</x:v>
      </x:c>
      <x:c r="F967" s="86" t="str">
        <x:v>Concluído</x:v>
      </x:c>
      <x:c r="G967" s="86" t="n">
        <x:v>5.3</x:v>
      </x:c>
      <x:c r="H967" s="93" t="n">
        <x:v>618.65</x:v>
      </x:c>
    </x:row>
    <x:row r="968">
      <x:c r="A968" s="85" t="n">
        <x:v>967</x:v>
      </x:c>
      <x:c r="B968" s="86" t="n">
        <x:v>227</x:v>
      </x:c>
      <x:c r="C968" s="86" t="n">
        <x:v>3</x:v>
      </x:c>
      <x:c r="D968" s="95" t="n">
        <x:v>45976</x:v>
      </x:c>
      <x:c r="E968" s="95" t="n">
        <x:v>45994</x:v>
      </x:c>
      <x:c r="F968" s="86" t="str">
        <x:v>Concluído</x:v>
      </x:c>
      <x:c r="G968" s="86" t="n">
        <x:v>9.6</x:v>
      </x:c>
      <x:c r="H968" s="93" t="n">
        <x:v>398.67</x:v>
      </x:c>
    </x:row>
    <x:row r="969">
      <x:c r="A969" s="85" t="n">
        <x:v>968</x:v>
      </x:c>
      <x:c r="B969" s="86" t="n">
        <x:v>409</x:v>
      </x:c>
      <x:c r="C969" s="86" t="n">
        <x:v>5</x:v>
      </x:c>
      <x:c r="D969" s="95" t="n">
        <x:v>45625</x:v>
      </x:c>
      <x:c r="E969" s="95"/>
      <x:c r="F969" s="86" t="str">
        <x:v>Em andamento</x:v>
      </x:c>
      <x:c r="G969" s="86"/>
      <x:c r="H969" s="93" t="n">
        <x:v>104.6</x:v>
      </x:c>
    </x:row>
    <x:row r="970">
      <x:c r="A970" s="85" t="n">
        <x:v>969</x:v>
      </x:c>
      <x:c r="B970" s="86" t="n">
        <x:v>420</x:v>
      </x:c>
      <x:c r="C970" s="86" t="n">
        <x:v>9</x:v>
      </x:c>
      <x:c r="D970" s="95" t="n">
        <x:v>45925</x:v>
      </x:c>
      <x:c r="E970" s="95" t="n">
        <x:v>45934</x:v>
      </x:c>
      <x:c r="F970" s="86" t="str">
        <x:v>Concluído</x:v>
      </x:c>
      <x:c r="G970" s="86" t="n">
        <x:v>9</x:v>
      </x:c>
      <x:c r="H970" s="93" t="n">
        <x:v>265.4</x:v>
      </x:c>
    </x:row>
    <x:row r="971">
      <x:c r="A971" s="85" t="n">
        <x:v>970</x:v>
      </x:c>
      <x:c r="B971" s="86" t="n">
        <x:v>127</x:v>
      </x:c>
      <x:c r="C971" s="86" t="n">
        <x:v>5</x:v>
      </x:c>
      <x:c r="D971" s="95" t="n">
        <x:v>46018</x:v>
      </x:c>
      <x:c r="E971" s="95" t="n">
        <x:v>46038</x:v>
      </x:c>
      <x:c r="F971" s="86" t="str">
        <x:v>Reprovado</x:v>
      </x:c>
      <x:c r="G971" s="86" t="n">
        <x:v>6.4</x:v>
      </x:c>
      <x:c r="H971" s="93" t="n">
        <x:v>732.31</x:v>
      </x:c>
    </x:row>
    <x:row r="972">
      <x:c r="A972" s="85" t="n">
        <x:v>971</x:v>
      </x:c>
      <x:c r="B972" s="86" t="n">
        <x:v>70</x:v>
      </x:c>
      <x:c r="C972" s="86" t="n">
        <x:v>4</x:v>
      </x:c>
      <x:c r="D972" s="95" t="n">
        <x:v>45578</x:v>
      </x:c>
      <x:c r="E972" s="95" t="n">
        <x:v>45587</x:v>
      </x:c>
      <x:c r="F972" s="86" t="str">
        <x:v>Concluído</x:v>
      </x:c>
      <x:c r="G972" s="86" t="n">
        <x:v>7.8</x:v>
      </x:c>
      <x:c r="H972" s="93" t="n">
        <x:v>749.56</x:v>
      </x:c>
    </x:row>
    <x:row r="973">
      <x:c r="A973" s="85" t="n">
        <x:v>972</x:v>
      </x:c>
      <x:c r="B973" s="86" t="n">
        <x:v>312</x:v>
      </x:c>
      <x:c r="C973" s="86" t="n">
        <x:v>4</x:v>
      </x:c>
      <x:c r="D973" s="95" t="n">
        <x:v>45774</x:v>
      </x:c>
      <x:c r="E973" s="95" t="n">
        <x:v>45775</x:v>
      </x:c>
      <x:c r="F973" s="86" t="str">
        <x:v>Concluído</x:v>
      </x:c>
      <x:c r="G973" s="86" t="n">
        <x:v>5.1</x:v>
      </x:c>
      <x:c r="H973" s="93" t="n">
        <x:v>142.95</x:v>
      </x:c>
    </x:row>
    <x:row r="974">
      <x:c r="A974" s="85" t="n">
        <x:v>973</x:v>
      </x:c>
      <x:c r="B974" s="86" t="n">
        <x:v>247</x:v>
      </x:c>
      <x:c r="C974" s="86" t="n">
        <x:v>3</x:v>
      </x:c>
      <x:c r="D974" s="95" t="n">
        <x:v>45860</x:v>
      </x:c>
      <x:c r="E974" s="95" t="n">
        <x:v>45873</x:v>
      </x:c>
      <x:c r="F974" s="86" t="str">
        <x:v>Concluído</x:v>
      </x:c>
      <x:c r="G974" s="86" t="n">
        <x:v>8.4</x:v>
      </x:c>
      <x:c r="H974" s="93" t="n">
        <x:v>207.69</x:v>
      </x:c>
    </x:row>
    <x:row r="975">
      <x:c r="A975" s="85" t="n">
        <x:v>974</x:v>
      </x:c>
      <x:c r="B975" s="86" t="n">
        <x:v>352</x:v>
      </x:c>
      <x:c r="C975" s="86" t="n">
        <x:v>10</x:v>
      </x:c>
      <x:c r="D975" s="95" t="n">
        <x:v>45456</x:v>
      </x:c>
      <x:c r="E975" s="95" t="n">
        <x:v>45474</x:v>
      </x:c>
      <x:c r="F975" s="86" t="str">
        <x:v>Concluído</x:v>
      </x:c>
      <x:c r="G975" s="86" t="n">
        <x:v>8.9</x:v>
      </x:c>
      <x:c r="H975" s="93" t="n">
        <x:v>389.35</x:v>
      </x:c>
    </x:row>
    <x:row r="976">
      <x:c r="A976" s="85" t="n">
        <x:v>975</x:v>
      </x:c>
      <x:c r="B976" s="86" t="n">
        <x:v>50</x:v>
      </x:c>
      <x:c r="C976" s="86" t="n">
        <x:v>3</x:v>
      </x:c>
      <x:c r="D976" s="95" t="n">
        <x:v>45797</x:v>
      </x:c>
      <x:c r="E976" s="95"/>
      <x:c r="F976" s="86" t="str">
        <x:v>Em andamento</x:v>
      </x:c>
      <x:c r="G976" s="86"/>
      <x:c r="H976" s="93" t="n">
        <x:v>428.11</x:v>
      </x:c>
    </x:row>
    <x:row r="977">
      <x:c r="A977" s="85" t="n">
        <x:v>976</x:v>
      </x:c>
      <x:c r="B977" s="86" t="n">
        <x:v>105</x:v>
      </x:c>
      <x:c r="C977" s="86" t="n">
        <x:v>3</x:v>
      </x:c>
      <x:c r="D977" s="95" t="n">
        <x:v>45334</x:v>
      </x:c>
      <x:c r="E977" s="95" t="n">
        <x:v>45346</x:v>
      </x:c>
      <x:c r="F977" s="86" t="str">
        <x:v>Concluído</x:v>
      </x:c>
      <x:c r="G977" s="86" t="n">
        <x:v>8.5</x:v>
      </x:c>
      <x:c r="H977" s="93" t="n">
        <x:v>150.81</x:v>
      </x:c>
    </x:row>
    <x:row r="978">
      <x:c r="A978" s="85" t="n">
        <x:v>977</x:v>
      </x:c>
      <x:c r="B978" s="86" t="n">
        <x:v>296</x:v>
      </x:c>
      <x:c r="C978" s="86" t="n">
        <x:v>3</x:v>
      </x:c>
      <x:c r="D978" s="95" t="n">
        <x:v>45908</x:v>
      </x:c>
      <x:c r="E978" s="95" t="n">
        <x:v>45914</x:v>
      </x:c>
      <x:c r="F978" s="86" t="str">
        <x:v>Concluído</x:v>
      </x:c>
      <x:c r="G978" s="86" t="n">
        <x:v>7.2</x:v>
      </x:c>
      <x:c r="H978" s="93" t="n">
        <x:v>601.79</x:v>
      </x:c>
    </x:row>
    <x:row r="979">
      <x:c r="A979" s="85" t="n">
        <x:v>978</x:v>
      </x:c>
      <x:c r="B979" s="86" t="n">
        <x:v>68</x:v>
      </x:c>
      <x:c r="C979" s="86" t="n">
        <x:v>7</x:v>
      </x:c>
      <x:c r="D979" s="95" t="n">
        <x:v>45815</x:v>
      </x:c>
      <x:c r="E979" s="95"/>
      <x:c r="F979" s="86" t="str">
        <x:v>Em andamento</x:v>
      </x:c>
      <x:c r="G979" s="86"/>
      <x:c r="H979" s="93" t="n">
        <x:v>305.01</x:v>
      </x:c>
    </x:row>
    <x:row r="980">
      <x:c r="A980" s="85" t="n">
        <x:v>979</x:v>
      </x:c>
      <x:c r="B980" s="86" t="n">
        <x:v>23</x:v>
      </x:c>
      <x:c r="C980" s="86" t="n">
        <x:v>8</x:v>
      </x:c>
      <x:c r="D980" s="95" t="n">
        <x:v>45460</x:v>
      </x:c>
      <x:c r="E980" s="95"/>
      <x:c r="F980" s="86" t="str">
        <x:v>Em andamento</x:v>
      </x:c>
      <x:c r="G980" s="86"/>
      <x:c r="H980" s="93" t="n">
        <x:v>187.83</x:v>
      </x:c>
    </x:row>
    <x:row r="981">
      <x:c r="A981" s="85" t="n">
        <x:v>980</x:v>
      </x:c>
      <x:c r="B981" s="86" t="n">
        <x:v>42</x:v>
      </x:c>
      <x:c r="C981" s="86" t="n">
        <x:v>10</x:v>
      </x:c>
      <x:c r="D981" s="95" t="n">
        <x:v>46001</x:v>
      </x:c>
      <x:c r="E981" s="95" t="n">
        <x:v>46020</x:v>
      </x:c>
      <x:c r="F981" s="86" t="str">
        <x:v>Concluído</x:v>
      </x:c>
      <x:c r="G981" s="86" t="n">
        <x:v>8.2</x:v>
      </x:c>
      <x:c r="H981" s="93" t="n">
        <x:v>311.55</x:v>
      </x:c>
    </x:row>
    <x:row r="982">
      <x:c r="A982" s="85" t="n">
        <x:v>981</x:v>
      </x:c>
      <x:c r="B982" s="86" t="n">
        <x:v>110</x:v>
      </x:c>
      <x:c r="C982" s="86" t="n">
        <x:v>7</x:v>
      </x:c>
      <x:c r="D982" s="95" t="n">
        <x:v>45611</x:v>
      </x:c>
      <x:c r="E982" s="95" t="n">
        <x:v>45627</x:v>
      </x:c>
      <x:c r="F982" s="86" t="str">
        <x:v>Concluído</x:v>
      </x:c>
      <x:c r="G982" s="86" t="n">
        <x:v>6.7</x:v>
      </x:c>
      <x:c r="H982" s="93" t="n">
        <x:v>195.62</x:v>
      </x:c>
    </x:row>
    <x:row r="983">
      <x:c r="A983" s="85" t="n">
        <x:v>982</x:v>
      </x:c>
      <x:c r="B983" s="86" t="n">
        <x:v>272</x:v>
      </x:c>
      <x:c r="C983" s="86" t="n">
        <x:v>8</x:v>
      </x:c>
      <x:c r="D983" s="95" t="n">
        <x:v>45862</x:v>
      </x:c>
      <x:c r="E983" s="95" t="n">
        <x:v>45880</x:v>
      </x:c>
      <x:c r="F983" s="86" t="str">
        <x:v>Concluído</x:v>
      </x:c>
      <x:c r="G983" s="86" t="n">
        <x:v>5.6</x:v>
      </x:c>
      <x:c r="H983" s="93" t="n">
        <x:v>507.55</x:v>
      </x:c>
    </x:row>
    <x:row r="984">
      <x:c r="A984" s="85" t="n">
        <x:v>983</x:v>
      </x:c>
      <x:c r="B984" s="86" t="n">
        <x:v>62</x:v>
      </x:c>
      <x:c r="C984" s="86" t="n">
        <x:v>9</x:v>
      </x:c>
      <x:c r="D984" s="95" t="n">
        <x:v>45323</x:v>
      </x:c>
      <x:c r="E984" s="95"/>
      <x:c r="F984" s="86" t="str">
        <x:v>Em andamento</x:v>
      </x:c>
      <x:c r="G984" s="86"/>
      <x:c r="H984" s="93" t="n">
        <x:v>670.91</x:v>
      </x:c>
    </x:row>
    <x:row r="985">
      <x:c r="A985" s="85" t="n">
        <x:v>984</x:v>
      </x:c>
      <x:c r="B985" s="86" t="n">
        <x:v>80</x:v>
      </x:c>
      <x:c r="C985" s="86" t="n">
        <x:v>10</x:v>
      </x:c>
      <x:c r="D985" s="95" t="n">
        <x:v>45714</x:v>
      </x:c>
      <x:c r="E985" s="95" t="n">
        <x:v>45716</x:v>
      </x:c>
      <x:c r="F985" s="86" t="str">
        <x:v>Concluído</x:v>
      </x:c>
      <x:c r="G985" s="86" t="n">
        <x:v>7.2</x:v>
      </x:c>
      <x:c r="H985" s="93" t="n">
        <x:v>463.19</x:v>
      </x:c>
    </x:row>
    <x:row r="986">
      <x:c r="A986" s="85" t="n">
        <x:v>985</x:v>
      </x:c>
      <x:c r="B986" s="86" t="n">
        <x:v>185</x:v>
      </x:c>
      <x:c r="C986" s="86" t="n">
        <x:v>9</x:v>
      </x:c>
      <x:c r="D986" s="95" t="n">
        <x:v>45818</x:v>
      </x:c>
      <x:c r="E986" s="95" t="n">
        <x:v>45838</x:v>
      </x:c>
      <x:c r="F986" s="86" t="str">
        <x:v>Concluído</x:v>
      </x:c>
      <x:c r="G986" s="86" t="n">
        <x:v>8.4</x:v>
      </x:c>
      <x:c r="H986" s="93" t="n">
        <x:v>423.18</x:v>
      </x:c>
    </x:row>
    <x:row r="987">
      <x:c r="A987" s="85" t="n">
        <x:v>986</x:v>
      </x:c>
      <x:c r="B987" s="86" t="n">
        <x:v>415</x:v>
      </x:c>
      <x:c r="C987" s="86" t="n">
        <x:v>10</x:v>
      </x:c>
      <x:c r="D987" s="95" t="n">
        <x:v>45922</x:v>
      </x:c>
      <x:c r="E987" s="95" t="n">
        <x:v>45926</x:v>
      </x:c>
      <x:c r="F987" s="86" t="str">
        <x:v>Concluído</x:v>
      </x:c>
      <x:c r="G987" s="86" t="n">
        <x:v>8.6</x:v>
      </x:c>
      <x:c r="H987" s="93" t="n">
        <x:v>413.4</x:v>
      </x:c>
    </x:row>
    <x:row r="988">
      <x:c r="A988" s="85" t="n">
        <x:v>987</x:v>
      </x:c>
      <x:c r="B988" s="86" t="n">
        <x:v>237</x:v>
      </x:c>
      <x:c r="C988" s="86" t="n">
        <x:v>5</x:v>
      </x:c>
      <x:c r="D988" s="95" t="n">
        <x:v>45597</x:v>
      </x:c>
      <x:c r="E988" s="95" t="n">
        <x:v>45610</x:v>
      </x:c>
      <x:c r="F988" s="86" t="str">
        <x:v>Reprovado</x:v>
      </x:c>
      <x:c r="G988" s="86" t="n">
        <x:v>5.2</x:v>
      </x:c>
      <x:c r="H988" s="93" t="n">
        <x:v>257.29</x:v>
      </x:c>
    </x:row>
    <x:row r="989">
      <x:c r="A989" s="85" t="n">
        <x:v>988</x:v>
      </x:c>
      <x:c r="B989" s="86" t="n">
        <x:v>136</x:v>
      </x:c>
      <x:c r="C989" s="86" t="n">
        <x:v>8</x:v>
      </x:c>
      <x:c r="D989" s="95" t="n">
        <x:v>45692</x:v>
      </x:c>
      <x:c r="E989" s="95" t="n">
        <x:v>45705</x:v>
      </x:c>
      <x:c r="F989" s="86" t="str">
        <x:v>Reprovado</x:v>
      </x:c>
      <x:c r="G989" s="86" t="n">
        <x:v>6.1</x:v>
      </x:c>
      <x:c r="H989" s="93" t="n">
        <x:v>264.24</x:v>
      </x:c>
    </x:row>
    <x:row r="990">
      <x:c r="A990" s="85" t="n">
        <x:v>989</x:v>
      </x:c>
      <x:c r="B990" s="86" t="n">
        <x:v>217</x:v>
      </x:c>
      <x:c r="C990" s="86" t="n">
        <x:v>2</x:v>
      </x:c>
      <x:c r="D990" s="95" t="n">
        <x:v>45770</x:v>
      </x:c>
      <x:c r="E990" s="95" t="n">
        <x:v>45790</x:v>
      </x:c>
      <x:c r="F990" s="86" t="str">
        <x:v>Concluído</x:v>
      </x:c>
      <x:c r="G990" s="86" t="n">
        <x:v>7.9</x:v>
      </x:c>
      <x:c r="H990" s="93" t="n">
        <x:v>750.98</x:v>
      </x:c>
    </x:row>
    <x:row r="991">
      <x:c r="A991" s="85" t="n">
        <x:v>990</x:v>
      </x:c>
      <x:c r="B991" s="86" t="n">
        <x:v>16</x:v>
      </x:c>
      <x:c r="C991" s="86" t="n">
        <x:v>2</x:v>
      </x:c>
      <x:c r="D991" s="95" t="n">
        <x:v>45966</x:v>
      </x:c>
      <x:c r="E991" s="95" t="n">
        <x:v>45972</x:v>
      </x:c>
      <x:c r="F991" s="86" t="str">
        <x:v>Concluído</x:v>
      </x:c>
      <x:c r="G991" s="86" t="n">
        <x:v>6.2</x:v>
      </x:c>
      <x:c r="H991" s="93" t="n">
        <x:v>596.26</x:v>
      </x:c>
    </x:row>
    <x:row r="992">
      <x:c r="A992" s="85" t="n">
        <x:v>991</x:v>
      </x:c>
      <x:c r="B992" s="86" t="n">
        <x:v>348</x:v>
      </x:c>
      <x:c r="C992" s="86" t="n">
        <x:v>5</x:v>
      </x:c>
      <x:c r="D992" s="95" t="n">
        <x:v>45915</x:v>
      </x:c>
      <x:c r="E992" s="95" t="n">
        <x:v>45924</x:v>
      </x:c>
      <x:c r="F992" s="86" t="str">
        <x:v>Concluído</x:v>
      </x:c>
      <x:c r="G992" s="86" t="n">
        <x:v>8.2</x:v>
      </x:c>
      <x:c r="H992" s="93" t="n">
        <x:v>221.73</x:v>
      </x:c>
    </x:row>
    <x:row r="993">
      <x:c r="A993" s="85" t="n">
        <x:v>992</x:v>
      </x:c>
      <x:c r="B993" s="86" t="n">
        <x:v>114</x:v>
      </x:c>
      <x:c r="C993" s="86" t="n">
        <x:v>2</x:v>
      </x:c>
      <x:c r="D993" s="95" t="n">
        <x:v>45503</x:v>
      </x:c>
      <x:c r="E993" s="95" t="n">
        <x:v>45521</x:v>
      </x:c>
      <x:c r="F993" s="86" t="str">
        <x:v>Concluído</x:v>
      </x:c>
      <x:c r="G993" s="86" t="n">
        <x:v>7.5</x:v>
      </x:c>
      <x:c r="H993" s="93" t="n">
        <x:v>769.8</x:v>
      </x:c>
    </x:row>
    <x:row r="994">
      <x:c r="A994" s="85" t="n">
        <x:v>993</x:v>
      </x:c>
      <x:c r="B994" s="86" t="n">
        <x:v>297</x:v>
      </x:c>
      <x:c r="C994" s="86" t="n">
        <x:v>4</x:v>
      </x:c>
      <x:c r="D994" s="95" t="n">
        <x:v>45753</x:v>
      </x:c>
      <x:c r="E994" s="95"/>
      <x:c r="F994" s="86" t="str">
        <x:v>Não iniciado</x:v>
      </x:c>
      <x:c r="G994" s="86"/>
      <x:c r="H994" s="93" t="n">
        <x:v>768.28</x:v>
      </x:c>
    </x:row>
    <x:row r="995">
      <x:c r="A995" s="85" t="n">
        <x:v>994</x:v>
      </x:c>
      <x:c r="B995" s="86" t="n">
        <x:v>319</x:v>
      </x:c>
      <x:c r="C995" s="86" t="n">
        <x:v>7</x:v>
      </x:c>
      <x:c r="D995" s="95" t="n">
        <x:v>46004</x:v>
      </x:c>
      <x:c r="E995" s="95" t="n">
        <x:v>46018</x:v>
      </x:c>
      <x:c r="F995" s="86" t="str">
        <x:v>Concluído</x:v>
      </x:c>
      <x:c r="G995" s="86" t="n">
        <x:v>9.5</x:v>
      </x:c>
      <x:c r="H995" s="93" t="n">
        <x:v>273.71</x:v>
      </x:c>
    </x:row>
    <x:row r="996">
      <x:c r="A996" s="85" t="n">
        <x:v>995</x:v>
      </x:c>
      <x:c r="B996" s="86" t="n">
        <x:v>111</x:v>
      </x:c>
      <x:c r="C996" s="86" t="n">
        <x:v>7</x:v>
      </x:c>
      <x:c r="D996" s="95" t="n">
        <x:v>45504</x:v>
      </x:c>
      <x:c r="E996" s="95" t="n">
        <x:v>45510</x:v>
      </x:c>
      <x:c r="F996" s="86" t="str">
        <x:v>Concluído</x:v>
      </x:c>
      <x:c r="G996" s="86" t="n">
        <x:v>6.1</x:v>
      </x:c>
      <x:c r="H996" s="93" t="n">
        <x:v>336.02</x:v>
      </x:c>
    </x:row>
    <x:row r="997">
      <x:c r="A997" s="85" t="n">
        <x:v>996</x:v>
      </x:c>
      <x:c r="B997" s="86" t="n">
        <x:v>108</x:v>
      </x:c>
      <x:c r="C997" s="86" t="n">
        <x:v>5</x:v>
      </x:c>
      <x:c r="D997" s="95" t="n">
        <x:v>45623</x:v>
      </x:c>
      <x:c r="E997" s="95" t="n">
        <x:v>45629</x:v>
      </x:c>
      <x:c r="F997" s="86" t="str">
        <x:v>Reprovado</x:v>
      </x:c>
      <x:c r="G997" s="86" t="n">
        <x:v>6.6</x:v>
      </x:c>
      <x:c r="H997" s="93" t="n">
        <x:v>776.67</x:v>
      </x:c>
    </x:row>
    <x:row r="998">
      <x:c r="A998" s="85" t="n">
        <x:v>997</x:v>
      </x:c>
      <x:c r="B998" s="86" t="n">
        <x:v>179</x:v>
      </x:c>
      <x:c r="C998" s="86" t="n">
        <x:v>2</x:v>
      </x:c>
      <x:c r="D998" s="95" t="n">
        <x:v>45765</x:v>
      </x:c>
      <x:c r="E998" s="95" t="n">
        <x:v>45767</x:v>
      </x:c>
      <x:c r="F998" s="86" t="str">
        <x:v>Concluído</x:v>
      </x:c>
      <x:c r="G998" s="86" t="n">
        <x:v>6.5</x:v>
      </x:c>
      <x:c r="H998" s="93" t="n">
        <x:v>223.28</x:v>
      </x:c>
    </x:row>
    <x:row r="999">
      <x:c r="A999" s="85" t="n">
        <x:v>998</x:v>
      </x:c>
      <x:c r="B999" s="86" t="n">
        <x:v>360</x:v>
      </x:c>
      <x:c r="C999" s="86" t="n">
        <x:v>6</x:v>
      </x:c>
      <x:c r="D999" s="95" t="n">
        <x:v>45873</x:v>
      </x:c>
      <x:c r="E999" s="95" t="n">
        <x:v>45879</x:v>
      </x:c>
      <x:c r="F999" s="86" t="str">
        <x:v>Concluído</x:v>
      </x:c>
      <x:c r="G999" s="86" t="n">
        <x:v>5</x:v>
      </x:c>
      <x:c r="H999" s="93" t="n">
        <x:v>159.24</x:v>
      </x:c>
    </x:row>
    <x:row r="1000">
      <x:c r="A1000" s="85" t="n">
        <x:v>999</x:v>
      </x:c>
      <x:c r="B1000" s="86" t="n">
        <x:v>118</x:v>
      </x:c>
      <x:c r="C1000" s="86" t="n">
        <x:v>5</x:v>
      </x:c>
      <x:c r="D1000" s="95" t="n">
        <x:v>45710</x:v>
      </x:c>
      <x:c r="E1000" s="95" t="n">
        <x:v>45714</x:v>
      </x:c>
      <x:c r="F1000" s="86" t="str">
        <x:v>Concluído</x:v>
      </x:c>
      <x:c r="G1000" s="86" t="n">
        <x:v>6.3</x:v>
      </x:c>
      <x:c r="H1000" s="93" t="n">
        <x:v>466.68</x:v>
      </x:c>
    </x:row>
    <x:row r="1001">
      <x:c r="A1001" s="85" t="n">
        <x:v>1000</x:v>
      </x:c>
      <x:c r="B1001" s="86" t="n">
        <x:v>53</x:v>
      </x:c>
      <x:c r="C1001" s="86" t="n">
        <x:v>4</x:v>
      </x:c>
      <x:c r="D1001" s="95" t="n">
        <x:v>45966</x:v>
      </x:c>
      <x:c r="E1001" s="95" t="n">
        <x:v>45980</x:v>
      </x:c>
      <x:c r="F1001" s="86" t="str">
        <x:v>Concluído</x:v>
      </x:c>
      <x:c r="G1001" s="86" t="n">
        <x:v>6.3</x:v>
      </x:c>
      <x:c r="H1001" s="93" t="n">
        <x:v>824.42</x:v>
      </x:c>
    </x:row>
    <x:row r="1002">
      <x:c r="A1002" s="85" t="n">
        <x:v>1001</x:v>
      </x:c>
      <x:c r="B1002" s="86" t="n">
        <x:v>304</x:v>
      </x:c>
      <x:c r="C1002" s="86" t="n">
        <x:v>8</x:v>
      </x:c>
      <x:c r="D1002" s="95" t="n">
        <x:v>45555</x:v>
      </x:c>
      <x:c r="E1002" s="95" t="n">
        <x:v>45570</x:v>
      </x:c>
      <x:c r="F1002" s="86" t="str">
        <x:v>Concluído</x:v>
      </x:c>
      <x:c r="G1002" s="86" t="n">
        <x:v>8.6</x:v>
      </x:c>
      <x:c r="H1002" s="93" t="n">
        <x:v>725.38</x:v>
      </x:c>
    </x:row>
    <x:row r="1003">
      <x:c r="A1003" s="85" t="n">
        <x:v>1002</x:v>
      </x:c>
      <x:c r="B1003" s="86" t="n">
        <x:v>395</x:v>
      </x:c>
      <x:c r="C1003" s="86" t="n">
        <x:v>1</x:v>
      </x:c>
      <x:c r="D1003" s="95" t="n">
        <x:v>45959</x:v>
      </x:c>
      <x:c r="E1003" s="95" t="n">
        <x:v>45964</x:v>
      </x:c>
      <x:c r="F1003" s="86" t="str">
        <x:v>Concluído</x:v>
      </x:c>
      <x:c r="G1003" s="86" t="n">
        <x:v>6.8</x:v>
      </x:c>
      <x:c r="H1003" s="93" t="n">
        <x:v>710.29</x:v>
      </x:c>
    </x:row>
    <x:row r="1004">
      <x:c r="A1004" s="85" t="n">
        <x:v>1003</x:v>
      </x:c>
      <x:c r="B1004" s="86" t="n">
        <x:v>180</x:v>
      </x:c>
      <x:c r="C1004" s="86" t="n">
        <x:v>10</x:v>
      </x:c>
      <x:c r="D1004" s="95" t="n">
        <x:v>45335</x:v>
      </x:c>
      <x:c r="E1004" s="95" t="n">
        <x:v>45337</x:v>
      </x:c>
      <x:c r="F1004" s="86" t="str">
        <x:v>Reprovado</x:v>
      </x:c>
      <x:c r="G1004" s="86" t="n">
        <x:v>5.4</x:v>
      </x:c>
      <x:c r="H1004" s="93" t="n">
        <x:v>798.21</x:v>
      </x:c>
    </x:row>
    <x:row r="1005">
      <x:c r="A1005" s="85" t="n">
        <x:v>1004</x:v>
      </x:c>
      <x:c r="B1005" s="86" t="n">
        <x:v>256</x:v>
      </x:c>
      <x:c r="C1005" s="86" t="n">
        <x:v>7</x:v>
      </x:c>
      <x:c r="D1005" s="95" t="n">
        <x:v>45964</x:v>
      </x:c>
      <x:c r="E1005" s="95" t="n">
        <x:v>45984</x:v>
      </x:c>
      <x:c r="F1005" s="86" t="str">
        <x:v>Concluído</x:v>
      </x:c>
      <x:c r="G1005" s="86" t="n">
        <x:v>5.5</x:v>
      </x:c>
      <x:c r="H1005" s="93" t="n">
        <x:v>555.13</x:v>
      </x:c>
    </x:row>
    <x:row r="1006">
      <x:c r="A1006" s="85" t="n">
        <x:v>1005</x:v>
      </x:c>
      <x:c r="B1006" s="86" t="n">
        <x:v>97</x:v>
      </x:c>
      <x:c r="C1006" s="86" t="n">
        <x:v>8</x:v>
      </x:c>
      <x:c r="D1006" s="95" t="n">
        <x:v>45736</x:v>
      </x:c>
      <x:c r="E1006" s="95" t="n">
        <x:v>45740</x:v>
      </x:c>
      <x:c r="F1006" s="86" t="str">
        <x:v>Concluído</x:v>
      </x:c>
      <x:c r="G1006" s="86" t="n">
        <x:v>7.8</x:v>
      </x:c>
      <x:c r="H1006" s="93" t="n">
        <x:v>841.01</x:v>
      </x:c>
    </x:row>
    <x:row r="1007">
      <x:c r="A1007" s="85" t="n">
        <x:v>1006</x:v>
      </x:c>
      <x:c r="B1007" s="86" t="n">
        <x:v>78</x:v>
      </x:c>
      <x:c r="C1007" s="86" t="n">
        <x:v>8</x:v>
      </x:c>
      <x:c r="D1007" s="95" t="n">
        <x:v>45958</x:v>
      </x:c>
      <x:c r="E1007" s="95" t="n">
        <x:v>45960</x:v>
      </x:c>
      <x:c r="F1007" s="86" t="str">
        <x:v>Concluído</x:v>
      </x:c>
      <x:c r="G1007" s="86" t="n">
        <x:v>6.4</x:v>
      </x:c>
      <x:c r="H1007" s="93" t="n">
        <x:v>718.09</x:v>
      </x:c>
    </x:row>
    <x:row r="1008">
      <x:c r="A1008" s="85" t="n">
        <x:v>1007</x:v>
      </x:c>
      <x:c r="B1008" s="86" t="n">
        <x:v>54</x:v>
      </x:c>
      <x:c r="C1008" s="86" t="n">
        <x:v>4</x:v>
      </x:c>
      <x:c r="D1008" s="95" t="n">
        <x:v>45716</x:v>
      </x:c>
      <x:c r="E1008" s="95"/>
      <x:c r="F1008" s="86" t="str">
        <x:v>Não iniciado</x:v>
      </x:c>
      <x:c r="G1008" s="86"/>
      <x:c r="H1008" s="93" t="n">
        <x:v>787.72</x:v>
      </x:c>
    </x:row>
    <x:row r="1009">
      <x:c r="A1009" s="85" t="n">
        <x:v>1008</x:v>
      </x:c>
      <x:c r="B1009" s="86" t="n">
        <x:v>304</x:v>
      </x:c>
      <x:c r="C1009" s="86" t="n">
        <x:v>8</x:v>
      </x:c>
      <x:c r="D1009" s="95" t="n">
        <x:v>45314</x:v>
      </x:c>
      <x:c r="E1009" s="95" t="n">
        <x:v>45322</x:v>
      </x:c>
      <x:c r="F1009" s="86" t="str">
        <x:v>Concluído</x:v>
      </x:c>
      <x:c r="G1009" s="86" t="n">
        <x:v>9.2</x:v>
      </x:c>
      <x:c r="H1009" s="93" t="n">
        <x:v>170.21</x:v>
      </x:c>
    </x:row>
    <x:row r="1010">
      <x:c r="A1010" s="85" t="n">
        <x:v>1009</x:v>
      </x:c>
      <x:c r="B1010" s="86" t="n">
        <x:v>47</x:v>
      </x:c>
      <x:c r="C1010" s="86" t="n">
        <x:v>4</x:v>
      </x:c>
      <x:c r="D1010" s="95" t="n">
        <x:v>45320</x:v>
      </x:c>
      <x:c r="E1010" s="95" t="n">
        <x:v>45321</x:v>
      </x:c>
      <x:c r="F1010" s="86" t="str">
        <x:v>Concluído</x:v>
      </x:c>
      <x:c r="G1010" s="86" t="n">
        <x:v>9.3</x:v>
      </x:c>
      <x:c r="H1010" s="93" t="n">
        <x:v>575.32</x:v>
      </x:c>
    </x:row>
    <x:row r="1011">
      <x:c r="A1011" s="85" t="n">
        <x:v>1010</x:v>
      </x:c>
      <x:c r="B1011" s="86" t="n">
        <x:v>326</x:v>
      </x:c>
      <x:c r="C1011" s="86" t="n">
        <x:v>6</x:v>
      </x:c>
      <x:c r="D1011" s="95" t="n">
        <x:v>45927</x:v>
      </x:c>
      <x:c r="E1011" s="95" t="n">
        <x:v>45941</x:v>
      </x:c>
      <x:c r="F1011" s="86" t="str">
        <x:v>Concluído</x:v>
      </x:c>
      <x:c r="G1011" s="86" t="n">
        <x:v>6.4</x:v>
      </x:c>
      <x:c r="H1011" s="93" t="n">
        <x:v>468.1</x:v>
      </x:c>
    </x:row>
    <x:row r="1012">
      <x:c r="A1012" s="85" t="n">
        <x:v>1011</x:v>
      </x:c>
      <x:c r="B1012" s="86" t="n">
        <x:v>372</x:v>
      </x:c>
      <x:c r="C1012" s="86" t="n">
        <x:v>7</x:v>
      </x:c>
      <x:c r="D1012" s="95" t="n">
        <x:v>45881</x:v>
      </x:c>
      <x:c r="E1012" s="95" t="n">
        <x:v>45892</x:v>
      </x:c>
      <x:c r="F1012" s="86" t="str">
        <x:v>Concluído</x:v>
      </x:c>
      <x:c r="G1012" s="86" t="n">
        <x:v>6.3</x:v>
      </x:c>
      <x:c r="H1012" s="93" t="n">
        <x:v>767.37</x:v>
      </x:c>
    </x:row>
    <x:row r="1013">
      <x:c r="A1013" s="85" t="n">
        <x:v>1012</x:v>
      </x:c>
      <x:c r="B1013" s="86" t="n">
        <x:v>147</x:v>
      </x:c>
      <x:c r="C1013" s="86" t="n">
        <x:v>4</x:v>
      </x:c>
      <x:c r="D1013" s="95" t="n">
        <x:v>45972</x:v>
      </x:c>
      <x:c r="E1013" s="95" t="n">
        <x:v>45980</x:v>
      </x:c>
      <x:c r="F1013" s="86" t="str">
        <x:v>Concluído</x:v>
      </x:c>
      <x:c r="G1013" s="86" t="n">
        <x:v>5</x:v>
      </x:c>
      <x:c r="H1013" s="93" t="n">
        <x:v>515.46</x:v>
      </x:c>
    </x:row>
    <x:row r="1014">
      <x:c r="A1014" s="85" t="n">
        <x:v>1013</x:v>
      </x:c>
      <x:c r="B1014" s="86" t="n">
        <x:v>340</x:v>
      </x:c>
      <x:c r="C1014" s="86" t="n">
        <x:v>7</x:v>
      </x:c>
      <x:c r="D1014" s="95" t="n">
        <x:v>45992</x:v>
      </x:c>
      <x:c r="E1014" s="95" t="n">
        <x:v>45993</x:v>
      </x:c>
      <x:c r="F1014" s="86" t="str">
        <x:v>Concluído</x:v>
      </x:c>
      <x:c r="G1014" s="86" t="n">
        <x:v>7.4</x:v>
      </x:c>
      <x:c r="H1014" s="93" t="n">
        <x:v>463.82</x:v>
      </x:c>
    </x:row>
    <x:row r="1015">
      <x:c r="A1015" s="85" t="n">
        <x:v>1014</x:v>
      </x:c>
      <x:c r="B1015" s="86" t="n">
        <x:v>419</x:v>
      </x:c>
      <x:c r="C1015" s="86" t="n">
        <x:v>4</x:v>
      </x:c>
      <x:c r="D1015" s="95" t="n">
        <x:v>45540</x:v>
      </x:c>
      <x:c r="E1015" s="95" t="n">
        <x:v>45553</x:v>
      </x:c>
      <x:c r="F1015" s="86" t="str">
        <x:v>Concluído</x:v>
      </x:c>
      <x:c r="G1015" s="86" t="n">
        <x:v>9.5</x:v>
      </x:c>
      <x:c r="H1015" s="93" t="n">
        <x:v>122.52</x:v>
      </x:c>
    </x:row>
    <x:row r="1016">
      <x:c r="A1016" s="85" t="n">
        <x:v>1015</x:v>
      </x:c>
      <x:c r="B1016" s="86" t="n">
        <x:v>271</x:v>
      </x:c>
      <x:c r="C1016" s="86" t="n">
        <x:v>2</x:v>
      </x:c>
      <x:c r="D1016" s="95" t="n">
        <x:v>46000</x:v>
      </x:c>
      <x:c r="E1016" s="95" t="n">
        <x:v>46012</x:v>
      </x:c>
      <x:c r="F1016" s="86" t="str">
        <x:v>Concluído</x:v>
      </x:c>
      <x:c r="G1016" s="86" t="n">
        <x:v>6.2</x:v>
      </x:c>
      <x:c r="H1016" s="93" t="n">
        <x:v>166.9</x:v>
      </x:c>
    </x:row>
    <x:row r="1017">
      <x:c r="A1017" s="85" t="n">
        <x:v>1016</x:v>
      </x:c>
      <x:c r="B1017" s="86" t="n">
        <x:v>273</x:v>
      </x:c>
      <x:c r="C1017" s="86" t="n">
        <x:v>2</x:v>
      </x:c>
      <x:c r="D1017" s="95" t="n">
        <x:v>45986</x:v>
      </x:c>
      <x:c r="E1017" s="95"/>
      <x:c r="F1017" s="86" t="str">
        <x:v>Não iniciado</x:v>
      </x:c>
      <x:c r="G1017" s="86"/>
      <x:c r="H1017" s="93" t="n">
        <x:v>613.15</x:v>
      </x:c>
    </x:row>
    <x:row r="1018">
      <x:c r="A1018" s="85" t="n">
        <x:v>1017</x:v>
      </x:c>
      <x:c r="B1018" s="86" t="n">
        <x:v>24</x:v>
      </x:c>
      <x:c r="C1018" s="86" t="n">
        <x:v>8</x:v>
      </x:c>
      <x:c r="D1018" s="95" t="n">
        <x:v>45559</x:v>
      </x:c>
      <x:c r="E1018" s="95" t="n">
        <x:v>45572</x:v>
      </x:c>
      <x:c r="F1018" s="86" t="str">
        <x:v>Concluído</x:v>
      </x:c>
      <x:c r="G1018" s="86" t="n">
        <x:v>5.2</x:v>
      </x:c>
      <x:c r="H1018" s="93" t="n">
        <x:v>357.26</x:v>
      </x:c>
    </x:row>
    <x:row r="1019">
      <x:c r="A1019" s="85" t="n">
        <x:v>1018</x:v>
      </x:c>
      <x:c r="B1019" s="86" t="n">
        <x:v>71</x:v>
      </x:c>
      <x:c r="C1019" s="86" t="n">
        <x:v>2</x:v>
      </x:c>
      <x:c r="D1019" s="95" t="n">
        <x:v>45860</x:v>
      </x:c>
      <x:c r="E1019" s="95" t="n">
        <x:v>45870</x:v>
      </x:c>
      <x:c r="F1019" s="86" t="str">
        <x:v>Concluído</x:v>
      </x:c>
      <x:c r="G1019" s="86" t="n">
        <x:v>7.7</x:v>
      </x:c>
      <x:c r="H1019" s="93" t="n">
        <x:v>665.21</x:v>
      </x:c>
    </x:row>
    <x:row r="1020">
      <x:c r="A1020" s="85" t="n">
        <x:v>1019</x:v>
      </x:c>
      <x:c r="B1020" s="86" t="n">
        <x:v>223</x:v>
      </x:c>
      <x:c r="C1020" s="86" t="n">
        <x:v>9</x:v>
      </x:c>
      <x:c r="D1020" s="95" t="n">
        <x:v>45998</x:v>
      </x:c>
      <x:c r="E1020" s="95" t="n">
        <x:v>46004</x:v>
      </x:c>
      <x:c r="F1020" s="86" t="str">
        <x:v>Concluído</x:v>
      </x:c>
      <x:c r="G1020" s="86" t="n">
        <x:v>8.5</x:v>
      </x:c>
      <x:c r="H1020" s="93" t="n">
        <x:v>397.58</x:v>
      </x:c>
    </x:row>
    <x:row r="1021">
      <x:c r="A1021" s="85" t="n">
        <x:v>1020</x:v>
      </x:c>
      <x:c r="B1021" s="86" t="n">
        <x:v>309</x:v>
      </x:c>
      <x:c r="C1021" s="86" t="n">
        <x:v>6</x:v>
      </x:c>
      <x:c r="D1021" s="95" t="n">
        <x:v>46022</x:v>
      </x:c>
      <x:c r="E1021" s="95" t="n">
        <x:v>46028</x:v>
      </x:c>
      <x:c r="F1021" s="86" t="str">
        <x:v>Concluído</x:v>
      </x:c>
      <x:c r="G1021" s="86" t="n">
        <x:v>8.1</x:v>
      </x:c>
      <x:c r="H1021" s="93" t="n">
        <x:v>721.69</x:v>
      </x:c>
    </x:row>
    <x:row r="1022">
      <x:c r="A1022" s="85" t="n">
        <x:v>1021</x:v>
      </x:c>
      <x:c r="B1022" s="86" t="n">
        <x:v>252</x:v>
      </x:c>
      <x:c r="C1022" s="86" t="n">
        <x:v>5</x:v>
      </x:c>
      <x:c r="D1022" s="95" t="n">
        <x:v>45917</x:v>
      </x:c>
      <x:c r="E1022" s="95" t="n">
        <x:v>45935</x:v>
      </x:c>
      <x:c r="F1022" s="86" t="str">
        <x:v>Concluído</x:v>
      </x:c>
      <x:c r="G1022" s="86" t="n">
        <x:v>8.7</x:v>
      </x:c>
      <x:c r="H1022" s="93" t="n">
        <x:v>314.8</x:v>
      </x:c>
    </x:row>
    <x:row r="1023">
      <x:c r="A1023" s="85" t="n">
        <x:v>1022</x:v>
      </x:c>
      <x:c r="B1023" s="86" t="n">
        <x:v>163</x:v>
      </x:c>
      <x:c r="C1023" s="86" t="n">
        <x:v>4</x:v>
      </x:c>
      <x:c r="D1023" s="95" t="n">
        <x:v>45580</x:v>
      </x:c>
      <x:c r="E1023" s="95" t="n">
        <x:v>45589</x:v>
      </x:c>
      <x:c r="F1023" s="86" t="str">
        <x:v>Reprovado</x:v>
      </x:c>
      <x:c r="G1023" s="86" t="n">
        <x:v>5.3</x:v>
      </x:c>
      <x:c r="H1023" s="93" t="n">
        <x:v>815.37</x:v>
      </x:c>
    </x:row>
    <x:row r="1024">
      <x:c r="A1024" s="85" t="n">
        <x:v>1023</x:v>
      </x:c>
      <x:c r="B1024" s="86" t="n">
        <x:v>217</x:v>
      </x:c>
      <x:c r="C1024" s="86" t="n">
        <x:v>10</x:v>
      </x:c>
      <x:c r="D1024" s="95" t="n">
        <x:v>45511</x:v>
      </x:c>
      <x:c r="E1024" s="95" t="n">
        <x:v>45522</x:v>
      </x:c>
      <x:c r="F1024" s="86" t="str">
        <x:v>Concluído</x:v>
      </x:c>
      <x:c r="G1024" s="86" t="n">
        <x:v>8.6</x:v>
      </x:c>
      <x:c r="H1024" s="93" t="n">
        <x:v>672.5</x:v>
      </x:c>
    </x:row>
    <x:row r="1025">
      <x:c r="A1025" s="85" t="n">
        <x:v>1024</x:v>
      </x:c>
      <x:c r="B1025" s="86" t="n">
        <x:v>20</x:v>
      </x:c>
      <x:c r="C1025" s="86" t="n">
        <x:v>6</x:v>
      </x:c>
      <x:c r="D1025" s="95" t="n">
        <x:v>45953</x:v>
      </x:c>
      <x:c r="E1025" s="95" t="n">
        <x:v>45953</x:v>
      </x:c>
      <x:c r="F1025" s="86" t="str">
        <x:v>Concluído</x:v>
      </x:c>
      <x:c r="G1025" s="86" t="n">
        <x:v>5.2</x:v>
      </x:c>
      <x:c r="H1025" s="93" t="n">
        <x:v>655.45</x:v>
      </x:c>
    </x:row>
    <x:row r="1026">
      <x:c r="A1026" s="85" t="n">
        <x:v>1025</x:v>
      </x:c>
      <x:c r="B1026" s="86" t="n">
        <x:v>351</x:v>
      </x:c>
      <x:c r="C1026" s="86" t="n">
        <x:v>5</x:v>
      </x:c>
      <x:c r="D1026" s="95" t="n">
        <x:v>45849</x:v>
      </x:c>
      <x:c r="E1026" s="95"/>
      <x:c r="F1026" s="86" t="str">
        <x:v>Não iniciado</x:v>
      </x:c>
      <x:c r="G1026" s="86"/>
      <x:c r="H1026" s="93" t="n">
        <x:v>758.19</x:v>
      </x:c>
    </x:row>
    <x:row r="1027">
      <x:c r="A1027" s="85" t="n">
        <x:v>1026</x:v>
      </x:c>
      <x:c r="B1027" s="86" t="n">
        <x:v>368</x:v>
      </x:c>
      <x:c r="C1027" s="86" t="n">
        <x:v>4</x:v>
      </x:c>
      <x:c r="D1027" s="95" t="n">
        <x:v>45428</x:v>
      </x:c>
      <x:c r="E1027" s="95" t="n">
        <x:v>45434</x:v>
      </x:c>
      <x:c r="F1027" s="86" t="str">
        <x:v>Concluído</x:v>
      </x:c>
      <x:c r="G1027" s="86" t="n">
        <x:v>9.2</x:v>
      </x:c>
      <x:c r="H1027" s="93" t="n">
        <x:v>529.1</x:v>
      </x:c>
    </x:row>
    <x:row r="1028">
      <x:c r="A1028" s="85" t="n">
        <x:v>1027</x:v>
      </x:c>
      <x:c r="B1028" s="86" t="n">
        <x:v>138</x:v>
      </x:c>
      <x:c r="C1028" s="86" t="n">
        <x:v>4</x:v>
      </x:c>
      <x:c r="D1028" s="95" t="n">
        <x:v>45589</x:v>
      </x:c>
      <x:c r="E1028" s="95" t="n">
        <x:v>45599</x:v>
      </x:c>
      <x:c r="F1028" s="86" t="str">
        <x:v>Concluído</x:v>
      </x:c>
      <x:c r="G1028" s="86" t="n">
        <x:v>6.5</x:v>
      </x:c>
      <x:c r="H1028" s="93" t="n">
        <x:v>243.75</x:v>
      </x:c>
    </x:row>
    <x:row r="1029">
      <x:c r="A1029" s="85" t="n">
        <x:v>1028</x:v>
      </x:c>
      <x:c r="B1029" s="86" t="n">
        <x:v>36</x:v>
      </x:c>
      <x:c r="C1029" s="86" t="n">
        <x:v>8</x:v>
      </x:c>
      <x:c r="D1029" s="95" t="n">
        <x:v>45871</x:v>
      </x:c>
      <x:c r="E1029" s="95" t="n">
        <x:v>45883</x:v>
      </x:c>
      <x:c r="F1029" s="86" t="str">
        <x:v>Concluído</x:v>
      </x:c>
      <x:c r="G1029" s="86" t="n">
        <x:v>9.8</x:v>
      </x:c>
      <x:c r="H1029" s="93" t="n">
        <x:v>701.14</x:v>
      </x:c>
    </x:row>
    <x:row r="1030">
      <x:c r="A1030" s="85" t="n">
        <x:v>1029</x:v>
      </x:c>
      <x:c r="B1030" s="86" t="n">
        <x:v>151</x:v>
      </x:c>
      <x:c r="C1030" s="86" t="n">
        <x:v>3</x:v>
      </x:c>
      <x:c r="D1030" s="95" t="n">
        <x:v>45635</x:v>
      </x:c>
      <x:c r="E1030" s="95" t="n">
        <x:v>45645</x:v>
      </x:c>
      <x:c r="F1030" s="86" t="str">
        <x:v>Concluído</x:v>
      </x:c>
      <x:c r="G1030" s="86" t="n">
        <x:v>7</x:v>
      </x:c>
      <x:c r="H1030" s="93" t="n">
        <x:v>307.39</x:v>
      </x:c>
    </x:row>
    <x:row r="1031">
      <x:c r="A1031" s="85" t="n">
        <x:v>1030</x:v>
      </x:c>
      <x:c r="B1031" s="86" t="n">
        <x:v>53</x:v>
      </x:c>
      <x:c r="C1031" s="86" t="n">
        <x:v>10</x:v>
      </x:c>
      <x:c r="D1031" s="95" t="n">
        <x:v>45864</x:v>
      </x:c>
      <x:c r="E1031" s="95" t="n">
        <x:v>45876</x:v>
      </x:c>
      <x:c r="F1031" s="86" t="str">
        <x:v>Reprovado</x:v>
      </x:c>
      <x:c r="G1031" s="86" t="n">
        <x:v>7.9</x:v>
      </x:c>
      <x:c r="H1031" s="93" t="n">
        <x:v>757.13</x:v>
      </x:c>
    </x:row>
    <x:row r="1032">
      <x:c r="A1032" s="85" t="n">
        <x:v>1031</x:v>
      </x:c>
      <x:c r="B1032" s="86" t="n">
        <x:v>87</x:v>
      </x:c>
      <x:c r="C1032" s="86" t="n">
        <x:v>4</x:v>
      </x:c>
      <x:c r="D1032" s="95" t="n">
        <x:v>45926</x:v>
      </x:c>
      <x:c r="E1032" s="95" t="n">
        <x:v>45943</x:v>
      </x:c>
      <x:c r="F1032" s="86" t="str">
        <x:v>Concluído</x:v>
      </x:c>
      <x:c r="G1032" s="86" t="n">
        <x:v>9.4</x:v>
      </x:c>
      <x:c r="H1032" s="93" t="n">
        <x:v>580.81</x:v>
      </x:c>
    </x:row>
    <x:row r="1033">
      <x:c r="A1033" s="85" t="n">
        <x:v>1032</x:v>
      </x:c>
      <x:c r="B1033" s="86" t="n">
        <x:v>23</x:v>
      </x:c>
      <x:c r="C1033" s="86" t="n">
        <x:v>4</x:v>
      </x:c>
      <x:c r="D1033" s="95" t="n">
        <x:v>45793</x:v>
      </x:c>
      <x:c r="E1033" s="95" t="n">
        <x:v>45798</x:v>
      </x:c>
      <x:c r="F1033" s="86" t="str">
        <x:v>Concluído</x:v>
      </x:c>
      <x:c r="G1033" s="86" t="n">
        <x:v>6.6</x:v>
      </x:c>
      <x:c r="H1033" s="93" t="n">
        <x:v>577.48</x:v>
      </x:c>
    </x:row>
    <x:row r="1034">
      <x:c r="A1034" s="85" t="n">
        <x:v>1033</x:v>
      </x:c>
      <x:c r="B1034" s="86" t="n">
        <x:v>60</x:v>
      </x:c>
      <x:c r="C1034" s="86" t="n">
        <x:v>7</x:v>
      </x:c>
      <x:c r="D1034" s="95" t="n">
        <x:v>45431</x:v>
      </x:c>
      <x:c r="E1034" s="95" t="n">
        <x:v>45439</x:v>
      </x:c>
      <x:c r="F1034" s="86" t="str">
        <x:v>Concluído</x:v>
      </x:c>
      <x:c r="G1034" s="86" t="n">
        <x:v>6.9</x:v>
      </x:c>
      <x:c r="H1034" s="93" t="n">
        <x:v>774.78</x:v>
      </x:c>
    </x:row>
    <x:row r="1035">
      <x:c r="A1035" s="85" t="n">
        <x:v>1034</x:v>
      </x:c>
      <x:c r="B1035" s="86" t="n">
        <x:v>404</x:v>
      </x:c>
      <x:c r="C1035" s="86" t="n">
        <x:v>5</x:v>
      </x:c>
      <x:c r="D1035" s="95" t="n">
        <x:v>45391</x:v>
      </x:c>
      <x:c r="E1035" s="95" t="n">
        <x:v>45402</x:v>
      </x:c>
      <x:c r="F1035" s="86" t="str">
        <x:v>Concluído</x:v>
      </x:c>
      <x:c r="G1035" s="86" t="n">
        <x:v>9.2</x:v>
      </x:c>
      <x:c r="H1035" s="93" t="n">
        <x:v>502.07</x:v>
      </x:c>
    </x:row>
    <x:row r="1036">
      <x:c r="A1036" s="85" t="n">
        <x:v>1035</x:v>
      </x:c>
      <x:c r="B1036" s="86" t="n">
        <x:v>41</x:v>
      </x:c>
      <x:c r="C1036" s="86" t="n">
        <x:v>10</x:v>
      </x:c>
      <x:c r="D1036" s="95" t="n">
        <x:v>46002</x:v>
      </x:c>
      <x:c r="E1036" s="95" t="n">
        <x:v>46004</x:v>
      </x:c>
      <x:c r="F1036" s="86" t="str">
        <x:v>Concluído</x:v>
      </x:c>
      <x:c r="G1036" s="86" t="n">
        <x:v>7</x:v>
      </x:c>
      <x:c r="H1036" s="93" t="n">
        <x:v>157.73</x:v>
      </x:c>
    </x:row>
    <x:row r="1037">
      <x:c r="A1037" s="85" t="n">
        <x:v>1036</x:v>
      </x:c>
      <x:c r="B1037" s="86" t="n">
        <x:v>73</x:v>
      </x:c>
      <x:c r="C1037" s="86" t="n">
        <x:v>2</x:v>
      </x:c>
      <x:c r="D1037" s="95" t="n">
        <x:v>45985</x:v>
      </x:c>
      <x:c r="E1037" s="95"/>
      <x:c r="F1037" s="86" t="str">
        <x:v>Não iniciado</x:v>
      </x:c>
      <x:c r="G1037" s="86"/>
      <x:c r="H1037" s="93" t="n">
        <x:v>768.37</x:v>
      </x:c>
    </x:row>
    <x:row r="1038">
      <x:c r="A1038" s="85" t="n">
        <x:v>1037</x:v>
      </x:c>
      <x:c r="B1038" s="86" t="n">
        <x:v>326</x:v>
      </x:c>
      <x:c r="C1038" s="86" t="n">
        <x:v>2</x:v>
      </x:c>
      <x:c r="D1038" s="95" t="n">
        <x:v>45860</x:v>
      </x:c>
      <x:c r="E1038" s="95"/>
      <x:c r="F1038" s="86" t="str">
        <x:v>Não iniciado</x:v>
      </x:c>
      <x:c r="G1038" s="86"/>
      <x:c r="H1038" s="93" t="n">
        <x:v>765.77</x:v>
      </x:c>
    </x:row>
    <x:row r="1039">
      <x:c r="A1039" s="85" t="n">
        <x:v>1038</x:v>
      </x:c>
      <x:c r="B1039" s="86" t="n">
        <x:v>13</x:v>
      </x:c>
      <x:c r="C1039" s="86" t="n">
        <x:v>2</x:v>
      </x:c>
      <x:c r="D1039" s="95" t="n">
        <x:v>45810</x:v>
      </x:c>
      <x:c r="E1039" s="95" t="n">
        <x:v>45821</x:v>
      </x:c>
      <x:c r="F1039" s="86" t="str">
        <x:v>Concluído</x:v>
      </x:c>
      <x:c r="G1039" s="86" t="n">
        <x:v>5.3</x:v>
      </x:c>
      <x:c r="H1039" s="93" t="n">
        <x:v>844.13</x:v>
      </x:c>
    </x:row>
    <x:row r="1040">
      <x:c r="A1040" s="85" t="n">
        <x:v>1039</x:v>
      </x:c>
      <x:c r="B1040" s="86" t="n">
        <x:v>156</x:v>
      </x:c>
      <x:c r="C1040" s="86" t="n">
        <x:v>10</x:v>
      </x:c>
      <x:c r="D1040" s="95" t="n">
        <x:v>45473</x:v>
      </x:c>
      <x:c r="E1040" s="95" t="n">
        <x:v>45478</x:v>
      </x:c>
      <x:c r="F1040" s="86" t="str">
        <x:v>Concluído</x:v>
      </x:c>
      <x:c r="G1040" s="86" t="n">
        <x:v>7</x:v>
      </x:c>
      <x:c r="H1040" s="93" t="n">
        <x:v>455.72</x:v>
      </x:c>
    </x:row>
    <x:row r="1041">
      <x:c r="A1041" s="85" t="n">
        <x:v>1040</x:v>
      </x:c>
      <x:c r="B1041" s="86" t="n">
        <x:v>208</x:v>
      </x:c>
      <x:c r="C1041" s="86" t="n">
        <x:v>5</x:v>
      </x:c>
      <x:c r="D1041" s="95" t="n">
        <x:v>45786</x:v>
      </x:c>
      <x:c r="E1041" s="95" t="n">
        <x:v>45794</x:v>
      </x:c>
      <x:c r="F1041" s="86" t="str">
        <x:v>Concluído</x:v>
      </x:c>
      <x:c r="G1041" s="86" t="n">
        <x:v>7.2</x:v>
      </x:c>
      <x:c r="H1041" s="93" t="n">
        <x:v>430.72</x:v>
      </x:c>
    </x:row>
    <x:row r="1042">
      <x:c r="A1042" s="85" t="n">
        <x:v>1041</x:v>
      </x:c>
      <x:c r="B1042" s="86" t="n">
        <x:v>138</x:v>
      </x:c>
      <x:c r="C1042" s="86" t="n">
        <x:v>9</x:v>
      </x:c>
      <x:c r="D1042" s="95" t="n">
        <x:v>45736</x:v>
      </x:c>
      <x:c r="E1042" s="95" t="n">
        <x:v>45750</x:v>
      </x:c>
      <x:c r="F1042" s="86" t="str">
        <x:v>Concluído</x:v>
      </x:c>
      <x:c r="G1042" s="86" t="n">
        <x:v>7.9</x:v>
      </x:c>
      <x:c r="H1042" s="93" t="n">
        <x:v>148.57</x:v>
      </x:c>
    </x:row>
    <x:row r="1043">
      <x:c r="A1043" s="85" t="n">
        <x:v>1042</x:v>
      </x:c>
      <x:c r="B1043" s="86" t="n">
        <x:v>61</x:v>
      </x:c>
      <x:c r="C1043" s="86" t="n">
        <x:v>7</x:v>
      </x:c>
      <x:c r="D1043" s="95" t="n">
        <x:v>45689</x:v>
      </x:c>
      <x:c r="E1043" s="95" t="n">
        <x:v>45691</x:v>
      </x:c>
      <x:c r="F1043" s="86" t="str">
        <x:v>Concluído</x:v>
      </x:c>
      <x:c r="G1043" s="86" t="n">
        <x:v>6.2</x:v>
      </x:c>
      <x:c r="H1043" s="93" t="n">
        <x:v>164.84</x:v>
      </x:c>
    </x:row>
    <x:row r="1044">
      <x:c r="A1044" s="85" t="n">
        <x:v>1043</x:v>
      </x:c>
      <x:c r="B1044" s="86" t="n">
        <x:v>291</x:v>
      </x:c>
      <x:c r="C1044" s="86" t="n">
        <x:v>6</x:v>
      </x:c>
      <x:c r="D1044" s="95" t="n">
        <x:v>45732</x:v>
      </x:c>
      <x:c r="E1044" s="95" t="n">
        <x:v>45741</x:v>
      </x:c>
      <x:c r="F1044" s="86" t="str">
        <x:v>Concluído</x:v>
      </x:c>
      <x:c r="G1044" s="86" t="n">
        <x:v>7.4</x:v>
      </x:c>
      <x:c r="H1044" s="93" t="n">
        <x:v>134.55</x:v>
      </x:c>
    </x:row>
    <x:row r="1045">
      <x:c r="A1045" s="85" t="n">
        <x:v>1044</x:v>
      </x:c>
      <x:c r="B1045" s="86" t="n">
        <x:v>334</x:v>
      </x:c>
      <x:c r="C1045" s="86" t="n">
        <x:v>2</x:v>
      </x:c>
      <x:c r="D1045" s="95" t="n">
        <x:v>45970</x:v>
      </x:c>
      <x:c r="E1045" s="95" t="n">
        <x:v>45990</x:v>
      </x:c>
      <x:c r="F1045" s="86" t="str">
        <x:v>Concluído</x:v>
      </x:c>
      <x:c r="G1045" s="86" t="n">
        <x:v>7.6</x:v>
      </x:c>
      <x:c r="H1045" s="93" t="n">
        <x:v>93.74</x:v>
      </x:c>
    </x:row>
    <x:row r="1046">
      <x:c r="A1046" s="85" t="n">
        <x:v>1045</x:v>
      </x:c>
      <x:c r="B1046" s="86" t="n">
        <x:v>139</x:v>
      </x:c>
      <x:c r="C1046" s="86" t="n">
        <x:v>2</x:v>
      </x:c>
      <x:c r="D1046" s="95" t="n">
        <x:v>45672</x:v>
      </x:c>
      <x:c r="E1046" s="95" t="n">
        <x:v>45672</x:v>
      </x:c>
      <x:c r="F1046" s="86" t="str">
        <x:v>Concluído</x:v>
      </x:c>
      <x:c r="G1046" s="86" t="n">
        <x:v>8.5</x:v>
      </x:c>
      <x:c r="H1046" s="93" t="n">
        <x:v>416.6</x:v>
      </x:c>
    </x:row>
    <x:row r="1047">
      <x:c r="A1047" s="85" t="n">
        <x:v>1046</x:v>
      </x:c>
      <x:c r="B1047" s="86" t="n">
        <x:v>61</x:v>
      </x:c>
      <x:c r="C1047" s="86" t="n">
        <x:v>8</x:v>
      </x:c>
      <x:c r="D1047" s="95" t="n">
        <x:v>45929</x:v>
      </x:c>
      <x:c r="E1047" s="95" t="n">
        <x:v>45936</x:v>
      </x:c>
      <x:c r="F1047" s="86" t="str">
        <x:v>Concluído</x:v>
      </x:c>
      <x:c r="G1047" s="86" t="n">
        <x:v>8.7</x:v>
      </x:c>
      <x:c r="H1047" s="93" t="n">
        <x:v>524.68</x:v>
      </x:c>
    </x:row>
    <x:row r="1048">
      <x:c r="A1048" s="85" t="n">
        <x:v>1047</x:v>
      </x:c>
      <x:c r="B1048" s="86" t="n">
        <x:v>267</x:v>
      </x:c>
      <x:c r="C1048" s="86" t="n">
        <x:v>1</x:v>
      </x:c>
      <x:c r="D1048" s="95" t="n">
        <x:v>45753</x:v>
      </x:c>
      <x:c r="E1048" s="95"/>
      <x:c r="F1048" s="86" t="str">
        <x:v>Em andamento</x:v>
      </x:c>
      <x:c r="G1048" s="86"/>
      <x:c r="H1048" s="93" t="n">
        <x:v>626.83</x:v>
      </x:c>
    </x:row>
    <x:row r="1049">
      <x:c r="A1049" s="85" t="n">
        <x:v>1048</x:v>
      </x:c>
      <x:c r="B1049" s="86" t="n">
        <x:v>241</x:v>
      </x:c>
      <x:c r="C1049" s="86" t="n">
        <x:v>1</x:v>
      </x:c>
      <x:c r="D1049" s="95" t="n">
        <x:v>45789</x:v>
      </x:c>
      <x:c r="E1049" s="95" t="n">
        <x:v>45790</x:v>
      </x:c>
      <x:c r="F1049" s="86" t="str">
        <x:v>Concluído</x:v>
      </x:c>
      <x:c r="G1049" s="86" t="n">
        <x:v>9.6</x:v>
      </x:c>
      <x:c r="H1049" s="93" t="n">
        <x:v>418.96</x:v>
      </x:c>
    </x:row>
    <x:row r="1050">
      <x:c r="A1050" s="85" t="n">
        <x:v>1049</x:v>
      </x:c>
      <x:c r="B1050" s="86" t="n">
        <x:v>219</x:v>
      </x:c>
      <x:c r="C1050" s="86" t="n">
        <x:v>2</x:v>
      </x:c>
      <x:c r="D1050" s="95" t="n">
        <x:v>45320</x:v>
      </x:c>
      <x:c r="E1050" s="95" t="n">
        <x:v>45328</x:v>
      </x:c>
      <x:c r="F1050" s="86" t="str">
        <x:v>Concluído</x:v>
      </x:c>
      <x:c r="G1050" s="86" t="n">
        <x:v>7.4</x:v>
      </x:c>
      <x:c r="H1050" s="93" t="n">
        <x:v>589.99</x:v>
      </x:c>
    </x:row>
    <x:row r="1051">
      <x:c r="A1051" s="85" t="n">
        <x:v>1050</x:v>
      </x:c>
      <x:c r="B1051" s="86" t="n">
        <x:v>86</x:v>
      </x:c>
      <x:c r="C1051" s="86" t="n">
        <x:v>6</x:v>
      </x:c>
      <x:c r="D1051" s="95" t="n">
        <x:v>45924</x:v>
      </x:c>
      <x:c r="E1051" s="95" t="n">
        <x:v>45939</x:v>
      </x:c>
      <x:c r="F1051" s="86" t="str">
        <x:v>Concluído</x:v>
      </x:c>
      <x:c r="G1051" s="86" t="n">
        <x:v>6.3</x:v>
      </x:c>
      <x:c r="H1051" s="93" t="n">
        <x:v>367.28</x:v>
      </x:c>
    </x:row>
    <x:row r="1052">
      <x:c r="A1052" s="85" t="n">
        <x:v>1051</x:v>
      </x:c>
      <x:c r="B1052" s="86" t="n">
        <x:v>309</x:v>
      </x:c>
      <x:c r="C1052" s="86" t="n">
        <x:v>2</x:v>
      </x:c>
      <x:c r="D1052" s="95" t="n">
        <x:v>45924</x:v>
      </x:c>
      <x:c r="E1052" s="95" t="n">
        <x:v>45939</x:v>
      </x:c>
      <x:c r="F1052" s="86" t="str">
        <x:v>Concluído</x:v>
      </x:c>
      <x:c r="G1052" s="86" t="n">
        <x:v>5.5</x:v>
      </x:c>
      <x:c r="H1052" s="93" t="n">
        <x:v>731.11</x:v>
      </x:c>
    </x:row>
    <x:row r="1053">
      <x:c r="A1053" s="85" t="n">
        <x:v>1052</x:v>
      </x:c>
      <x:c r="B1053" s="86" t="n">
        <x:v>383</x:v>
      </x:c>
      <x:c r="C1053" s="86" t="n">
        <x:v>1</x:v>
      </x:c>
      <x:c r="D1053" s="95" t="n">
        <x:v>46003</x:v>
      </x:c>
      <x:c r="E1053" s="95" t="n">
        <x:v>46016</x:v>
      </x:c>
      <x:c r="F1053" s="86" t="str">
        <x:v>Concluído</x:v>
      </x:c>
      <x:c r="G1053" s="86" t="n">
        <x:v>9.7</x:v>
      </x:c>
      <x:c r="H1053" s="93" t="n">
        <x:v>179.79</x:v>
      </x:c>
    </x:row>
    <x:row r="1054">
      <x:c r="A1054" s="85" t="n">
        <x:v>1053</x:v>
      </x:c>
      <x:c r="B1054" s="86" t="n">
        <x:v>114</x:v>
      </x:c>
      <x:c r="C1054" s="86" t="n">
        <x:v>2</x:v>
      </x:c>
      <x:c r="D1054" s="95" t="n">
        <x:v>45364</x:v>
      </x:c>
      <x:c r="E1054" s="95"/>
      <x:c r="F1054" s="86" t="str">
        <x:v>Não iniciado</x:v>
      </x:c>
      <x:c r="G1054" s="86"/>
      <x:c r="H1054" s="93" t="n">
        <x:v>679.02</x:v>
      </x:c>
    </x:row>
    <x:row r="1055">
      <x:c r="A1055" s="85" t="n">
        <x:v>1054</x:v>
      </x:c>
      <x:c r="B1055" s="86" t="n">
        <x:v>246</x:v>
      </x:c>
      <x:c r="C1055" s="86" t="n">
        <x:v>9</x:v>
      </x:c>
      <x:c r="D1055" s="95" t="n">
        <x:v>45986</x:v>
      </x:c>
      <x:c r="E1055" s="95" t="n">
        <x:v>45996</x:v>
      </x:c>
      <x:c r="F1055" s="86" t="str">
        <x:v>Concluído</x:v>
      </x:c>
      <x:c r="G1055" s="86" t="n">
        <x:v>6.1</x:v>
      </x:c>
      <x:c r="H1055" s="93" t="n">
        <x:v>321.59</x:v>
      </x:c>
    </x:row>
    <x:row r="1056">
      <x:c r="A1056" s="85" t="n">
        <x:v>1055</x:v>
      </x:c>
      <x:c r="B1056" s="86" t="n">
        <x:v>234</x:v>
      </x:c>
      <x:c r="C1056" s="86" t="n">
        <x:v>5</x:v>
      </x:c>
      <x:c r="D1056" s="95" t="n">
        <x:v>45843</x:v>
      </x:c>
      <x:c r="E1056" s="95"/>
      <x:c r="F1056" s="86" t="str">
        <x:v>Em andamento</x:v>
      </x:c>
      <x:c r="G1056" s="86"/>
      <x:c r="H1056" s="93" t="n">
        <x:v>808.09</x:v>
      </x:c>
    </x:row>
    <x:row r="1057">
      <x:c r="A1057" s="85" t="n">
        <x:v>1056</x:v>
      </x:c>
      <x:c r="B1057" s="86" t="n">
        <x:v>158</x:v>
      </x:c>
      <x:c r="C1057" s="86" t="n">
        <x:v>1</x:v>
      </x:c>
      <x:c r="D1057" s="95" t="n">
        <x:v>45617</x:v>
      </x:c>
      <x:c r="E1057" s="95" t="n">
        <x:v>45628</x:v>
      </x:c>
      <x:c r="F1057" s="86" t="str">
        <x:v>Concluído</x:v>
      </x:c>
      <x:c r="G1057" s="86" t="n">
        <x:v>7.5</x:v>
      </x:c>
      <x:c r="H1057" s="93" t="n">
        <x:v>149.44</x:v>
      </x:c>
    </x:row>
    <x:row r="1058">
      <x:c r="A1058" s="85" t="n">
        <x:v>1057</x:v>
      </x:c>
      <x:c r="B1058" s="86" t="n">
        <x:v>163</x:v>
      </x:c>
      <x:c r="C1058" s="86" t="n">
        <x:v>3</x:v>
      </x:c>
      <x:c r="D1058" s="95" t="n">
        <x:v>45676</x:v>
      </x:c>
      <x:c r="E1058" s="95" t="n">
        <x:v>45678</x:v>
      </x:c>
      <x:c r="F1058" s="86" t="str">
        <x:v>Concluído</x:v>
      </x:c>
      <x:c r="G1058" s="86" t="n">
        <x:v>8.7</x:v>
      </x:c>
      <x:c r="H1058" s="93" t="n">
        <x:v>329.85</x:v>
      </x:c>
    </x:row>
    <x:row r="1059">
      <x:c r="A1059" s="85" t="n">
        <x:v>1058</x:v>
      </x:c>
      <x:c r="B1059" s="86" t="n">
        <x:v>189</x:v>
      </x:c>
      <x:c r="C1059" s="86" t="n">
        <x:v>8</x:v>
      </x:c>
      <x:c r="D1059" s="95" t="n">
        <x:v>45887</x:v>
      </x:c>
      <x:c r="E1059" s="95" t="n">
        <x:v>45898</x:v>
      </x:c>
      <x:c r="F1059" s="86" t="str">
        <x:v>Concluído</x:v>
      </x:c>
      <x:c r="G1059" s="86" t="n">
        <x:v>9.1</x:v>
      </x:c>
      <x:c r="H1059" s="93" t="n">
        <x:v>634.75</x:v>
      </x:c>
    </x:row>
    <x:row r="1060">
      <x:c r="A1060" s="85" t="n">
        <x:v>1059</x:v>
      </x:c>
      <x:c r="B1060" s="86" t="n">
        <x:v>376</x:v>
      </x:c>
      <x:c r="C1060" s="86" t="n">
        <x:v>10</x:v>
      </x:c>
      <x:c r="D1060" s="95" t="n">
        <x:v>45870</x:v>
      </x:c>
      <x:c r="E1060" s="95" t="n">
        <x:v>45875</x:v>
      </x:c>
      <x:c r="F1060" s="86" t="str">
        <x:v>Concluído</x:v>
      </x:c>
      <x:c r="G1060" s="86" t="n">
        <x:v>7.5</x:v>
      </x:c>
      <x:c r="H1060" s="93" t="n">
        <x:v>814.7</x:v>
      </x:c>
    </x:row>
    <x:row r="1061">
      <x:c r="A1061" s="85" t="n">
        <x:v>1060</x:v>
      </x:c>
      <x:c r="B1061" s="86" t="n">
        <x:v>112</x:v>
      </x:c>
      <x:c r="C1061" s="86" t="n">
        <x:v>10</x:v>
      </x:c>
      <x:c r="D1061" s="95" t="n">
        <x:v>45713</x:v>
      </x:c>
      <x:c r="E1061" s="95"/>
      <x:c r="F1061" s="86" t="str">
        <x:v>Em andamento</x:v>
      </x:c>
      <x:c r="G1061" s="86"/>
      <x:c r="H1061" s="93" t="n">
        <x:v>471.83</x:v>
      </x:c>
    </x:row>
    <x:row r="1062">
      <x:c r="A1062" s="85" t="n">
        <x:v>1061</x:v>
      </x:c>
      <x:c r="B1062" s="86" t="n">
        <x:v>103</x:v>
      </x:c>
      <x:c r="C1062" s="86" t="n">
        <x:v>2</x:v>
      </x:c>
      <x:c r="D1062" s="95" t="n">
        <x:v>45993</x:v>
      </x:c>
      <x:c r="E1062" s="95" t="n">
        <x:v>46001</x:v>
      </x:c>
      <x:c r="F1062" s="86" t="str">
        <x:v>Concluído</x:v>
      </x:c>
      <x:c r="G1062" s="86" t="n">
        <x:v>5.3</x:v>
      </x:c>
      <x:c r="H1062" s="93" t="n">
        <x:v>374.04</x:v>
      </x:c>
    </x:row>
    <x:row r="1063">
      <x:c r="A1063" s="85" t="n">
        <x:v>1062</x:v>
      </x:c>
      <x:c r="B1063" s="86" t="n">
        <x:v>403</x:v>
      </x:c>
      <x:c r="C1063" s="86" t="n">
        <x:v>7</x:v>
      </x:c>
      <x:c r="D1063" s="95" t="n">
        <x:v>45368</x:v>
      </x:c>
      <x:c r="E1063" s="95" t="n">
        <x:v>45384</x:v>
      </x:c>
      <x:c r="F1063" s="86" t="str">
        <x:v>Concluído</x:v>
      </x:c>
      <x:c r="G1063" s="86" t="n">
        <x:v>5.1</x:v>
      </x:c>
      <x:c r="H1063" s="93" t="n">
        <x:v>554.21</x:v>
      </x:c>
    </x:row>
    <x:row r="1064">
      <x:c r="A1064" s="85" t="n">
        <x:v>1063</x:v>
      </x:c>
      <x:c r="B1064" s="86" t="n">
        <x:v>22</x:v>
      </x:c>
      <x:c r="C1064" s="86" t="n">
        <x:v>6</x:v>
      </x:c>
      <x:c r="D1064" s="95" t="n">
        <x:v>45897</x:v>
      </x:c>
      <x:c r="E1064" s="95"/>
      <x:c r="F1064" s="86" t="str">
        <x:v>Não iniciado</x:v>
      </x:c>
      <x:c r="G1064" s="86"/>
      <x:c r="H1064" s="93" t="n">
        <x:v>95.86</x:v>
      </x:c>
    </x:row>
    <x:row r="1065">
      <x:c r="A1065" s="85" t="n">
        <x:v>1064</x:v>
      </x:c>
      <x:c r="B1065" s="86" t="n">
        <x:v>414</x:v>
      </x:c>
      <x:c r="C1065" s="86" t="n">
        <x:v>1</x:v>
      </x:c>
      <x:c r="D1065" s="95" t="n">
        <x:v>45819</x:v>
      </x:c>
      <x:c r="E1065" s="95" t="n">
        <x:v>45837</x:v>
      </x:c>
      <x:c r="F1065" s="86" t="str">
        <x:v>Concluído</x:v>
      </x:c>
      <x:c r="G1065" s="86" t="n">
        <x:v>6.7</x:v>
      </x:c>
      <x:c r="H1065" s="93" t="n">
        <x:v>134.66</x:v>
      </x:c>
    </x:row>
    <x:row r="1066">
      <x:c r="A1066" s="85" t="n">
        <x:v>1065</x:v>
      </x:c>
      <x:c r="B1066" s="86" t="n">
        <x:v>365</x:v>
      </x:c>
      <x:c r="C1066" s="86" t="n">
        <x:v>5</x:v>
      </x:c>
      <x:c r="D1066" s="95" t="n">
        <x:v>45950</x:v>
      </x:c>
      <x:c r="E1066" s="95" t="n">
        <x:v>45964</x:v>
      </x:c>
      <x:c r="F1066" s="86" t="str">
        <x:v>Concluído</x:v>
      </x:c>
      <x:c r="G1066" s="86" t="n">
        <x:v>8.3</x:v>
      </x:c>
      <x:c r="H1066" s="93" t="n">
        <x:v>112.31</x:v>
      </x:c>
    </x:row>
    <x:row r="1067">
      <x:c r="A1067" s="85" t="n">
        <x:v>1066</x:v>
      </x:c>
      <x:c r="B1067" s="86" t="n">
        <x:v>6</x:v>
      </x:c>
      <x:c r="C1067" s="86" t="n">
        <x:v>2</x:v>
      </x:c>
      <x:c r="D1067" s="95" t="n">
        <x:v>45641</x:v>
      </x:c>
      <x:c r="E1067" s="95" t="n">
        <x:v>45652</x:v>
      </x:c>
      <x:c r="F1067" s="86" t="str">
        <x:v>Concluído</x:v>
      </x:c>
      <x:c r="G1067" s="86" t="n">
        <x:v>7.7</x:v>
      </x:c>
      <x:c r="H1067" s="93" t="n">
        <x:v>119.52</x:v>
      </x:c>
    </x:row>
    <x:row r="1068">
      <x:c r="A1068" s="85" t="n">
        <x:v>1067</x:v>
      </x:c>
      <x:c r="B1068" s="86" t="n">
        <x:v>158</x:v>
      </x:c>
      <x:c r="C1068" s="86" t="n">
        <x:v>1</x:v>
      </x:c>
      <x:c r="D1068" s="95" t="n">
        <x:v>45368</x:v>
      </x:c>
      <x:c r="E1068" s="95" t="n">
        <x:v>45382</x:v>
      </x:c>
      <x:c r="F1068" s="86" t="str">
        <x:v>Concluído</x:v>
      </x:c>
      <x:c r="G1068" s="86" t="n">
        <x:v>5.4</x:v>
      </x:c>
      <x:c r="H1068" s="93" t="n">
        <x:v>208.12</x:v>
      </x:c>
    </x:row>
    <x:row r="1069">
      <x:c r="A1069" s="85" t="n">
        <x:v>1068</x:v>
      </x:c>
      <x:c r="B1069" s="86" t="n">
        <x:v>45</x:v>
      </x:c>
      <x:c r="C1069" s="86" t="n">
        <x:v>4</x:v>
      </x:c>
      <x:c r="D1069" s="95" t="n">
        <x:v>45401</x:v>
      </x:c>
      <x:c r="E1069" s="95" t="n">
        <x:v>45411</x:v>
      </x:c>
      <x:c r="F1069" s="86" t="str">
        <x:v>Reprovado</x:v>
      </x:c>
      <x:c r="G1069" s="86" t="n">
        <x:v>8.2</x:v>
      </x:c>
      <x:c r="H1069" s="93" t="n">
        <x:v>620.98</x:v>
      </x:c>
    </x:row>
    <x:row r="1070">
      <x:c r="A1070" s="85" t="n">
        <x:v>1069</x:v>
      </x:c>
      <x:c r="B1070" s="86" t="n">
        <x:v>239</x:v>
      </x:c>
      <x:c r="C1070" s="86" t="n">
        <x:v>3</x:v>
      </x:c>
      <x:c r="D1070" s="95" t="n">
        <x:v>45481</x:v>
      </x:c>
      <x:c r="E1070" s="95" t="n">
        <x:v>45482</x:v>
      </x:c>
      <x:c r="F1070" s="86" t="str">
        <x:v>Concluído</x:v>
      </x:c>
      <x:c r="G1070" s="86" t="n">
        <x:v>5.4</x:v>
      </x:c>
      <x:c r="H1070" s="93" t="n">
        <x:v>561.05</x:v>
      </x:c>
    </x:row>
    <x:row r="1071">
      <x:c r="A1071" s="85" t="n">
        <x:v>1070</x:v>
      </x:c>
      <x:c r="B1071" s="86" t="n">
        <x:v>51</x:v>
      </x:c>
      <x:c r="C1071" s="86" t="n">
        <x:v>2</x:v>
      </x:c>
      <x:c r="D1071" s="95" t="n">
        <x:v>45725</x:v>
      </x:c>
      <x:c r="E1071" s="95" t="n">
        <x:v>45745</x:v>
      </x:c>
      <x:c r="F1071" s="86" t="str">
        <x:v>Concluído</x:v>
      </x:c>
      <x:c r="G1071" s="86" t="n">
        <x:v>7.4</x:v>
      </x:c>
      <x:c r="H1071" s="93" t="n">
        <x:v>307.81</x:v>
      </x:c>
    </x:row>
    <x:row r="1072">
      <x:c r="A1072" s="85" t="n">
        <x:v>1071</x:v>
      </x:c>
      <x:c r="B1072" s="86" t="n">
        <x:v>44</x:v>
      </x:c>
      <x:c r="C1072" s="86" t="n">
        <x:v>6</x:v>
      </x:c>
      <x:c r="D1072" s="95" t="n">
        <x:v>45840</x:v>
      </x:c>
      <x:c r="E1072" s="95" t="n">
        <x:v>45851</x:v>
      </x:c>
      <x:c r="F1072" s="86" t="str">
        <x:v>Concluído</x:v>
      </x:c>
      <x:c r="G1072" s="86" t="n">
        <x:v>9.9</x:v>
      </x:c>
      <x:c r="H1072" s="93" t="n">
        <x:v>99.54</x:v>
      </x:c>
    </x:row>
    <x:row r="1073">
      <x:c r="A1073" s="85" t="n">
        <x:v>1072</x:v>
      </x:c>
      <x:c r="B1073" s="86" t="n">
        <x:v>219</x:v>
      </x:c>
      <x:c r="C1073" s="86" t="n">
        <x:v>1</x:v>
      </x:c>
      <x:c r="D1073" s="95" t="n">
        <x:v>45347</x:v>
      </x:c>
      <x:c r="E1073" s="95" t="n">
        <x:v>45354</x:v>
      </x:c>
      <x:c r="F1073" s="86" t="str">
        <x:v>Concluído</x:v>
      </x:c>
      <x:c r="G1073" s="86" t="n">
        <x:v>6.6</x:v>
      </x:c>
      <x:c r="H1073" s="93" t="n">
        <x:v>140.71</x:v>
      </x:c>
    </x:row>
    <x:row r="1074">
      <x:c r="A1074" s="85" t="n">
        <x:v>1073</x:v>
      </x:c>
      <x:c r="B1074" s="86" t="n">
        <x:v>263</x:v>
      </x:c>
      <x:c r="C1074" s="86" t="n">
        <x:v>2</x:v>
      </x:c>
      <x:c r="D1074" s="95" t="n">
        <x:v>45467</x:v>
      </x:c>
      <x:c r="E1074" s="95"/>
      <x:c r="F1074" s="86" t="str">
        <x:v>Em andamento</x:v>
      </x:c>
      <x:c r="G1074" s="86"/>
      <x:c r="H1074" s="93" t="n">
        <x:v>532.74</x:v>
      </x:c>
    </x:row>
    <x:row r="1075">
      <x:c r="A1075" s="85" t="n">
        <x:v>1074</x:v>
      </x:c>
      <x:c r="B1075" s="86" t="n">
        <x:v>15</x:v>
      </x:c>
      <x:c r="C1075" s="86" t="n">
        <x:v>4</x:v>
      </x:c>
      <x:c r="D1075" s="95" t="n">
        <x:v>45635</x:v>
      </x:c>
      <x:c r="E1075" s="95" t="n">
        <x:v>45640</x:v>
      </x:c>
      <x:c r="F1075" s="86" t="str">
        <x:v>Concluído</x:v>
      </x:c>
      <x:c r="G1075" s="86" t="n">
        <x:v>6.4</x:v>
      </x:c>
      <x:c r="H1075" s="93" t="n">
        <x:v>680.39</x:v>
      </x:c>
    </x:row>
    <x:row r="1076">
      <x:c r="A1076" s="85" t="n">
        <x:v>1075</x:v>
      </x:c>
      <x:c r="B1076" s="86" t="n">
        <x:v>176</x:v>
      </x:c>
      <x:c r="C1076" s="86" t="n">
        <x:v>1</x:v>
      </x:c>
      <x:c r="D1076" s="95" t="n">
        <x:v>46011</x:v>
      </x:c>
      <x:c r="E1076" s="95" t="n">
        <x:v>46027</x:v>
      </x:c>
      <x:c r="F1076" s="86" t="str">
        <x:v>Concluído</x:v>
      </x:c>
      <x:c r="G1076" s="86" t="n">
        <x:v>5.5</x:v>
      </x:c>
      <x:c r="H1076" s="93" t="n">
        <x:v>270.35</x:v>
      </x:c>
    </x:row>
    <x:row r="1077">
      <x:c r="A1077" s="85" t="n">
        <x:v>1076</x:v>
      </x:c>
      <x:c r="B1077" s="86" t="n">
        <x:v>282</x:v>
      </x:c>
      <x:c r="C1077" s="86" t="n">
        <x:v>9</x:v>
      </x:c>
      <x:c r="D1077" s="95" t="n">
        <x:v>45616</x:v>
      </x:c>
      <x:c r="E1077" s="95" t="n">
        <x:v>45619</x:v>
      </x:c>
      <x:c r="F1077" s="86" t="str">
        <x:v>Concluído</x:v>
      </x:c>
      <x:c r="G1077" s="86" t="n">
        <x:v>7.4</x:v>
      </x:c>
      <x:c r="H1077" s="93" t="n">
        <x:v>696.17</x:v>
      </x:c>
    </x:row>
    <x:row r="1078">
      <x:c r="A1078" s="85" t="n">
        <x:v>1077</x:v>
      </x:c>
      <x:c r="B1078" s="86" t="n">
        <x:v>100</x:v>
      </x:c>
      <x:c r="C1078" s="86" t="n">
        <x:v>9</x:v>
      </x:c>
      <x:c r="D1078" s="95" t="n">
        <x:v>45838</x:v>
      </x:c>
      <x:c r="E1078" s="95"/>
      <x:c r="F1078" s="86" t="str">
        <x:v>Não iniciado</x:v>
      </x:c>
      <x:c r="G1078" s="86"/>
      <x:c r="H1078" s="93" t="n">
        <x:v>605.67</x:v>
      </x:c>
    </x:row>
    <x:row r="1079">
      <x:c r="A1079" s="85" t="n">
        <x:v>1078</x:v>
      </x:c>
      <x:c r="B1079" s="86" t="n">
        <x:v>299</x:v>
      </x:c>
      <x:c r="C1079" s="86" t="n">
        <x:v>6</x:v>
      </x:c>
      <x:c r="D1079" s="95" t="n">
        <x:v>45294</x:v>
      </x:c>
      <x:c r="E1079" s="95" t="n">
        <x:v>45308</x:v>
      </x:c>
      <x:c r="F1079" s="86" t="str">
        <x:v>Concluído</x:v>
      </x:c>
      <x:c r="G1079" s="86" t="n">
        <x:v>5.7</x:v>
      </x:c>
      <x:c r="H1079" s="93" t="n">
        <x:v>267.5</x:v>
      </x:c>
    </x:row>
    <x:row r="1080">
      <x:c r="A1080" s="85" t="n">
        <x:v>1079</x:v>
      </x:c>
      <x:c r="B1080" s="86" t="n">
        <x:v>14</x:v>
      </x:c>
      <x:c r="C1080" s="86" t="n">
        <x:v>1</x:v>
      </x:c>
      <x:c r="D1080" s="95" t="n">
        <x:v>45910</x:v>
      </x:c>
      <x:c r="E1080" s="95" t="n">
        <x:v>45919</x:v>
      </x:c>
      <x:c r="F1080" s="86" t="str">
        <x:v>Concluído</x:v>
      </x:c>
      <x:c r="G1080" s="86" t="n">
        <x:v>7.7</x:v>
      </x:c>
      <x:c r="H1080" s="93" t="n">
        <x:v>666.29</x:v>
      </x:c>
    </x:row>
    <x:row r="1081">
      <x:c r="A1081" s="85" t="n">
        <x:v>1080</x:v>
      </x:c>
      <x:c r="B1081" s="86" t="n">
        <x:v>22</x:v>
      </x:c>
      <x:c r="C1081" s="86" t="n">
        <x:v>8</x:v>
      </x:c>
      <x:c r="D1081" s="95" t="n">
        <x:v>46001</x:v>
      </x:c>
      <x:c r="E1081" s="95" t="n">
        <x:v>46008</x:v>
      </x:c>
      <x:c r="F1081" s="86" t="str">
        <x:v>Concluído</x:v>
      </x:c>
      <x:c r="G1081" s="86" t="n">
        <x:v>9.8</x:v>
      </x:c>
      <x:c r="H1081" s="93" t="n">
        <x:v>365.71</x:v>
      </x:c>
    </x:row>
    <x:row r="1082">
      <x:c r="A1082" s="85" t="n">
        <x:v>1081</x:v>
      </x:c>
      <x:c r="B1082" s="86" t="n">
        <x:v>20</x:v>
      </x:c>
      <x:c r="C1082" s="86" t="n">
        <x:v>1</x:v>
      </x:c>
      <x:c r="D1082" s="95" t="n">
        <x:v>45903</x:v>
      </x:c>
      <x:c r="E1082" s="95" t="n">
        <x:v>45907</x:v>
      </x:c>
      <x:c r="F1082" s="86" t="str">
        <x:v>Concluído</x:v>
      </x:c>
      <x:c r="G1082" s="86" t="n">
        <x:v>8.6</x:v>
      </x:c>
      <x:c r="H1082" s="93" t="n">
        <x:v>99.27</x:v>
      </x:c>
    </x:row>
    <x:row r="1083">
      <x:c r="A1083" s="85" t="n">
        <x:v>1082</x:v>
      </x:c>
      <x:c r="B1083" s="86" t="n">
        <x:v>133</x:v>
      </x:c>
      <x:c r="C1083" s="86" t="n">
        <x:v>7</x:v>
      </x:c>
      <x:c r="D1083" s="95" t="n">
        <x:v>45817</x:v>
      </x:c>
      <x:c r="E1083" s="95" t="n">
        <x:v>45821</x:v>
      </x:c>
      <x:c r="F1083" s="86" t="str">
        <x:v>Concluído</x:v>
      </x:c>
      <x:c r="G1083" s="86" t="n">
        <x:v>6.8</x:v>
      </x:c>
      <x:c r="H1083" s="93" t="n">
        <x:v>221.19</x:v>
      </x:c>
    </x:row>
    <x:row r="1084">
      <x:c r="A1084" s="85" t="n">
        <x:v>1083</x:v>
      </x:c>
      <x:c r="B1084" s="86" t="n">
        <x:v>417</x:v>
      </x:c>
      <x:c r="C1084" s="86" t="n">
        <x:v>10</x:v>
      </x:c>
      <x:c r="D1084" s="95" t="n">
        <x:v>45982</x:v>
      </x:c>
      <x:c r="E1084" s="95" t="n">
        <x:v>45989</x:v>
      </x:c>
      <x:c r="F1084" s="86" t="str">
        <x:v>Concluído</x:v>
      </x:c>
      <x:c r="G1084" s="86" t="n">
        <x:v>6.3</x:v>
      </x:c>
      <x:c r="H1084" s="93" t="n">
        <x:v>275.94</x:v>
      </x:c>
    </x:row>
    <x:row r="1085">
      <x:c r="A1085" s="85" t="n">
        <x:v>1084</x:v>
      </x:c>
      <x:c r="B1085" s="86" t="n">
        <x:v>316</x:v>
      </x:c>
      <x:c r="C1085" s="86" t="n">
        <x:v>4</x:v>
      </x:c>
      <x:c r="D1085" s="95" t="n">
        <x:v>45682</x:v>
      </x:c>
      <x:c r="E1085" s="95"/>
      <x:c r="F1085" s="86" t="str">
        <x:v>Não iniciado</x:v>
      </x:c>
      <x:c r="G1085" s="86"/>
      <x:c r="H1085" s="93" t="n">
        <x:v>455.6</x:v>
      </x:c>
    </x:row>
    <x:row r="1086">
      <x:c r="A1086" s="85" t="n">
        <x:v>1085</x:v>
      </x:c>
      <x:c r="B1086" s="86" t="n">
        <x:v>169</x:v>
      </x:c>
      <x:c r="C1086" s="86" t="n">
        <x:v>1</x:v>
      </x:c>
      <x:c r="D1086" s="95" t="n">
        <x:v>45874</x:v>
      </x:c>
      <x:c r="E1086" s="95" t="n">
        <x:v>45884</x:v>
      </x:c>
      <x:c r="F1086" s="86" t="str">
        <x:v>Concluído</x:v>
      </x:c>
      <x:c r="G1086" s="86" t="n">
        <x:v>5</x:v>
      </x:c>
      <x:c r="H1086" s="93" t="n">
        <x:v>687.16</x:v>
      </x:c>
    </x:row>
    <x:row r="1087">
      <x:c r="A1087" s="85" t="n">
        <x:v>1086</x:v>
      </x:c>
      <x:c r="B1087" s="86" t="n">
        <x:v>52</x:v>
      </x:c>
      <x:c r="C1087" s="86" t="n">
        <x:v>3</x:v>
      </x:c>
      <x:c r="D1087" s="95" t="n">
        <x:v>45326</x:v>
      </x:c>
      <x:c r="E1087" s="95" t="n">
        <x:v>45339</x:v>
      </x:c>
      <x:c r="F1087" s="86" t="str">
        <x:v>Concluído</x:v>
      </x:c>
      <x:c r="G1087" s="86" t="n">
        <x:v>8.2</x:v>
      </x:c>
      <x:c r="H1087" s="93" t="n">
        <x:v>301.62</x:v>
      </x:c>
    </x:row>
    <x:row r="1088">
      <x:c r="A1088" s="85" t="n">
        <x:v>1087</x:v>
      </x:c>
      <x:c r="B1088" s="86" t="n">
        <x:v>84</x:v>
      </x:c>
      <x:c r="C1088" s="86" t="n">
        <x:v>4</x:v>
      </x:c>
      <x:c r="D1088" s="95" t="n">
        <x:v>45961</x:v>
      </x:c>
      <x:c r="E1088" s="95" t="n">
        <x:v>45978</x:v>
      </x:c>
      <x:c r="F1088" s="86" t="str">
        <x:v>Concluído</x:v>
      </x:c>
      <x:c r="G1088" s="86" t="n">
        <x:v>9.4</x:v>
      </x:c>
      <x:c r="H1088" s="93" t="n">
        <x:v>583.83</x:v>
      </x:c>
    </x:row>
    <x:row r="1089">
      <x:c r="A1089" s="85" t="n">
        <x:v>1088</x:v>
      </x:c>
      <x:c r="B1089" s="86" t="n">
        <x:v>290</x:v>
      </x:c>
      <x:c r="C1089" s="86" t="n">
        <x:v>2</x:v>
      </x:c>
      <x:c r="D1089" s="95" t="n">
        <x:v>45882</x:v>
      </x:c>
      <x:c r="E1089" s="95" t="n">
        <x:v>45898</x:v>
      </x:c>
      <x:c r="F1089" s="86" t="str">
        <x:v>Concluído</x:v>
      </x:c>
      <x:c r="G1089" s="86" t="n">
        <x:v>5.1</x:v>
      </x:c>
      <x:c r="H1089" s="93" t="n">
        <x:v>559.53</x:v>
      </x:c>
    </x:row>
    <x:row r="1090">
      <x:c r="A1090" s="85" t="n">
        <x:v>1089</x:v>
      </x:c>
      <x:c r="B1090" s="86" t="n">
        <x:v>167</x:v>
      </x:c>
      <x:c r="C1090" s="86" t="n">
        <x:v>8</x:v>
      </x:c>
      <x:c r="D1090" s="95" t="n">
        <x:v>45909</x:v>
      </x:c>
      <x:c r="E1090" s="95" t="n">
        <x:v>45924</x:v>
      </x:c>
      <x:c r="F1090" s="86" t="str">
        <x:v>Reprovado</x:v>
      </x:c>
      <x:c r="G1090" s="86" t="n">
        <x:v>6</x:v>
      </x:c>
      <x:c r="H1090" s="93" t="n">
        <x:v>88.73</x:v>
      </x:c>
    </x:row>
    <x:row r="1091">
      <x:c r="A1091" s="85" t="n">
        <x:v>1090</x:v>
      </x:c>
      <x:c r="B1091" s="86" t="n">
        <x:v>256</x:v>
      </x:c>
      <x:c r="C1091" s="86" t="n">
        <x:v>9</x:v>
      </x:c>
      <x:c r="D1091" s="95" t="n">
        <x:v>45965</x:v>
      </x:c>
      <x:c r="E1091" s="95" t="n">
        <x:v>45981</x:v>
      </x:c>
      <x:c r="F1091" s="86" t="str">
        <x:v>Concluído</x:v>
      </x:c>
      <x:c r="G1091" s="86" t="n">
        <x:v>9.2</x:v>
      </x:c>
      <x:c r="H1091" s="93" t="n">
        <x:v>713.95</x:v>
      </x:c>
    </x:row>
    <x:row r="1092">
      <x:c r="A1092" s="85" t="n">
        <x:v>1091</x:v>
      </x:c>
      <x:c r="B1092" s="86" t="n">
        <x:v>255</x:v>
      </x:c>
      <x:c r="C1092" s="86" t="n">
        <x:v>2</x:v>
      </x:c>
      <x:c r="D1092" s="95" t="n">
        <x:v>45308</x:v>
      </x:c>
      <x:c r="E1092" s="95"/>
      <x:c r="F1092" s="86" t="str">
        <x:v>Em andamento</x:v>
      </x:c>
      <x:c r="G1092" s="86"/>
      <x:c r="H1092" s="93" t="n">
        <x:v>791.19</x:v>
      </x:c>
    </x:row>
    <x:row r="1093">
      <x:c r="A1093" s="85" t="n">
        <x:v>1092</x:v>
      </x:c>
      <x:c r="B1093" s="86" t="n">
        <x:v>411</x:v>
      </x:c>
      <x:c r="C1093" s="86" t="n">
        <x:v>10</x:v>
      </x:c>
      <x:c r="D1093" s="95" t="n">
        <x:v>45767</x:v>
      </x:c>
      <x:c r="E1093" s="95" t="n">
        <x:v>45769</x:v>
      </x:c>
      <x:c r="F1093" s="86" t="str">
        <x:v>Concluído</x:v>
      </x:c>
      <x:c r="G1093" s="86" t="n">
        <x:v>8</x:v>
      </x:c>
      <x:c r="H1093" s="93" t="n">
        <x:v>441.88</x:v>
      </x:c>
    </x:row>
    <x:row r="1094">
      <x:c r="A1094" s="85" t="n">
        <x:v>1093</x:v>
      </x:c>
      <x:c r="B1094" s="86" t="n">
        <x:v>407</x:v>
      </x:c>
      <x:c r="C1094" s="86" t="n">
        <x:v>5</x:v>
      </x:c>
      <x:c r="D1094" s="95" t="n">
        <x:v>45764</x:v>
      </x:c>
      <x:c r="E1094" s="95" t="n">
        <x:v>45781</x:v>
      </x:c>
      <x:c r="F1094" s="86" t="str">
        <x:v>Concluído</x:v>
      </x:c>
      <x:c r="G1094" s="86" t="n">
        <x:v>8.4</x:v>
      </x:c>
      <x:c r="H1094" s="93" t="n">
        <x:v>617.17</x:v>
      </x:c>
    </x:row>
    <x:row r="1095">
      <x:c r="A1095" s="85" t="n">
        <x:v>1094</x:v>
      </x:c>
      <x:c r="B1095" s="86" t="n">
        <x:v>103</x:v>
      </x:c>
      <x:c r="C1095" s="86" t="n">
        <x:v>4</x:v>
      </x:c>
      <x:c r="D1095" s="95" t="n">
        <x:v>45958</x:v>
      </x:c>
      <x:c r="E1095" s="95" t="n">
        <x:v>45977</x:v>
      </x:c>
      <x:c r="F1095" s="86" t="str">
        <x:v>Concluído</x:v>
      </x:c>
      <x:c r="G1095" s="86" t="n">
        <x:v>7.1</x:v>
      </x:c>
      <x:c r="H1095" s="93" t="n">
        <x:v>525.28</x:v>
      </x:c>
    </x:row>
    <x:row r="1096">
      <x:c r="A1096" s="85" t="n">
        <x:v>1095</x:v>
      </x:c>
      <x:c r="B1096" s="86" t="n">
        <x:v>126</x:v>
      </x:c>
      <x:c r="C1096" s="86" t="n">
        <x:v>5</x:v>
      </x:c>
      <x:c r="D1096" s="95" t="n">
        <x:v>45884</x:v>
      </x:c>
      <x:c r="E1096" s="95" t="n">
        <x:v>45888</x:v>
      </x:c>
      <x:c r="F1096" s="86" t="str">
        <x:v>Concluído</x:v>
      </x:c>
      <x:c r="G1096" s="86" t="n">
        <x:v>10</x:v>
      </x:c>
      <x:c r="H1096" s="93" t="n">
        <x:v>534.79</x:v>
      </x:c>
    </x:row>
    <x:row r="1097">
      <x:c r="A1097" s="85" t="n">
        <x:v>1096</x:v>
      </x:c>
      <x:c r="B1097" s="86" t="n">
        <x:v>304</x:v>
      </x:c>
      <x:c r="C1097" s="86" t="n">
        <x:v>1</x:v>
      </x:c>
      <x:c r="D1097" s="95" t="n">
        <x:v>45634</x:v>
      </x:c>
      <x:c r="E1097" s="95" t="n">
        <x:v>45651</x:v>
      </x:c>
      <x:c r="F1097" s="86" t="str">
        <x:v>Concluído</x:v>
      </x:c>
      <x:c r="G1097" s="86" t="n">
        <x:v>8.6</x:v>
      </x:c>
      <x:c r="H1097" s="93" t="n">
        <x:v>603.23</x:v>
      </x:c>
    </x:row>
    <x:row r="1098">
      <x:c r="A1098" s="85" t="n">
        <x:v>1097</x:v>
      </x:c>
      <x:c r="B1098" s="86" t="n">
        <x:v>172</x:v>
      </x:c>
      <x:c r="C1098" s="86" t="n">
        <x:v>4</x:v>
      </x:c>
      <x:c r="D1098" s="95" t="n">
        <x:v>45817</x:v>
      </x:c>
      <x:c r="E1098" s="95" t="n">
        <x:v>45835</x:v>
      </x:c>
      <x:c r="F1098" s="86" t="str">
        <x:v>Concluído</x:v>
      </x:c>
      <x:c r="G1098" s="86" t="n">
        <x:v>7.1</x:v>
      </x:c>
      <x:c r="H1098" s="93" t="n">
        <x:v>753.59</x:v>
      </x:c>
    </x:row>
    <x:row r="1099">
      <x:c r="A1099" s="85" t="n">
        <x:v>1098</x:v>
      </x:c>
      <x:c r="B1099" s="86" t="n">
        <x:v>192</x:v>
      </x:c>
      <x:c r="C1099" s="86" t="n">
        <x:v>4</x:v>
      </x:c>
      <x:c r="D1099" s="95" t="n">
        <x:v>45920</x:v>
      </x:c>
      <x:c r="E1099" s="95" t="n">
        <x:v>45934</x:v>
      </x:c>
      <x:c r="F1099" s="86" t="str">
        <x:v>Concluído</x:v>
      </x:c>
      <x:c r="G1099" s="86" t="n">
        <x:v>9.6</x:v>
      </x:c>
      <x:c r="H1099" s="93" t="n">
        <x:v>653.33</x:v>
      </x:c>
    </x:row>
    <x:row r="1100">
      <x:c r="A1100" s="85" t="n">
        <x:v>1099</x:v>
      </x:c>
      <x:c r="B1100" s="86" t="n">
        <x:v>30</x:v>
      </x:c>
      <x:c r="C1100" s="86" t="n">
        <x:v>4</x:v>
      </x:c>
      <x:c r="D1100" s="95" t="n">
        <x:v>45678</x:v>
      </x:c>
      <x:c r="E1100" s="95" t="n">
        <x:v>45694</x:v>
      </x:c>
      <x:c r="F1100" s="86" t="str">
        <x:v>Concluído</x:v>
      </x:c>
      <x:c r="G1100" s="86" t="n">
        <x:v>9.4</x:v>
      </x:c>
      <x:c r="H1100" s="93" t="n">
        <x:v>491.61</x:v>
      </x:c>
    </x:row>
    <x:row r="1101">
      <x:c r="A1101" s="85" t="n">
        <x:v>1100</x:v>
      </x:c>
      <x:c r="B1101" s="86" t="n">
        <x:v>293</x:v>
      </x:c>
      <x:c r="C1101" s="86" t="n">
        <x:v>6</x:v>
      </x:c>
      <x:c r="D1101" s="95" t="n">
        <x:v>45718</x:v>
      </x:c>
      <x:c r="E1101" s="95" t="n">
        <x:v>45725</x:v>
      </x:c>
      <x:c r="F1101" s="86" t="str">
        <x:v>Concluído</x:v>
      </x:c>
      <x:c r="G1101" s="86" t="n">
        <x:v>9</x:v>
      </x:c>
      <x:c r="H1101" s="93" t="n">
        <x:v>785.08</x:v>
      </x:c>
    </x:row>
    <x:row r="1102">
      <x:c r="A1102" s="85" t="n">
        <x:v>1101</x:v>
      </x:c>
      <x:c r="B1102" s="86" t="n">
        <x:v>207</x:v>
      </x:c>
      <x:c r="C1102" s="86" t="n">
        <x:v>7</x:v>
      </x:c>
      <x:c r="D1102" s="95" t="n">
        <x:v>45982</x:v>
      </x:c>
      <x:c r="E1102" s="95" t="n">
        <x:v>45988</x:v>
      </x:c>
      <x:c r="F1102" s="86" t="str">
        <x:v>Concluído</x:v>
      </x:c>
      <x:c r="G1102" s="86" t="n">
        <x:v>9.6</x:v>
      </x:c>
      <x:c r="H1102" s="93" t="n">
        <x:v>559.68</x:v>
      </x:c>
    </x:row>
    <x:row r="1103">
      <x:c r="A1103" s="85" t="n">
        <x:v>1102</x:v>
      </x:c>
      <x:c r="B1103" s="86" t="n">
        <x:v>286</x:v>
      </x:c>
      <x:c r="C1103" s="86" t="n">
        <x:v>8</x:v>
      </x:c>
      <x:c r="D1103" s="95" t="n">
        <x:v>45847</x:v>
      </x:c>
      <x:c r="E1103" s="95" t="n">
        <x:v>45866</x:v>
      </x:c>
      <x:c r="F1103" s="86" t="str">
        <x:v>Concluído</x:v>
      </x:c>
      <x:c r="G1103" s="86" t="n">
        <x:v>9.6</x:v>
      </x:c>
      <x:c r="H1103" s="93" t="n">
        <x:v>827.21</x:v>
      </x:c>
    </x:row>
    <x:row r="1104">
      <x:c r="A1104" s="85" t="n">
        <x:v>1103</x:v>
      </x:c>
      <x:c r="B1104" s="86" t="n">
        <x:v>309</x:v>
      </x:c>
      <x:c r="C1104" s="86" t="n">
        <x:v>10</x:v>
      </x:c>
      <x:c r="D1104" s="95" t="n">
        <x:v>45837</x:v>
      </x:c>
      <x:c r="E1104" s="95" t="n">
        <x:v>45849</x:v>
      </x:c>
      <x:c r="F1104" s="86" t="str">
        <x:v>Concluído</x:v>
      </x:c>
      <x:c r="G1104" s="86" t="n">
        <x:v>6.8</x:v>
      </x:c>
      <x:c r="H1104" s="93" t="n">
        <x:v>217.5</x:v>
      </x:c>
    </x:row>
    <x:row r="1105">
      <x:c r="A1105" s="85" t="n">
        <x:v>1104</x:v>
      </x:c>
      <x:c r="B1105" s="86" t="n">
        <x:v>7</x:v>
      </x:c>
      <x:c r="C1105" s="86" t="n">
        <x:v>4</x:v>
      </x:c>
      <x:c r="D1105" s="95" t="n">
        <x:v>45970</x:v>
      </x:c>
      <x:c r="E1105" s="95" t="n">
        <x:v>45972</x:v>
      </x:c>
      <x:c r="F1105" s="86" t="str">
        <x:v>Concluído</x:v>
      </x:c>
      <x:c r="G1105" s="86" t="n">
        <x:v>6.6</x:v>
      </x:c>
      <x:c r="H1105" s="93" t="n">
        <x:v>509.95</x:v>
      </x:c>
    </x:row>
    <x:row r="1106">
      <x:c r="A1106" s="85" t="n">
        <x:v>1105</x:v>
      </x:c>
      <x:c r="B1106" s="86" t="n">
        <x:v>138</x:v>
      </x:c>
      <x:c r="C1106" s="86" t="n">
        <x:v>5</x:v>
      </x:c>
      <x:c r="D1106" s="95" t="n">
        <x:v>45520</x:v>
      </x:c>
      <x:c r="E1106" s="95" t="n">
        <x:v>45534</x:v>
      </x:c>
      <x:c r="F1106" s="86" t="str">
        <x:v>Reprovado</x:v>
      </x:c>
      <x:c r="G1106" s="86" t="n">
        <x:v>7.7</x:v>
      </x:c>
      <x:c r="H1106" s="93" t="n">
        <x:v>137.52</x:v>
      </x:c>
    </x:row>
    <x:row r="1107">
      <x:c r="A1107" s="85" t="n">
        <x:v>1106</x:v>
      </x:c>
      <x:c r="B1107" s="86" t="n">
        <x:v>379</x:v>
      </x:c>
      <x:c r="C1107" s="86" t="n">
        <x:v>6</x:v>
      </x:c>
      <x:c r="D1107" s="95" t="n">
        <x:v>45717</x:v>
      </x:c>
      <x:c r="E1107" s="95" t="n">
        <x:v>45717</x:v>
      </x:c>
      <x:c r="F1107" s="86" t="str">
        <x:v>Concluído</x:v>
      </x:c>
      <x:c r="G1107" s="86" t="n">
        <x:v>6.5</x:v>
      </x:c>
      <x:c r="H1107" s="93" t="n">
        <x:v>230.87</x:v>
      </x:c>
    </x:row>
    <x:row r="1108">
      <x:c r="A1108" s="85" t="n">
        <x:v>1107</x:v>
      </x:c>
      <x:c r="B1108" s="86" t="n">
        <x:v>400</x:v>
      </x:c>
      <x:c r="C1108" s="86" t="n">
        <x:v>9</x:v>
      </x:c>
      <x:c r="D1108" s="95" t="n">
        <x:v>45522</x:v>
      </x:c>
      <x:c r="E1108" s="95" t="n">
        <x:v>45524</x:v>
      </x:c>
      <x:c r="F1108" s="86" t="str">
        <x:v>Concluído</x:v>
      </x:c>
      <x:c r="G1108" s="86" t="n">
        <x:v>6.3</x:v>
      </x:c>
      <x:c r="H1108" s="93" t="n">
        <x:v>89.79</x:v>
      </x:c>
    </x:row>
    <x:row r="1109">
      <x:c r="A1109" s="85" t="n">
        <x:v>1108</x:v>
      </x:c>
      <x:c r="B1109" s="86" t="n">
        <x:v>54</x:v>
      </x:c>
      <x:c r="C1109" s="86" t="n">
        <x:v>7</x:v>
      </x:c>
      <x:c r="D1109" s="95" t="n">
        <x:v>45683</x:v>
      </x:c>
      <x:c r="E1109" s="95" t="n">
        <x:v>45699</x:v>
      </x:c>
      <x:c r="F1109" s="86" t="str">
        <x:v>Concluído</x:v>
      </x:c>
      <x:c r="G1109" s="86" t="n">
        <x:v>5.2</x:v>
      </x:c>
      <x:c r="H1109" s="93" t="n">
        <x:v>580.11</x:v>
      </x:c>
    </x:row>
    <x:row r="1110">
      <x:c r="A1110" s="85" t="n">
        <x:v>1109</x:v>
      </x:c>
      <x:c r="B1110" s="86" t="n">
        <x:v>153</x:v>
      </x:c>
      <x:c r="C1110" s="86" t="n">
        <x:v>3</x:v>
      </x:c>
      <x:c r="D1110" s="95" t="n">
        <x:v>45823</x:v>
      </x:c>
      <x:c r="E1110" s="95" t="n">
        <x:v>45826</x:v>
      </x:c>
      <x:c r="F1110" s="86" t="str">
        <x:v>Concluído</x:v>
      </x:c>
      <x:c r="G1110" s="86" t="n">
        <x:v>6</x:v>
      </x:c>
      <x:c r="H1110" s="93" t="n">
        <x:v>607.15</x:v>
      </x:c>
    </x:row>
    <x:row r="1111">
      <x:c r="A1111" s="85" t="n">
        <x:v>1110</x:v>
      </x:c>
      <x:c r="B1111" s="86" t="n">
        <x:v>293</x:v>
      </x:c>
      <x:c r="C1111" s="86" t="n">
        <x:v>2</x:v>
      </x:c>
      <x:c r="D1111" s="95" t="n">
        <x:v>45376</x:v>
      </x:c>
      <x:c r="E1111" s="95"/>
      <x:c r="F1111" s="86" t="str">
        <x:v>Em andamento</x:v>
      </x:c>
      <x:c r="G1111" s="86"/>
      <x:c r="H1111" s="93" t="n">
        <x:v>95.74</x:v>
      </x:c>
    </x:row>
    <x:row r="1112">
      <x:c r="A1112" s="85" t="n">
        <x:v>1111</x:v>
      </x:c>
      <x:c r="B1112" s="86" t="n">
        <x:v>63</x:v>
      </x:c>
      <x:c r="C1112" s="86" t="n">
        <x:v>2</x:v>
      </x:c>
      <x:c r="D1112" s="95" t="n">
        <x:v>45788</x:v>
      </x:c>
      <x:c r="E1112" s="95" t="n">
        <x:v>45798</x:v>
      </x:c>
      <x:c r="F1112" s="86" t="str">
        <x:v>Concluído</x:v>
      </x:c>
      <x:c r="G1112" s="86" t="n">
        <x:v>8.5</x:v>
      </x:c>
      <x:c r="H1112" s="93" t="n">
        <x:v>393.02</x:v>
      </x:c>
    </x:row>
    <x:row r="1113">
      <x:c r="A1113" s="85" t="n">
        <x:v>1112</x:v>
      </x:c>
      <x:c r="B1113" s="86" t="n">
        <x:v>354</x:v>
      </x:c>
      <x:c r="C1113" s="86" t="n">
        <x:v>7</x:v>
      </x:c>
      <x:c r="D1113" s="95" t="n">
        <x:v>45586</x:v>
      </x:c>
      <x:c r="E1113" s="95" t="n">
        <x:v>45596</x:v>
      </x:c>
      <x:c r="F1113" s="86" t="str">
        <x:v>Concluído</x:v>
      </x:c>
      <x:c r="G1113" s="86" t="n">
        <x:v>5.1</x:v>
      </x:c>
      <x:c r="H1113" s="93" t="n">
        <x:v>89.76</x:v>
      </x:c>
    </x:row>
    <x:row r="1114">
      <x:c r="A1114" s="85" t="n">
        <x:v>1113</x:v>
      </x:c>
      <x:c r="B1114" s="86" t="n">
        <x:v>76</x:v>
      </x:c>
      <x:c r="C1114" s="86" t="n">
        <x:v>9</x:v>
      </x:c>
      <x:c r="D1114" s="95" t="n">
        <x:v>45775</x:v>
      </x:c>
      <x:c r="E1114" s="95"/>
      <x:c r="F1114" s="86" t="str">
        <x:v>Não iniciado</x:v>
      </x:c>
      <x:c r="G1114" s="86"/>
      <x:c r="H1114" s="93" t="n">
        <x:v>246.97</x:v>
      </x:c>
    </x:row>
    <x:row r="1115">
      <x:c r="A1115" s="85" t="n">
        <x:v>1114</x:v>
      </x:c>
      <x:c r="B1115" s="86" t="n">
        <x:v>53</x:v>
      </x:c>
      <x:c r="C1115" s="86" t="n">
        <x:v>4</x:v>
      </x:c>
      <x:c r="D1115" s="95" t="n">
        <x:v>45983</x:v>
      </x:c>
      <x:c r="E1115" s="95"/>
      <x:c r="F1115" s="86" t="str">
        <x:v>Não iniciado</x:v>
      </x:c>
      <x:c r="G1115" s="86"/>
      <x:c r="H1115" s="93" t="n">
        <x:v>558.88</x:v>
      </x:c>
    </x:row>
    <x:row r="1116">
      <x:c r="A1116" s="85" t="n">
        <x:v>1115</x:v>
      </x:c>
      <x:c r="B1116" s="86" t="n">
        <x:v>91</x:v>
      </x:c>
      <x:c r="C1116" s="86" t="n">
        <x:v>1</x:v>
      </x:c>
      <x:c r="D1116" s="95" t="n">
        <x:v>45863</x:v>
      </x:c>
      <x:c r="E1116" s="95" t="n">
        <x:v>45865</x:v>
      </x:c>
      <x:c r="F1116" s="86" t="str">
        <x:v>Concluído</x:v>
      </x:c>
      <x:c r="G1116" s="86" t="n">
        <x:v>8.6</x:v>
      </x:c>
      <x:c r="H1116" s="93" t="n">
        <x:v>382.6</x:v>
      </x:c>
    </x:row>
    <x:row r="1117">
      <x:c r="A1117" s="85" t="n">
        <x:v>1116</x:v>
      </x:c>
      <x:c r="B1117" s="86" t="n">
        <x:v>64</x:v>
      </x:c>
      <x:c r="C1117" s="86" t="n">
        <x:v>5</x:v>
      </x:c>
      <x:c r="D1117" s="95" t="n">
        <x:v>45794</x:v>
      </x:c>
      <x:c r="E1117" s="95" t="n">
        <x:v>45803</x:v>
      </x:c>
      <x:c r="F1117" s="86" t="str">
        <x:v>Concluído</x:v>
      </x:c>
      <x:c r="G1117" s="86" t="n">
        <x:v>5.6</x:v>
      </x:c>
      <x:c r="H1117" s="93" t="n">
        <x:v>374.78</x:v>
      </x:c>
    </x:row>
    <x:row r="1118">
      <x:c r="A1118" s="85" t="n">
        <x:v>1117</x:v>
      </x:c>
      <x:c r="B1118" s="86" t="n">
        <x:v>141</x:v>
      </x:c>
      <x:c r="C1118" s="86" t="n">
        <x:v>8</x:v>
      </x:c>
      <x:c r="D1118" s="95" t="n">
        <x:v>45862</x:v>
      </x:c>
      <x:c r="E1118" s="95" t="n">
        <x:v>45876</x:v>
      </x:c>
      <x:c r="F1118" s="86" t="str">
        <x:v>Concluído</x:v>
      </x:c>
      <x:c r="G1118" s="86" t="n">
        <x:v>5.1</x:v>
      </x:c>
      <x:c r="H1118" s="93" t="n">
        <x:v>230.43</x:v>
      </x:c>
    </x:row>
    <x:row r="1119">
      <x:c r="A1119" s="85" t="n">
        <x:v>1118</x:v>
      </x:c>
      <x:c r="B1119" s="86" t="n">
        <x:v>207</x:v>
      </x:c>
      <x:c r="C1119" s="86" t="n">
        <x:v>5</x:v>
      </x:c>
      <x:c r="D1119" s="95" t="n">
        <x:v>45683</x:v>
      </x:c>
      <x:c r="E1119" s="95" t="n">
        <x:v>45684</x:v>
      </x:c>
      <x:c r="F1119" s="86" t="str">
        <x:v>Concluído</x:v>
      </x:c>
      <x:c r="G1119" s="86" t="n">
        <x:v>5.2</x:v>
      </x:c>
      <x:c r="H1119" s="93" t="n">
        <x:v>217.66</x:v>
      </x:c>
    </x:row>
    <x:row r="1120">
      <x:c r="A1120" s="85" t="n">
        <x:v>1119</x:v>
      </x:c>
      <x:c r="B1120" s="86" t="n">
        <x:v>382</x:v>
      </x:c>
      <x:c r="C1120" s="86" t="n">
        <x:v>6</x:v>
      </x:c>
      <x:c r="D1120" s="95" t="n">
        <x:v>45959</x:v>
      </x:c>
      <x:c r="E1120" s="95" t="n">
        <x:v>45977</x:v>
      </x:c>
      <x:c r="F1120" s="86" t="str">
        <x:v>Concluído</x:v>
      </x:c>
      <x:c r="G1120" s="86" t="n">
        <x:v>8.9</x:v>
      </x:c>
      <x:c r="H1120" s="93" t="n">
        <x:v>425.04</x:v>
      </x:c>
    </x:row>
    <x:row r="1121">
      <x:c r="A1121" s="85" t="n">
        <x:v>1120</x:v>
      </x:c>
      <x:c r="B1121" s="86" t="n">
        <x:v>138</x:v>
      </x:c>
      <x:c r="C1121" s="86" t="n">
        <x:v>1</x:v>
      </x:c>
      <x:c r="D1121" s="95" t="n">
        <x:v>45668</x:v>
      </x:c>
      <x:c r="E1121" s="95" t="n">
        <x:v>45684</x:v>
      </x:c>
      <x:c r="F1121" s="86" t="str">
        <x:v>Concluído</x:v>
      </x:c>
      <x:c r="G1121" s="86" t="n">
        <x:v>7.1</x:v>
      </x:c>
      <x:c r="H1121" s="93" t="n">
        <x:v>282.65</x:v>
      </x:c>
    </x:row>
    <x:row r="1122">
      <x:c r="A1122" s="85" t="n">
        <x:v>1121</x:v>
      </x:c>
      <x:c r="B1122" s="86" t="n">
        <x:v>98</x:v>
      </x:c>
      <x:c r="C1122" s="86" t="n">
        <x:v>10</x:v>
      </x:c>
      <x:c r="D1122" s="95" t="n">
        <x:v>45809</x:v>
      </x:c>
      <x:c r="E1122" s="95"/>
      <x:c r="F1122" s="86" t="str">
        <x:v>Não iniciado</x:v>
      </x:c>
      <x:c r="G1122" s="86"/>
      <x:c r="H1122" s="93" t="n">
        <x:v>765.12</x:v>
      </x:c>
    </x:row>
    <x:row r="1123">
      <x:c r="A1123" s="85" t="n">
        <x:v>1122</x:v>
      </x:c>
      <x:c r="B1123" s="86" t="n">
        <x:v>163</x:v>
      </x:c>
      <x:c r="C1123" s="86" t="n">
        <x:v>7</x:v>
      </x:c>
      <x:c r="D1123" s="95" t="n">
        <x:v>45774</x:v>
      </x:c>
      <x:c r="E1123" s="95" t="n">
        <x:v>45788</x:v>
      </x:c>
      <x:c r="F1123" s="86" t="str">
        <x:v>Concluído</x:v>
      </x:c>
      <x:c r="G1123" s="86" t="n">
        <x:v>7.3</x:v>
      </x:c>
      <x:c r="H1123" s="93" t="n">
        <x:v>741.05</x:v>
      </x:c>
    </x:row>
    <x:row r="1124">
      <x:c r="A1124" s="85" t="n">
        <x:v>1123</x:v>
      </x:c>
      <x:c r="B1124" s="86" t="n">
        <x:v>15</x:v>
      </x:c>
      <x:c r="C1124" s="86" t="n">
        <x:v>10</x:v>
      </x:c>
      <x:c r="D1124" s="95" t="n">
        <x:v>45665</x:v>
      </x:c>
      <x:c r="E1124" s="95" t="n">
        <x:v>45679</x:v>
      </x:c>
      <x:c r="F1124" s="86" t="str">
        <x:v>Concluído</x:v>
      </x:c>
      <x:c r="G1124" s="86" t="n">
        <x:v>8.3</x:v>
      </x:c>
      <x:c r="H1124" s="93" t="n">
        <x:v>444.81</x:v>
      </x:c>
    </x:row>
    <x:row r="1125">
      <x:c r="A1125" s="85" t="n">
        <x:v>1124</x:v>
      </x:c>
      <x:c r="B1125" s="86" t="n">
        <x:v>123</x:v>
      </x:c>
      <x:c r="C1125" s="86" t="n">
        <x:v>9</x:v>
      </x:c>
      <x:c r="D1125" s="95" t="n">
        <x:v>45318</x:v>
      </x:c>
      <x:c r="E1125" s="95" t="n">
        <x:v>45332</x:v>
      </x:c>
      <x:c r="F1125" s="86" t="str">
        <x:v>Concluído</x:v>
      </x:c>
      <x:c r="G1125" s="86" t="n">
        <x:v>9.3</x:v>
      </x:c>
      <x:c r="H1125" s="93" t="n">
        <x:v>538.47</x:v>
      </x:c>
    </x:row>
    <x:row r="1126">
      <x:c r="A1126" s="85" t="n">
        <x:v>1125</x:v>
      </x:c>
      <x:c r="B1126" s="86" t="n">
        <x:v>263</x:v>
      </x:c>
      <x:c r="C1126" s="86" t="n">
        <x:v>3</x:v>
      </x:c>
      <x:c r="D1126" s="95" t="n">
        <x:v>45653</x:v>
      </x:c>
      <x:c r="E1126" s="95" t="n">
        <x:v>45663</x:v>
      </x:c>
      <x:c r="F1126" s="86" t="str">
        <x:v>Concluído</x:v>
      </x:c>
      <x:c r="G1126" s="86" t="n">
        <x:v>9.4</x:v>
      </x:c>
      <x:c r="H1126" s="93" t="n">
        <x:v>596.43</x:v>
      </x:c>
    </x:row>
    <x:row r="1127">
      <x:c r="A1127" s="85" t="n">
        <x:v>1126</x:v>
      </x:c>
      <x:c r="B1127" s="86" t="n">
        <x:v>155</x:v>
      </x:c>
      <x:c r="C1127" s="86" t="n">
        <x:v>2</x:v>
      </x:c>
      <x:c r="D1127" s="95" t="n">
        <x:v>45810</x:v>
      </x:c>
      <x:c r="E1127" s="95" t="n">
        <x:v>45813</x:v>
      </x:c>
      <x:c r="F1127" s="86" t="str">
        <x:v>Concluído</x:v>
      </x:c>
      <x:c r="G1127" s="86" t="n">
        <x:v>7.6</x:v>
      </x:c>
      <x:c r="H1127" s="93" t="n">
        <x:v>261.79</x:v>
      </x:c>
    </x:row>
    <x:row r="1128">
      <x:c r="A1128" s="85" t="n">
        <x:v>1127</x:v>
      </x:c>
      <x:c r="B1128" s="86" t="n">
        <x:v>307</x:v>
      </x:c>
      <x:c r="C1128" s="86" t="n">
        <x:v>1</x:v>
      </x:c>
      <x:c r="D1128" s="95" t="n">
        <x:v>45400</x:v>
      </x:c>
      <x:c r="E1128" s="95" t="n">
        <x:v>45402</x:v>
      </x:c>
      <x:c r="F1128" s="86" t="str">
        <x:v>Concluído</x:v>
      </x:c>
      <x:c r="G1128" s="86" t="n">
        <x:v>6.6</x:v>
      </x:c>
      <x:c r="H1128" s="93" t="n">
        <x:v>314.56</x:v>
      </x:c>
    </x:row>
    <x:row r="1129">
      <x:c r="A1129" s="85" t="n">
        <x:v>1128</x:v>
      </x:c>
      <x:c r="B1129" s="86" t="n">
        <x:v>287</x:v>
      </x:c>
      <x:c r="C1129" s="86" t="n">
        <x:v>4</x:v>
      </x:c>
      <x:c r="D1129" s="95" t="n">
        <x:v>45738</x:v>
      </x:c>
      <x:c r="E1129" s="95" t="n">
        <x:v>45747</x:v>
      </x:c>
      <x:c r="F1129" s="86" t="str">
        <x:v>Concluído</x:v>
      </x:c>
      <x:c r="G1129" s="86" t="n">
        <x:v>5.7</x:v>
      </x:c>
      <x:c r="H1129" s="93" t="n">
        <x:v>114.4</x:v>
      </x:c>
    </x:row>
    <x:row r="1130">
      <x:c r="A1130" s="85" t="n">
        <x:v>1129</x:v>
      </x:c>
      <x:c r="B1130" s="86" t="n">
        <x:v>351</x:v>
      </x:c>
      <x:c r="C1130" s="86" t="n">
        <x:v>1</x:v>
      </x:c>
      <x:c r="D1130" s="95" t="n">
        <x:v>46021</x:v>
      </x:c>
      <x:c r="E1130" s="95" t="n">
        <x:v>46039</x:v>
      </x:c>
      <x:c r="F1130" s="86" t="str">
        <x:v>Reprovado</x:v>
      </x:c>
      <x:c r="G1130" s="86" t="n">
        <x:v>7.8</x:v>
      </x:c>
      <x:c r="H1130" s="93" t="n">
        <x:v>743.51</x:v>
      </x:c>
    </x:row>
    <x:row r="1131">
      <x:c r="A1131" s="85" t="n">
        <x:v>1130</x:v>
      </x:c>
      <x:c r="B1131" s="86" t="n">
        <x:v>178</x:v>
      </x:c>
      <x:c r="C1131" s="86" t="n">
        <x:v>1</x:v>
      </x:c>
      <x:c r="D1131" s="95" t="n">
        <x:v>45840</x:v>
      </x:c>
      <x:c r="E1131" s="95" t="n">
        <x:v>45860</x:v>
      </x:c>
      <x:c r="F1131" s="86" t="str">
        <x:v>Concluído</x:v>
      </x:c>
      <x:c r="G1131" s="86" t="n">
        <x:v>7</x:v>
      </x:c>
      <x:c r="H1131" s="93" t="n">
        <x:v>414.18</x:v>
      </x:c>
    </x:row>
    <x:row r="1132">
      <x:c r="A1132" s="85" t="n">
        <x:v>1131</x:v>
      </x:c>
      <x:c r="B1132" s="86" t="n">
        <x:v>267</x:v>
      </x:c>
      <x:c r="C1132" s="86" t="n">
        <x:v>9</x:v>
      </x:c>
      <x:c r="D1132" s="95" t="n">
        <x:v>45844</x:v>
      </x:c>
      <x:c r="E1132" s="95" t="n">
        <x:v>45850</x:v>
      </x:c>
      <x:c r="F1132" s="86" t="str">
        <x:v>Concluído</x:v>
      </x:c>
      <x:c r="G1132" s="86" t="n">
        <x:v>7</x:v>
      </x:c>
      <x:c r="H1132" s="93" t="n">
        <x:v>196.45</x:v>
      </x:c>
    </x:row>
    <x:row r="1133">
      <x:c r="A1133" s="85" t="n">
        <x:v>1132</x:v>
      </x:c>
      <x:c r="B1133" s="86" t="n">
        <x:v>237</x:v>
      </x:c>
      <x:c r="C1133" s="86" t="n">
        <x:v>9</x:v>
      </x:c>
      <x:c r="D1133" s="95" t="n">
        <x:v>45507</x:v>
      </x:c>
      <x:c r="E1133" s="95" t="n">
        <x:v>45509</x:v>
      </x:c>
      <x:c r="F1133" s="86" t="str">
        <x:v>Reprovado</x:v>
      </x:c>
      <x:c r="G1133" s="86" t="n">
        <x:v>9.2</x:v>
      </x:c>
      <x:c r="H1133" s="93" t="n">
        <x:v>574.99</x:v>
      </x:c>
    </x:row>
    <x:row r="1134">
      <x:c r="A1134" s="85" t="n">
        <x:v>1133</x:v>
      </x:c>
      <x:c r="B1134" s="86" t="n">
        <x:v>375</x:v>
      </x:c>
      <x:c r="C1134" s="86" t="n">
        <x:v>6</x:v>
      </x:c>
      <x:c r="D1134" s="95" t="n">
        <x:v>45418</x:v>
      </x:c>
      <x:c r="E1134" s="95" t="n">
        <x:v>45422</x:v>
      </x:c>
      <x:c r="F1134" s="86" t="str">
        <x:v>Concluído</x:v>
      </x:c>
      <x:c r="G1134" s="86" t="n">
        <x:v>6.9</x:v>
      </x:c>
      <x:c r="H1134" s="93" t="n">
        <x:v>439.19</x:v>
      </x:c>
    </x:row>
    <x:row r="1135">
      <x:c r="A1135" s="85" t="n">
        <x:v>1134</x:v>
      </x:c>
      <x:c r="B1135" s="86" t="n">
        <x:v>286</x:v>
      </x:c>
      <x:c r="C1135" s="86" t="n">
        <x:v>3</x:v>
      </x:c>
      <x:c r="D1135" s="95" t="n">
        <x:v>45924</x:v>
      </x:c>
      <x:c r="E1135" s="95" t="n">
        <x:v>45927</x:v>
      </x:c>
      <x:c r="F1135" s="86" t="str">
        <x:v>Reprovado</x:v>
      </x:c>
      <x:c r="G1135" s="86" t="n">
        <x:v>9.9</x:v>
      </x:c>
      <x:c r="H1135" s="93" t="n">
        <x:v>389.48</x:v>
      </x:c>
    </x:row>
    <x:row r="1136">
      <x:c r="A1136" s="85" t="n">
        <x:v>1135</x:v>
      </x:c>
      <x:c r="B1136" s="86" t="n">
        <x:v>357</x:v>
      </x:c>
      <x:c r="C1136" s="86" t="n">
        <x:v>4</x:v>
      </x:c>
      <x:c r="D1136" s="95" t="n">
        <x:v>45955</x:v>
      </x:c>
      <x:c r="E1136" s="95" t="n">
        <x:v>45959</x:v>
      </x:c>
      <x:c r="F1136" s="86" t="str">
        <x:v>Concluído</x:v>
      </x:c>
      <x:c r="G1136" s="86" t="n">
        <x:v>8.8</x:v>
      </x:c>
      <x:c r="H1136" s="93" t="n">
        <x:v>294.45</x:v>
      </x:c>
    </x:row>
    <x:row r="1137">
      <x:c r="A1137" s="85" t="n">
        <x:v>1136</x:v>
      </x:c>
      <x:c r="B1137" s="86" t="n">
        <x:v>381</x:v>
      </x:c>
      <x:c r="C1137" s="86" t="n">
        <x:v>10</x:v>
      </x:c>
      <x:c r="D1137" s="95" t="n">
        <x:v>45857</x:v>
      </x:c>
      <x:c r="E1137" s="95" t="n">
        <x:v>45875</x:v>
      </x:c>
      <x:c r="F1137" s="86" t="str">
        <x:v>Concluído</x:v>
      </x:c>
      <x:c r="G1137" s="86" t="n">
        <x:v>8.1</x:v>
      </x:c>
      <x:c r="H1137" s="93" t="n">
        <x:v>649.65</x:v>
      </x:c>
    </x:row>
    <x:row r="1138">
      <x:c r="A1138" s="85" t="n">
        <x:v>1137</x:v>
      </x:c>
      <x:c r="B1138" s="86" t="n">
        <x:v>199</x:v>
      </x:c>
      <x:c r="C1138" s="86" t="n">
        <x:v>9</x:v>
      </x:c>
      <x:c r="D1138" s="95" t="n">
        <x:v>45685</x:v>
      </x:c>
      <x:c r="E1138" s="95" t="n">
        <x:v>45691</x:v>
      </x:c>
      <x:c r="F1138" s="86" t="str">
        <x:v>Concluído</x:v>
      </x:c>
      <x:c r="G1138" s="86" t="n">
        <x:v>8.5</x:v>
      </x:c>
      <x:c r="H1138" s="93" t="n">
        <x:v>481.07</x:v>
      </x:c>
    </x:row>
    <x:row r="1139">
      <x:c r="A1139" s="85" t="n">
        <x:v>1138</x:v>
      </x:c>
      <x:c r="B1139" s="86" t="n">
        <x:v>268</x:v>
      </x:c>
      <x:c r="C1139" s="86" t="n">
        <x:v>6</x:v>
      </x:c>
      <x:c r="D1139" s="95" t="n">
        <x:v>45996</x:v>
      </x:c>
      <x:c r="E1139" s="95" t="n">
        <x:v>45998</x:v>
      </x:c>
      <x:c r="F1139" s="86" t="str">
        <x:v>Concluído</x:v>
      </x:c>
      <x:c r="G1139" s="86" t="n">
        <x:v>9.6</x:v>
      </x:c>
      <x:c r="H1139" s="93" t="n">
        <x:v>132.16</x:v>
      </x:c>
    </x:row>
    <x:row r="1140">
      <x:c r="A1140" s="85" t="n">
        <x:v>1139</x:v>
      </x:c>
      <x:c r="B1140" s="86" t="n">
        <x:v>185</x:v>
      </x:c>
      <x:c r="C1140" s="86" t="n">
        <x:v>3</x:v>
      </x:c>
      <x:c r="D1140" s="95" t="n">
        <x:v>45599</x:v>
      </x:c>
      <x:c r="E1140" s="95" t="n">
        <x:v>45612</x:v>
      </x:c>
      <x:c r="F1140" s="86" t="str">
        <x:v>Concluído</x:v>
      </x:c>
      <x:c r="G1140" s="86" t="n">
        <x:v>8</x:v>
      </x:c>
      <x:c r="H1140" s="93" t="n">
        <x:v>651.33</x:v>
      </x:c>
    </x:row>
    <x:row r="1141">
      <x:c r="A1141" s="85" t="n">
        <x:v>1140</x:v>
      </x:c>
      <x:c r="B1141" s="86" t="n">
        <x:v>213</x:v>
      </x:c>
      <x:c r="C1141" s="86" t="n">
        <x:v>4</x:v>
      </x:c>
      <x:c r="D1141" s="95" t="n">
        <x:v>45984</x:v>
      </x:c>
      <x:c r="E1141" s="95"/>
      <x:c r="F1141" s="86" t="str">
        <x:v>Em andamento</x:v>
      </x:c>
      <x:c r="G1141" s="86"/>
      <x:c r="H1141" s="93" t="n">
        <x:v>467.71</x:v>
      </x:c>
    </x:row>
    <x:row r="1142">
      <x:c r="A1142" s="85" t="n">
        <x:v>1141</x:v>
      </x:c>
      <x:c r="B1142" s="86" t="n">
        <x:v>277</x:v>
      </x:c>
      <x:c r="C1142" s="86" t="n">
        <x:v>9</x:v>
      </x:c>
      <x:c r="D1142" s="95" t="n">
        <x:v>45640</x:v>
      </x:c>
      <x:c r="E1142" s="95" t="n">
        <x:v>45657</x:v>
      </x:c>
      <x:c r="F1142" s="86" t="str">
        <x:v>Concluído</x:v>
      </x:c>
      <x:c r="G1142" s="86" t="n">
        <x:v>8.8</x:v>
      </x:c>
      <x:c r="H1142" s="93" t="n">
        <x:v>720.06</x:v>
      </x:c>
    </x:row>
    <x:row r="1143">
      <x:c r="A1143" s="85" t="n">
        <x:v>1142</x:v>
      </x:c>
      <x:c r="B1143" s="86" t="n">
        <x:v>143</x:v>
      </x:c>
      <x:c r="C1143" s="86" t="n">
        <x:v>5</x:v>
      </x:c>
      <x:c r="D1143" s="95" t="n">
        <x:v>45906</x:v>
      </x:c>
      <x:c r="E1143" s="95" t="n">
        <x:v>45914</x:v>
      </x:c>
      <x:c r="F1143" s="86" t="str">
        <x:v>Reprovado</x:v>
      </x:c>
      <x:c r="G1143" s="86" t="n">
        <x:v>8.3</x:v>
      </x:c>
      <x:c r="H1143" s="93" t="n">
        <x:v>308.67</x:v>
      </x:c>
    </x:row>
    <x:row r="1144">
      <x:c r="A1144" s="85" t="n">
        <x:v>1143</x:v>
      </x:c>
      <x:c r="B1144" s="86" t="n">
        <x:v>221</x:v>
      </x:c>
      <x:c r="C1144" s="86" t="n">
        <x:v>6</x:v>
      </x:c>
      <x:c r="D1144" s="95" t="n">
        <x:v>45430</x:v>
      </x:c>
      <x:c r="E1144" s="95" t="n">
        <x:v>45430</x:v>
      </x:c>
      <x:c r="F1144" s="86" t="str">
        <x:v>Concluído</x:v>
      </x:c>
      <x:c r="G1144" s="86" t="n">
        <x:v>6.8</x:v>
      </x:c>
      <x:c r="H1144" s="93" t="n">
        <x:v>793.19</x:v>
      </x:c>
    </x:row>
    <x:row r="1145">
      <x:c r="A1145" s="85" t="n">
        <x:v>1144</x:v>
      </x:c>
      <x:c r="B1145" s="86" t="n">
        <x:v>23</x:v>
      </x:c>
      <x:c r="C1145" s="86" t="n">
        <x:v>1</x:v>
      </x:c>
      <x:c r="D1145" s="95" t="n">
        <x:v>45893</x:v>
      </x:c>
      <x:c r="E1145" s="95" t="n">
        <x:v>45909</x:v>
      </x:c>
      <x:c r="F1145" s="86" t="str">
        <x:v>Concluído</x:v>
      </x:c>
      <x:c r="G1145" s="86" t="n">
        <x:v>9.8</x:v>
      </x:c>
      <x:c r="H1145" s="93" t="n">
        <x:v>263.11</x:v>
      </x:c>
    </x:row>
    <x:row r="1146">
      <x:c r="A1146" s="85" t="n">
        <x:v>1145</x:v>
      </x:c>
      <x:c r="B1146" s="86" t="n">
        <x:v>225</x:v>
      </x:c>
      <x:c r="C1146" s="86" t="n">
        <x:v>5</x:v>
      </x:c>
      <x:c r="D1146" s="95" t="n">
        <x:v>45546</x:v>
      </x:c>
      <x:c r="E1146" s="95" t="n">
        <x:v>45556</x:v>
      </x:c>
      <x:c r="F1146" s="86" t="str">
        <x:v>Concluído</x:v>
      </x:c>
      <x:c r="G1146" s="86" t="n">
        <x:v>7.4</x:v>
      </x:c>
      <x:c r="H1146" s="93" t="n">
        <x:v>420.13</x:v>
      </x:c>
    </x:row>
    <x:row r="1147">
      <x:c r="A1147" s="85" t="n">
        <x:v>1146</x:v>
      </x:c>
      <x:c r="B1147" s="86" t="n">
        <x:v>146</x:v>
      </x:c>
      <x:c r="C1147" s="86" t="n">
        <x:v>6</x:v>
      </x:c>
      <x:c r="D1147" s="95" t="n">
        <x:v>45869</x:v>
      </x:c>
      <x:c r="E1147" s="95" t="n">
        <x:v>45879</x:v>
      </x:c>
      <x:c r="F1147" s="86" t="str">
        <x:v>Concluído</x:v>
      </x:c>
      <x:c r="G1147" s="86" t="n">
        <x:v>5.2</x:v>
      </x:c>
      <x:c r="H1147" s="93" t="n">
        <x:v>497.15</x:v>
      </x:c>
    </x:row>
    <x:row r="1148">
      <x:c r="A1148" s="85" t="n">
        <x:v>1147</x:v>
      </x:c>
      <x:c r="B1148" s="86" t="n">
        <x:v>416</x:v>
      </x:c>
      <x:c r="C1148" s="86" t="n">
        <x:v>3</x:v>
      </x:c>
      <x:c r="D1148" s="95" t="n">
        <x:v>45819</x:v>
      </x:c>
      <x:c r="E1148" s="95" t="n">
        <x:v>45838</x:v>
      </x:c>
      <x:c r="F1148" s="86" t="str">
        <x:v>Concluído</x:v>
      </x:c>
      <x:c r="G1148" s="86" t="n">
        <x:v>9.8</x:v>
      </x:c>
      <x:c r="H1148" s="93" t="n">
        <x:v>394.92</x:v>
      </x:c>
    </x:row>
    <x:row r="1149">
      <x:c r="A1149" s="85" t="n">
        <x:v>1148</x:v>
      </x:c>
      <x:c r="B1149" s="86" t="n">
        <x:v>135</x:v>
      </x:c>
      <x:c r="C1149" s="86" t="n">
        <x:v>2</x:v>
      </x:c>
      <x:c r="D1149" s="95" t="n">
        <x:v>45917</x:v>
      </x:c>
      <x:c r="E1149" s="95" t="n">
        <x:v>45934</x:v>
      </x:c>
      <x:c r="F1149" s="86" t="str">
        <x:v>Concluído</x:v>
      </x:c>
      <x:c r="G1149" s="86" t="n">
        <x:v>7</x:v>
      </x:c>
      <x:c r="H1149" s="93" t="n">
        <x:v>701.32</x:v>
      </x:c>
    </x:row>
    <x:row r="1150">
      <x:c r="A1150" s="85" t="n">
        <x:v>1149</x:v>
      </x:c>
      <x:c r="B1150" s="86" t="n">
        <x:v>21</x:v>
      </x:c>
      <x:c r="C1150" s="86" t="n">
        <x:v>10</x:v>
      </x:c>
      <x:c r="D1150" s="95" t="n">
        <x:v>45956</x:v>
      </x:c>
      <x:c r="E1150" s="95" t="n">
        <x:v>45970</x:v>
      </x:c>
      <x:c r="F1150" s="86" t="str">
        <x:v>Concluído</x:v>
      </x:c>
      <x:c r="G1150" s="86" t="n">
        <x:v>6.2</x:v>
      </x:c>
      <x:c r="H1150" s="93" t="n">
        <x:v>284.6</x:v>
      </x:c>
    </x:row>
    <x:row r="1151">
      <x:c r="A1151" s="85" t="n">
        <x:v>1150</x:v>
      </x:c>
      <x:c r="B1151" s="86" t="n">
        <x:v>242</x:v>
      </x:c>
      <x:c r="C1151" s="86" t="n">
        <x:v>1</x:v>
      </x:c>
      <x:c r="D1151" s="95" t="n">
        <x:v>45323</x:v>
      </x:c>
      <x:c r="E1151" s="95" t="n">
        <x:v>45341</x:v>
      </x:c>
      <x:c r="F1151" s="86" t="str">
        <x:v>Concluído</x:v>
      </x:c>
      <x:c r="G1151" s="86" t="n">
        <x:v>8.2</x:v>
      </x:c>
      <x:c r="H1151" s="93" t="n">
        <x:v>721.53</x:v>
      </x:c>
    </x:row>
    <x:row r="1152">
      <x:c r="A1152" s="85" t="n">
        <x:v>1151</x:v>
      </x:c>
      <x:c r="B1152" s="86" t="n">
        <x:v>222</x:v>
      </x:c>
      <x:c r="C1152" s="86" t="n">
        <x:v>6</x:v>
      </x:c>
      <x:c r="D1152" s="95" t="n">
        <x:v>45778</x:v>
      </x:c>
      <x:c r="E1152" s="95" t="n">
        <x:v>45778</x:v>
      </x:c>
      <x:c r="F1152" s="86" t="str">
        <x:v>Concluído</x:v>
      </x:c>
      <x:c r="G1152" s="86" t="n">
        <x:v>8</x:v>
      </x:c>
      <x:c r="H1152" s="93" t="n">
        <x:v>716.32</x:v>
      </x:c>
    </x:row>
    <x:row r="1153">
      <x:c r="A1153" s="85" t="n">
        <x:v>1152</x:v>
      </x:c>
      <x:c r="B1153" s="86" t="n">
        <x:v>33</x:v>
      </x:c>
      <x:c r="C1153" s="86" t="n">
        <x:v>1</x:v>
      </x:c>
      <x:c r="D1153" s="95" t="n">
        <x:v>45820</x:v>
      </x:c>
      <x:c r="E1153" s="95" t="n">
        <x:v>45824</x:v>
      </x:c>
      <x:c r="F1153" s="86" t="str">
        <x:v>Concluído</x:v>
      </x:c>
      <x:c r="G1153" s="86" t="n">
        <x:v>8.3</x:v>
      </x:c>
      <x:c r="H1153" s="93" t="n">
        <x:v>133.89</x:v>
      </x:c>
    </x:row>
    <x:row r="1154">
      <x:c r="A1154" s="85" t="n">
        <x:v>1153</x:v>
      </x:c>
      <x:c r="B1154" s="86" t="n">
        <x:v>163</x:v>
      </x:c>
      <x:c r="C1154" s="86" t="n">
        <x:v>3</x:v>
      </x:c>
      <x:c r="D1154" s="95" t="n">
        <x:v>45638</x:v>
      </x:c>
      <x:c r="E1154" s="95" t="n">
        <x:v>45642</x:v>
      </x:c>
      <x:c r="F1154" s="86" t="str">
        <x:v>Concluído</x:v>
      </x:c>
      <x:c r="G1154" s="86" t="n">
        <x:v>8.2</x:v>
      </x:c>
      <x:c r="H1154" s="93" t="n">
        <x:v>157.99</x:v>
      </x:c>
    </x:row>
    <x:row r="1155">
      <x:c r="A1155" s="85" t="n">
        <x:v>1154</x:v>
      </x:c>
      <x:c r="B1155" s="86" t="n">
        <x:v>16</x:v>
      </x:c>
      <x:c r="C1155" s="86" t="n">
        <x:v>9</x:v>
      </x:c>
      <x:c r="D1155" s="95" t="n">
        <x:v>45589</x:v>
      </x:c>
      <x:c r="E1155" s="95" t="n">
        <x:v>45589</x:v>
      </x:c>
      <x:c r="F1155" s="86" t="str">
        <x:v>Concluído</x:v>
      </x:c>
      <x:c r="G1155" s="86" t="n">
        <x:v>9.9</x:v>
      </x:c>
      <x:c r="H1155" s="93" t="n">
        <x:v>839.45</x:v>
      </x:c>
    </x:row>
    <x:row r="1156">
      <x:c r="A1156" s="85" t="n">
        <x:v>1155</x:v>
      </x:c>
      <x:c r="B1156" s="86" t="n">
        <x:v>83</x:v>
      </x:c>
      <x:c r="C1156" s="86" t="n">
        <x:v>9</x:v>
      </x:c>
      <x:c r="D1156" s="95" t="n">
        <x:v>45777</x:v>
      </x:c>
      <x:c r="E1156" s="95"/>
      <x:c r="F1156" s="86" t="str">
        <x:v>Não iniciado</x:v>
      </x:c>
      <x:c r="G1156" s="86"/>
      <x:c r="H1156" s="93" t="n">
        <x:v>764.37</x:v>
      </x:c>
    </x:row>
    <x:row r="1157">
      <x:c r="A1157" s="85" t="n">
        <x:v>1156</x:v>
      </x:c>
      <x:c r="B1157" s="86" t="n">
        <x:v>416</x:v>
      </x:c>
      <x:c r="C1157" s="86" t="n">
        <x:v>1</x:v>
      </x:c>
      <x:c r="D1157" s="95" t="n">
        <x:v>46011</x:v>
      </x:c>
      <x:c r="E1157" s="95" t="n">
        <x:v>46024</x:v>
      </x:c>
      <x:c r="F1157" s="86" t="str">
        <x:v>Concluído</x:v>
      </x:c>
      <x:c r="G1157" s="86" t="n">
        <x:v>9</x:v>
      </x:c>
      <x:c r="H1157" s="93" t="n">
        <x:v>489.11</x:v>
      </x:c>
    </x:row>
    <x:row r="1158">
      <x:c r="A1158" s="85" t="n">
        <x:v>1157</x:v>
      </x:c>
      <x:c r="B1158" s="86" t="n">
        <x:v>110</x:v>
      </x:c>
      <x:c r="C1158" s="86" t="n">
        <x:v>8</x:v>
      </x:c>
      <x:c r="D1158" s="95" t="n">
        <x:v>45627</x:v>
      </x:c>
      <x:c r="E1158" s="95" t="n">
        <x:v>45643</x:v>
      </x:c>
      <x:c r="F1158" s="86" t="str">
        <x:v>Concluído</x:v>
      </x:c>
      <x:c r="G1158" s="86" t="n">
        <x:v>8.9</x:v>
      </x:c>
      <x:c r="H1158" s="93" t="n">
        <x:v>484.85</x:v>
      </x:c>
    </x:row>
    <x:row r="1159">
      <x:c r="A1159" s="85" t="n">
        <x:v>1158</x:v>
      </x:c>
      <x:c r="B1159" s="86" t="n">
        <x:v>180</x:v>
      </x:c>
      <x:c r="C1159" s="86" t="n">
        <x:v>1</x:v>
      </x:c>
      <x:c r="D1159" s="95" t="n">
        <x:v>45644</x:v>
      </x:c>
      <x:c r="E1159" s="95" t="n">
        <x:v>45648</x:v>
      </x:c>
      <x:c r="F1159" s="86" t="str">
        <x:v>Concluído</x:v>
      </x:c>
      <x:c r="G1159" s="86" t="n">
        <x:v>5.6</x:v>
      </x:c>
      <x:c r="H1159" s="93" t="n">
        <x:v>258.11</x:v>
      </x:c>
    </x:row>
    <x:row r="1160">
      <x:c r="A1160" s="85" t="n">
        <x:v>1159</x:v>
      </x:c>
      <x:c r="B1160" s="86" t="n">
        <x:v>177</x:v>
      </x:c>
      <x:c r="C1160" s="86" t="n">
        <x:v>1</x:v>
      </x:c>
      <x:c r="D1160" s="95" t="n">
        <x:v>45861</x:v>
      </x:c>
      <x:c r="E1160" s="95" t="n">
        <x:v>45870</x:v>
      </x:c>
      <x:c r="F1160" s="86" t="str">
        <x:v>Concluído</x:v>
      </x:c>
      <x:c r="G1160" s="86" t="n">
        <x:v>9.9</x:v>
      </x:c>
      <x:c r="H1160" s="93" t="n">
        <x:v>99.22</x:v>
      </x:c>
    </x:row>
    <x:row r="1161">
      <x:c r="A1161" s="85" t="n">
        <x:v>1160</x:v>
      </x:c>
      <x:c r="B1161" s="86" t="n">
        <x:v>377</x:v>
      </x:c>
      <x:c r="C1161" s="86" t="n">
        <x:v>5</x:v>
      </x:c>
      <x:c r="D1161" s="95" t="n">
        <x:v>45804</x:v>
      </x:c>
      <x:c r="E1161" s="95" t="n">
        <x:v>45818</x:v>
      </x:c>
      <x:c r="F1161" s="86" t="str">
        <x:v>Concluído</x:v>
      </x:c>
      <x:c r="G1161" s="86" t="n">
        <x:v>9.8</x:v>
      </x:c>
      <x:c r="H1161" s="93" t="n">
        <x:v>203.43</x:v>
      </x:c>
    </x:row>
    <x:row r="1162">
      <x:c r="A1162" s="85" t="n">
        <x:v>1161</x:v>
      </x:c>
      <x:c r="B1162" s="86" t="n">
        <x:v>269</x:v>
      </x:c>
      <x:c r="C1162" s="86" t="n">
        <x:v>5</x:v>
      </x:c>
      <x:c r="D1162" s="95" t="n">
        <x:v>45598</x:v>
      </x:c>
      <x:c r="E1162" s="95" t="n">
        <x:v>45606</x:v>
      </x:c>
      <x:c r="F1162" s="86" t="str">
        <x:v>Concluído</x:v>
      </x:c>
      <x:c r="G1162" s="86" t="n">
        <x:v>6.5</x:v>
      </x:c>
      <x:c r="H1162" s="93" t="n">
        <x:v>482.96</x:v>
      </x:c>
    </x:row>
    <x:row r="1163">
      <x:c r="A1163" s="85" t="n">
        <x:v>1162</x:v>
      </x:c>
      <x:c r="B1163" s="86" t="n">
        <x:v>268</x:v>
      </x:c>
      <x:c r="C1163" s="86" t="n">
        <x:v>7</x:v>
      </x:c>
      <x:c r="D1163" s="95" t="n">
        <x:v>45793</x:v>
      </x:c>
      <x:c r="E1163" s="95" t="n">
        <x:v>45806</x:v>
      </x:c>
      <x:c r="F1163" s="86" t="str">
        <x:v>Concluído</x:v>
      </x:c>
      <x:c r="G1163" s="86" t="n">
        <x:v>5.3</x:v>
      </x:c>
      <x:c r="H1163" s="93" t="n">
        <x:v>224.49</x:v>
      </x:c>
    </x:row>
    <x:row r="1164">
      <x:c r="A1164" s="85" t="n">
        <x:v>1163</x:v>
      </x:c>
      <x:c r="B1164" s="86" t="n">
        <x:v>182</x:v>
      </x:c>
      <x:c r="C1164" s="86" t="n">
        <x:v>10</x:v>
      </x:c>
      <x:c r="D1164" s="95" t="n">
        <x:v>45960</x:v>
      </x:c>
      <x:c r="E1164" s="95" t="n">
        <x:v>45969</x:v>
      </x:c>
      <x:c r="F1164" s="86" t="str">
        <x:v>Concluído</x:v>
      </x:c>
      <x:c r="G1164" s="86" t="n">
        <x:v>7.3</x:v>
      </x:c>
      <x:c r="H1164" s="93" t="n">
        <x:v>711.02</x:v>
      </x:c>
    </x:row>
    <x:row r="1165">
      <x:c r="A1165" s="85" t="n">
        <x:v>1164</x:v>
      </x:c>
      <x:c r="B1165" s="86" t="n">
        <x:v>307</x:v>
      </x:c>
      <x:c r="C1165" s="86" t="n">
        <x:v>4</x:v>
      </x:c>
      <x:c r="D1165" s="95" t="n">
        <x:v>45407</x:v>
      </x:c>
      <x:c r="E1165" s="95"/>
      <x:c r="F1165" s="86" t="str">
        <x:v>Não iniciado</x:v>
      </x:c>
      <x:c r="G1165" s="86"/>
      <x:c r="H1165" s="93" t="n">
        <x:v>581.79</x:v>
      </x:c>
    </x:row>
    <x:row r="1166">
      <x:c r="A1166" s="85" t="n">
        <x:v>1165</x:v>
      </x:c>
      <x:c r="B1166" s="86" t="n">
        <x:v>288</x:v>
      </x:c>
      <x:c r="C1166" s="86" t="n">
        <x:v>3</x:v>
      </x:c>
      <x:c r="D1166" s="95" t="n">
        <x:v>45991</x:v>
      </x:c>
      <x:c r="E1166" s="95"/>
      <x:c r="F1166" s="86" t="str">
        <x:v>Não iniciado</x:v>
      </x:c>
      <x:c r="G1166" s="86"/>
      <x:c r="H1166" s="93" t="n">
        <x:v>702.43</x:v>
      </x:c>
    </x:row>
    <x:row r="1167">
      <x:c r="A1167" s="85" t="n">
        <x:v>1166</x:v>
      </x:c>
      <x:c r="B1167" s="86" t="n">
        <x:v>72</x:v>
      </x:c>
      <x:c r="C1167" s="86" t="n">
        <x:v>2</x:v>
      </x:c>
      <x:c r="D1167" s="95" t="n">
        <x:v>45966</x:v>
      </x:c>
      <x:c r="E1167" s="95" t="n">
        <x:v>45972</x:v>
      </x:c>
      <x:c r="F1167" s="86" t="str">
        <x:v>Concluído</x:v>
      </x:c>
      <x:c r="G1167" s="86" t="n">
        <x:v>7.6</x:v>
      </x:c>
      <x:c r="H1167" s="93" t="n">
        <x:v>829.68</x:v>
      </x:c>
    </x:row>
    <x:row r="1168">
      <x:c r="A1168" s="85" t="n">
        <x:v>1167</x:v>
      </x:c>
      <x:c r="B1168" s="86" t="n">
        <x:v>345</x:v>
      </x:c>
      <x:c r="C1168" s="86" t="n">
        <x:v>2</x:v>
      </x:c>
      <x:c r="D1168" s="95" t="n">
        <x:v>45505</x:v>
      </x:c>
      <x:c r="E1168" s="95" t="n">
        <x:v>45519</x:v>
      </x:c>
      <x:c r="F1168" s="86" t="str">
        <x:v>Concluído</x:v>
      </x:c>
      <x:c r="G1168" s="86" t="n">
        <x:v>5.5</x:v>
      </x:c>
      <x:c r="H1168" s="93" t="n">
        <x:v>814.95</x:v>
      </x:c>
    </x:row>
    <x:row r="1169">
      <x:c r="A1169" s="85" t="n">
        <x:v>1168</x:v>
      </x:c>
      <x:c r="B1169" s="86" t="n">
        <x:v>1</x:v>
      </x:c>
      <x:c r="C1169" s="86" t="n">
        <x:v>6</x:v>
      </x:c>
      <x:c r="D1169" s="95" t="n">
        <x:v>45732</x:v>
      </x:c>
      <x:c r="E1169" s="95" t="n">
        <x:v>45748</x:v>
      </x:c>
      <x:c r="F1169" s="86" t="str">
        <x:v>Concluído</x:v>
      </x:c>
      <x:c r="G1169" s="86" t="n">
        <x:v>9</x:v>
      </x:c>
      <x:c r="H1169" s="93" t="n">
        <x:v>602.89</x:v>
      </x:c>
    </x:row>
    <x:row r="1170">
      <x:c r="A1170" s="85" t="n">
        <x:v>1169</x:v>
      </x:c>
      <x:c r="B1170" s="86" t="n">
        <x:v>354</x:v>
      </x:c>
      <x:c r="C1170" s="86" t="n">
        <x:v>8</x:v>
      </x:c>
      <x:c r="D1170" s="95" t="n">
        <x:v>45950</x:v>
      </x:c>
      <x:c r="E1170" s="95" t="n">
        <x:v>45959</x:v>
      </x:c>
      <x:c r="F1170" s="86" t="str">
        <x:v>Concluído</x:v>
      </x:c>
      <x:c r="G1170" s="86" t="n">
        <x:v>8.2</x:v>
      </x:c>
      <x:c r="H1170" s="93" t="n">
        <x:v>719.2</x:v>
      </x:c>
    </x:row>
    <x:row r="1171">
      <x:c r="A1171" s="85" t="n">
        <x:v>1170</x:v>
      </x:c>
      <x:c r="B1171" s="86" t="n">
        <x:v>221</x:v>
      </x:c>
      <x:c r="C1171" s="86" t="n">
        <x:v>5</x:v>
      </x:c>
      <x:c r="D1171" s="95" t="n">
        <x:v>45973</x:v>
      </x:c>
      <x:c r="E1171" s="95" t="n">
        <x:v>45980</x:v>
      </x:c>
      <x:c r="F1171" s="86" t="str">
        <x:v>Concluído</x:v>
      </x:c>
      <x:c r="G1171" s="86" t="n">
        <x:v>7.2</x:v>
      </x:c>
      <x:c r="H1171" s="93" t="n">
        <x:v>845.89</x:v>
      </x:c>
    </x:row>
    <x:row r="1172">
      <x:c r="A1172" s="85" t="n">
        <x:v>1171</x:v>
      </x:c>
      <x:c r="B1172" s="86" t="n">
        <x:v>336</x:v>
      </x:c>
      <x:c r="C1172" s="86" t="n">
        <x:v>3</x:v>
      </x:c>
      <x:c r="D1172" s="95" t="n">
        <x:v>45941</x:v>
      </x:c>
      <x:c r="E1172" s="95" t="n">
        <x:v>45941</x:v>
      </x:c>
      <x:c r="F1172" s="86" t="str">
        <x:v>Concluído</x:v>
      </x:c>
      <x:c r="G1172" s="86" t="n">
        <x:v>8.5</x:v>
      </x:c>
      <x:c r="H1172" s="93" t="n">
        <x:v>726.99</x:v>
      </x:c>
    </x:row>
    <x:row r="1173">
      <x:c r="A1173" s="85" t="n">
        <x:v>1172</x:v>
      </x:c>
      <x:c r="B1173" s="86" t="n">
        <x:v>344</x:v>
      </x:c>
      <x:c r="C1173" s="86" t="n">
        <x:v>6</x:v>
      </x:c>
      <x:c r="D1173" s="95" t="n">
        <x:v>45845</x:v>
      </x:c>
      <x:c r="E1173" s="95" t="n">
        <x:v>45863</x:v>
      </x:c>
      <x:c r="F1173" s="86" t="str">
        <x:v>Concluído</x:v>
      </x:c>
      <x:c r="G1173" s="86" t="n">
        <x:v>8.1</x:v>
      </x:c>
      <x:c r="H1173" s="93" t="n">
        <x:v>701.8</x:v>
      </x:c>
    </x:row>
    <x:row r="1174">
      <x:c r="A1174" s="85" t="n">
        <x:v>1173</x:v>
      </x:c>
      <x:c r="B1174" s="86" t="n">
        <x:v>287</x:v>
      </x:c>
      <x:c r="C1174" s="86" t="n">
        <x:v>3</x:v>
      </x:c>
      <x:c r="D1174" s="95" t="n">
        <x:v>46021</x:v>
      </x:c>
      <x:c r="E1174" s="95" t="n">
        <x:v>46034</x:v>
      </x:c>
      <x:c r="F1174" s="86" t="str">
        <x:v>Concluído</x:v>
      </x:c>
      <x:c r="G1174" s="86" t="n">
        <x:v>5.8</x:v>
      </x:c>
      <x:c r="H1174" s="93" t="n">
        <x:v>471.33</x:v>
      </x:c>
    </x:row>
    <x:row r="1175">
      <x:c r="A1175" s="85" t="n">
        <x:v>1174</x:v>
      </x:c>
      <x:c r="B1175" s="86" t="n">
        <x:v>206</x:v>
      </x:c>
      <x:c r="C1175" s="86" t="n">
        <x:v>10</x:v>
      </x:c>
      <x:c r="D1175" s="95" t="n">
        <x:v>45774</x:v>
      </x:c>
      <x:c r="E1175" s="95" t="n">
        <x:v>45792</x:v>
      </x:c>
      <x:c r="F1175" s="86" t="str">
        <x:v>Concluído</x:v>
      </x:c>
      <x:c r="G1175" s="86" t="n">
        <x:v>9.4</x:v>
      </x:c>
      <x:c r="H1175" s="93" t="n">
        <x:v>588.39</x:v>
      </x:c>
    </x:row>
    <x:row r="1176">
      <x:c r="A1176" s="85" t="n">
        <x:v>1175</x:v>
      </x:c>
      <x:c r="B1176" s="86" t="n">
        <x:v>147</x:v>
      </x:c>
      <x:c r="C1176" s="86" t="n">
        <x:v>10</x:v>
      </x:c>
      <x:c r="D1176" s="95" t="n">
        <x:v>45934</x:v>
      </x:c>
      <x:c r="E1176" s="95" t="n">
        <x:v>45941</x:v>
      </x:c>
      <x:c r="F1176" s="86" t="str">
        <x:v>Reprovado</x:v>
      </x:c>
      <x:c r="G1176" s="86" t="n">
        <x:v>9.2</x:v>
      </x:c>
      <x:c r="H1176" s="93" t="n">
        <x:v>87.18</x:v>
      </x:c>
    </x:row>
    <x:row r="1177">
      <x:c r="A1177" s="85" t="n">
        <x:v>1176</x:v>
      </x:c>
      <x:c r="B1177" s="86" t="n">
        <x:v>143</x:v>
      </x:c>
      <x:c r="C1177" s="86" t="n">
        <x:v>7</x:v>
      </x:c>
      <x:c r="D1177" s="95" t="n">
        <x:v>45860</x:v>
      </x:c>
      <x:c r="E1177" s="95" t="n">
        <x:v>45873</x:v>
      </x:c>
      <x:c r="F1177" s="86" t="str">
        <x:v>Concluído</x:v>
      </x:c>
      <x:c r="G1177" s="86" t="n">
        <x:v>9.4</x:v>
      </x:c>
      <x:c r="H1177" s="93" t="n">
        <x:v>159.9</x:v>
      </x:c>
    </x:row>
    <x:row r="1178">
      <x:c r="A1178" s="85" t="n">
        <x:v>1177</x:v>
      </x:c>
      <x:c r="B1178" s="86" t="n">
        <x:v>35</x:v>
      </x:c>
      <x:c r="C1178" s="86" t="n">
        <x:v>2</x:v>
      </x:c>
      <x:c r="D1178" s="95" t="n">
        <x:v>45525</x:v>
      </x:c>
      <x:c r="E1178" s="95" t="n">
        <x:v>45535</x:v>
      </x:c>
      <x:c r="F1178" s="86" t="str">
        <x:v>Concluído</x:v>
      </x:c>
      <x:c r="G1178" s="86" t="n">
        <x:v>8.2</x:v>
      </x:c>
      <x:c r="H1178" s="93" t="n">
        <x:v>331.26</x:v>
      </x:c>
    </x:row>
    <x:row r="1179">
      <x:c r="A1179" s="85" t="n">
        <x:v>1178</x:v>
      </x:c>
      <x:c r="B1179" s="86" t="n">
        <x:v>303</x:v>
      </x:c>
      <x:c r="C1179" s="86" t="n">
        <x:v>2</x:v>
      </x:c>
      <x:c r="D1179" s="95" t="n">
        <x:v>45769</x:v>
      </x:c>
      <x:c r="E1179" s="95" t="n">
        <x:v>45772</x:v>
      </x:c>
      <x:c r="F1179" s="86" t="str">
        <x:v>Concluído</x:v>
      </x:c>
      <x:c r="G1179" s="86" t="n">
        <x:v>8.3</x:v>
      </x:c>
      <x:c r="H1179" s="93" t="n">
        <x:v>631.34</x:v>
      </x:c>
    </x:row>
    <x:row r="1180">
      <x:c r="A1180" s="85" t="n">
        <x:v>1179</x:v>
      </x:c>
      <x:c r="B1180" s="86" t="n">
        <x:v>329</x:v>
      </x:c>
      <x:c r="C1180" s="86" t="n">
        <x:v>1</x:v>
      </x:c>
      <x:c r="D1180" s="95" t="n">
        <x:v>46008</x:v>
      </x:c>
      <x:c r="E1180" s="95"/>
      <x:c r="F1180" s="86" t="str">
        <x:v>Não iniciado</x:v>
      </x:c>
      <x:c r="G1180" s="86"/>
      <x:c r="H1180" s="93" t="n">
        <x:v>183.73</x:v>
      </x:c>
    </x:row>
    <x:row r="1181">
      <x:c r="A1181" s="85" t="n">
        <x:v>1180</x:v>
      </x:c>
      <x:c r="B1181" s="86" t="n">
        <x:v>328</x:v>
      </x:c>
      <x:c r="C1181" s="86" t="n">
        <x:v>7</x:v>
      </x:c>
      <x:c r="D1181" s="95" t="n">
        <x:v>45865</x:v>
      </x:c>
      <x:c r="E1181" s="95" t="n">
        <x:v>45882</x:v>
      </x:c>
      <x:c r="F1181" s="86" t="str">
        <x:v>Concluído</x:v>
      </x:c>
      <x:c r="G1181" s="86" t="n">
        <x:v>9.5</x:v>
      </x:c>
      <x:c r="H1181" s="93" t="n">
        <x:v>754.16</x:v>
      </x:c>
    </x:row>
    <x:row r="1182">
      <x:c r="A1182" s="85" t="n">
        <x:v>1181</x:v>
      </x:c>
      <x:c r="B1182" s="86" t="n">
        <x:v>289</x:v>
      </x:c>
      <x:c r="C1182" s="86" t="n">
        <x:v>8</x:v>
      </x:c>
      <x:c r="D1182" s="95" t="n">
        <x:v>45927</x:v>
      </x:c>
      <x:c r="E1182" s="95"/>
      <x:c r="F1182" s="86" t="str">
        <x:v>Não iniciado</x:v>
      </x:c>
      <x:c r="G1182" s="86"/>
      <x:c r="H1182" s="93" t="n">
        <x:v>289.57</x:v>
      </x:c>
    </x:row>
    <x:row r="1183">
      <x:c r="A1183" s="85" t="n">
        <x:v>1182</x:v>
      </x:c>
      <x:c r="B1183" s="86" t="n">
        <x:v>299</x:v>
      </x:c>
      <x:c r="C1183" s="86" t="n">
        <x:v>4</x:v>
      </x:c>
      <x:c r="D1183" s="95" t="n">
        <x:v>45777</x:v>
      </x:c>
      <x:c r="E1183" s="95" t="n">
        <x:v>45796</x:v>
      </x:c>
      <x:c r="F1183" s="86" t="str">
        <x:v>Concluído</x:v>
      </x:c>
      <x:c r="G1183" s="86" t="n">
        <x:v>6.7</x:v>
      </x:c>
      <x:c r="H1183" s="93" t="n">
        <x:v>249.45</x:v>
      </x:c>
    </x:row>
    <x:row r="1184">
      <x:c r="A1184" s="85" t="n">
        <x:v>1183</x:v>
      </x:c>
      <x:c r="B1184" s="86" t="n">
        <x:v>288</x:v>
      </x:c>
      <x:c r="C1184" s="86" t="n">
        <x:v>3</x:v>
      </x:c>
      <x:c r="D1184" s="95" t="n">
        <x:v>45757</x:v>
      </x:c>
      <x:c r="E1184" s="95" t="n">
        <x:v>45775</x:v>
      </x:c>
      <x:c r="F1184" s="86" t="str">
        <x:v>Concluído</x:v>
      </x:c>
      <x:c r="G1184" s="86" t="n">
        <x:v>5.1</x:v>
      </x:c>
      <x:c r="H1184" s="93" t="n">
        <x:v>90.31</x:v>
      </x:c>
    </x:row>
    <x:row r="1185">
      <x:c r="A1185" s="85" t="n">
        <x:v>1184</x:v>
      </x:c>
      <x:c r="B1185" s="86" t="n">
        <x:v>393</x:v>
      </x:c>
      <x:c r="C1185" s="86" t="n">
        <x:v>9</x:v>
      </x:c>
      <x:c r="D1185" s="95" t="n">
        <x:v>45931</x:v>
      </x:c>
      <x:c r="E1185" s="95" t="n">
        <x:v>45945</x:v>
      </x:c>
      <x:c r="F1185" s="86" t="str">
        <x:v>Concluído</x:v>
      </x:c>
      <x:c r="G1185" s="86" t="n">
        <x:v>5.8</x:v>
      </x:c>
      <x:c r="H1185" s="93" t="n">
        <x:v>200.11</x:v>
      </x:c>
    </x:row>
    <x:row r="1186">
      <x:c r="A1186" s="85" t="n">
        <x:v>1185</x:v>
      </x:c>
      <x:c r="B1186" s="86" t="n">
        <x:v>42</x:v>
      </x:c>
      <x:c r="C1186" s="86" t="n">
        <x:v>6</x:v>
      </x:c>
      <x:c r="D1186" s="95" t="n">
        <x:v>45744</x:v>
      </x:c>
      <x:c r="E1186" s="95" t="n">
        <x:v>45757</x:v>
      </x:c>
      <x:c r="F1186" s="86" t="str">
        <x:v>Reprovado</x:v>
      </x:c>
      <x:c r="G1186" s="86" t="n">
        <x:v>5.4</x:v>
      </x:c>
      <x:c r="H1186" s="93" t="n">
        <x:v>492.63</x:v>
      </x:c>
    </x:row>
    <x:row r="1187">
      <x:c r="A1187" s="85" t="n">
        <x:v>1186</x:v>
      </x:c>
      <x:c r="B1187" s="86" t="n">
        <x:v>227</x:v>
      </x:c>
      <x:c r="C1187" s="86" t="n">
        <x:v>1</x:v>
      </x:c>
      <x:c r="D1187" s="95" t="n">
        <x:v>45382</x:v>
      </x:c>
      <x:c r="E1187" s="95" t="n">
        <x:v>45384</x:v>
      </x:c>
      <x:c r="F1187" s="86" t="str">
        <x:v>Concluído</x:v>
      </x:c>
      <x:c r="G1187" s="86" t="n">
        <x:v>9.2</x:v>
      </x:c>
      <x:c r="H1187" s="93" t="n">
        <x:v>277.7</x:v>
      </x:c>
    </x:row>
    <x:row r="1188">
      <x:c r="A1188" s="85" t="n">
        <x:v>1187</x:v>
      </x:c>
      <x:c r="B1188" s="86" t="n">
        <x:v>261</x:v>
      </x:c>
      <x:c r="C1188" s="86" t="n">
        <x:v>1</x:v>
      </x:c>
      <x:c r="D1188" s="95" t="n">
        <x:v>45723</x:v>
      </x:c>
      <x:c r="E1188" s="95" t="n">
        <x:v>45741</x:v>
      </x:c>
      <x:c r="F1188" s="86" t="str">
        <x:v>Concluído</x:v>
      </x:c>
      <x:c r="G1188" s="86" t="n">
        <x:v>8.7</x:v>
      </x:c>
      <x:c r="H1188" s="93" t="n">
        <x:v>607.82</x:v>
      </x:c>
    </x:row>
    <x:row r="1189">
      <x:c r="A1189" s="85" t="n">
        <x:v>1188</x:v>
      </x:c>
      <x:c r="B1189" s="86" t="n">
        <x:v>163</x:v>
      </x:c>
      <x:c r="C1189" s="86" t="n">
        <x:v>6</x:v>
      </x:c>
      <x:c r="D1189" s="95" t="n">
        <x:v>45914</x:v>
      </x:c>
      <x:c r="E1189" s="95"/>
      <x:c r="F1189" s="86" t="str">
        <x:v>Em andamento</x:v>
      </x:c>
      <x:c r="G1189" s="86"/>
      <x:c r="H1189" s="93" t="n">
        <x:v>667.38</x:v>
      </x:c>
    </x:row>
    <x:row r="1190">
      <x:c r="A1190" s="85" t="n">
        <x:v>1189</x:v>
      </x:c>
      <x:c r="B1190" s="86" t="n">
        <x:v>30</x:v>
      </x:c>
      <x:c r="C1190" s="86" t="n">
        <x:v>4</x:v>
      </x:c>
      <x:c r="D1190" s="95" t="n">
        <x:v>45363</x:v>
      </x:c>
      <x:c r="E1190" s="95" t="n">
        <x:v>45381</x:v>
      </x:c>
      <x:c r="F1190" s="86" t="str">
        <x:v>Concluído</x:v>
      </x:c>
      <x:c r="G1190" s="86" t="n">
        <x:v>7.6</x:v>
      </x:c>
      <x:c r="H1190" s="93" t="n">
        <x:v>145.92</x:v>
      </x:c>
    </x:row>
    <x:row r="1191">
      <x:c r="A1191" s="85" t="n">
        <x:v>1190</x:v>
      </x:c>
      <x:c r="B1191" s="86" t="n">
        <x:v>303</x:v>
      </x:c>
      <x:c r="C1191" s="86" t="n">
        <x:v>9</x:v>
      </x:c>
      <x:c r="D1191" s="95" t="n">
        <x:v>45594</x:v>
      </x:c>
      <x:c r="E1191" s="95" t="n">
        <x:v>45602</x:v>
      </x:c>
      <x:c r="F1191" s="86" t="str">
        <x:v>Concluído</x:v>
      </x:c>
      <x:c r="G1191" s="86" t="n">
        <x:v>7.3</x:v>
      </x:c>
      <x:c r="H1191" s="93" t="n">
        <x:v>279.44</x:v>
      </x:c>
    </x:row>
    <x:row r="1192">
      <x:c r="A1192" s="85" t="n">
        <x:v>1191</x:v>
      </x:c>
      <x:c r="B1192" s="86" t="n">
        <x:v>419</x:v>
      </x:c>
      <x:c r="C1192" s="86" t="n">
        <x:v>6</x:v>
      </x:c>
      <x:c r="D1192" s="95" t="n">
        <x:v>45550</x:v>
      </x:c>
      <x:c r="E1192" s="95" t="n">
        <x:v>45566</x:v>
      </x:c>
      <x:c r="F1192" s="86" t="str">
        <x:v>Concluído</x:v>
      </x:c>
      <x:c r="G1192" s="86" t="n">
        <x:v>9.9</x:v>
      </x:c>
      <x:c r="H1192" s="93" t="n">
        <x:v>524.11</x:v>
      </x:c>
    </x:row>
    <x:row r="1193">
      <x:c r="A1193" s="85" t="n">
        <x:v>1192</x:v>
      </x:c>
      <x:c r="B1193" s="86" t="n">
        <x:v>162</x:v>
      </x:c>
      <x:c r="C1193" s="86" t="n">
        <x:v>10</x:v>
      </x:c>
      <x:c r="D1193" s="95" t="n">
        <x:v>45892</x:v>
      </x:c>
      <x:c r="E1193" s="95" t="n">
        <x:v>45898</x:v>
      </x:c>
      <x:c r="F1193" s="86" t="str">
        <x:v>Concluído</x:v>
      </x:c>
      <x:c r="G1193" s="86" t="n">
        <x:v>7.2</x:v>
      </x:c>
      <x:c r="H1193" s="93" t="n">
        <x:v>521.54</x:v>
      </x:c>
    </x:row>
    <x:row r="1194">
      <x:c r="A1194" s="85" t="n">
        <x:v>1193</x:v>
      </x:c>
      <x:c r="B1194" s="86" t="n">
        <x:v>108</x:v>
      </x:c>
      <x:c r="C1194" s="86" t="n">
        <x:v>4</x:v>
      </x:c>
      <x:c r="D1194" s="95" t="n">
        <x:v>45641</x:v>
      </x:c>
      <x:c r="E1194" s="95" t="n">
        <x:v>45652</x:v>
      </x:c>
      <x:c r="F1194" s="86" t="str">
        <x:v>Concluído</x:v>
      </x:c>
      <x:c r="G1194" s="86" t="n">
        <x:v>9.9</x:v>
      </x:c>
      <x:c r="H1194" s="93" t="n">
        <x:v>756.46</x:v>
      </x:c>
    </x:row>
    <x:row r="1195">
      <x:c r="A1195" s="85" t="n">
        <x:v>1194</x:v>
      </x:c>
      <x:c r="B1195" s="86" t="n">
        <x:v>263</x:v>
      </x:c>
      <x:c r="C1195" s="86" t="n">
        <x:v>3</x:v>
      </x:c>
      <x:c r="D1195" s="95" t="n">
        <x:v>45395</x:v>
      </x:c>
      <x:c r="E1195" s="95" t="n">
        <x:v>45396</x:v>
      </x:c>
      <x:c r="F1195" s="86" t="str">
        <x:v>Concluído</x:v>
      </x:c>
      <x:c r="G1195" s="86" t="n">
        <x:v>7</x:v>
      </x:c>
      <x:c r="H1195" s="93" t="n">
        <x:v>654.62</x:v>
      </x:c>
    </x:row>
    <x:row r="1196">
      <x:c r="A1196" s="85" t="n">
        <x:v>1195</x:v>
      </x:c>
      <x:c r="B1196" s="86" t="n">
        <x:v>111</x:v>
      </x:c>
      <x:c r="C1196" s="86" t="n">
        <x:v>5</x:v>
      </x:c>
      <x:c r="D1196" s="95" t="n">
        <x:v>45599</x:v>
      </x:c>
      <x:c r="E1196" s="95"/>
      <x:c r="F1196" s="86" t="str">
        <x:v>Em andamento</x:v>
      </x:c>
      <x:c r="G1196" s="86"/>
      <x:c r="H1196" s="93" t="n">
        <x:v>584.49</x:v>
      </x:c>
    </x:row>
    <x:row r="1197">
      <x:c r="A1197" s="85" t="n">
        <x:v>1196</x:v>
      </x:c>
      <x:c r="B1197" s="86" t="n">
        <x:v>371</x:v>
      </x:c>
      <x:c r="C1197" s="86" t="n">
        <x:v>2</x:v>
      </x:c>
      <x:c r="D1197" s="95" t="n">
        <x:v>45946</x:v>
      </x:c>
      <x:c r="E1197" s="95" t="n">
        <x:v>45963</x:v>
      </x:c>
      <x:c r="F1197" s="86" t="str">
        <x:v>Concluído</x:v>
      </x:c>
      <x:c r="G1197" s="86" t="n">
        <x:v>7.3</x:v>
      </x:c>
      <x:c r="H1197" s="93" t="n">
        <x:v>174.12</x:v>
      </x:c>
    </x:row>
    <x:row r="1198">
      <x:c r="A1198" s="85" t="n">
        <x:v>1197</x:v>
      </x:c>
      <x:c r="B1198" s="86" t="n">
        <x:v>84</x:v>
      </x:c>
      <x:c r="C1198" s="86" t="n">
        <x:v>1</x:v>
      </x:c>
      <x:c r="D1198" s="95" t="n">
        <x:v>45983</x:v>
      </x:c>
      <x:c r="E1198" s="95" t="n">
        <x:v>45984</x:v>
      </x:c>
      <x:c r="F1198" s="86" t="str">
        <x:v>Reprovado</x:v>
      </x:c>
      <x:c r="G1198" s="86" t="n">
        <x:v>7.4</x:v>
      </x:c>
      <x:c r="H1198" s="93" t="n">
        <x:v>537.12</x:v>
      </x:c>
    </x:row>
    <x:row r="1199">
      <x:c r="A1199" s="85" t="n">
        <x:v>1198</x:v>
      </x:c>
      <x:c r="B1199" s="86" t="n">
        <x:v>240</x:v>
      </x:c>
      <x:c r="C1199" s="86" t="n">
        <x:v>7</x:v>
      </x:c>
      <x:c r="D1199" s="95" t="n">
        <x:v>45820</x:v>
      </x:c>
      <x:c r="E1199" s="95" t="n">
        <x:v>45820</x:v>
      </x:c>
      <x:c r="F1199" s="86" t="str">
        <x:v>Concluído</x:v>
      </x:c>
      <x:c r="G1199" s="86" t="n">
        <x:v>9</x:v>
      </x:c>
      <x:c r="H1199" s="93" t="n">
        <x:v>453.24</x:v>
      </x:c>
    </x:row>
    <x:row r="1200">
      <x:c r="A1200" s="85" t="n">
        <x:v>1199</x:v>
      </x:c>
      <x:c r="B1200" s="86" t="n">
        <x:v>101</x:v>
      </x:c>
      <x:c r="C1200" s="86" t="n">
        <x:v>1</x:v>
      </x:c>
      <x:c r="D1200" s="95" t="n">
        <x:v>45696</x:v>
      </x:c>
      <x:c r="E1200" s="95"/>
      <x:c r="F1200" s="86" t="str">
        <x:v>Em andamento</x:v>
      </x:c>
      <x:c r="G1200" s="86"/>
      <x:c r="H1200" s="93" t="n">
        <x:v>237.65</x:v>
      </x:c>
    </x:row>
    <x:row r="1201">
      <x:c r="A1201" s="85" t="n">
        <x:v>1200</x:v>
      </x:c>
      <x:c r="B1201" s="86" t="n">
        <x:v>228</x:v>
      </x:c>
      <x:c r="C1201" s="86" t="n">
        <x:v>5</x:v>
      </x:c>
      <x:c r="D1201" s="95" t="n">
        <x:v>45919</x:v>
      </x:c>
      <x:c r="E1201" s="95" t="n">
        <x:v>45921</x:v>
      </x:c>
      <x:c r="F1201" s="86" t="str">
        <x:v>Concluído</x:v>
      </x:c>
      <x:c r="G1201" s="86" t="n">
        <x:v>5.8</x:v>
      </x:c>
      <x:c r="H1201" s="93" t="n">
        <x:v>94.02</x:v>
      </x:c>
    </x:row>
    <x:row r="1202">
      <x:c r="A1202" s="85" t="n">
        <x:v>1201</x:v>
      </x:c>
      <x:c r="B1202" s="86" t="n">
        <x:v>135</x:v>
      </x:c>
      <x:c r="C1202" s="86" t="n">
        <x:v>7</x:v>
      </x:c>
      <x:c r="D1202" s="95" t="n">
        <x:v>45972</x:v>
      </x:c>
      <x:c r="E1202" s="95" t="n">
        <x:v>45974</x:v>
      </x:c>
      <x:c r="F1202" s="86" t="str">
        <x:v>Concluído</x:v>
      </x:c>
      <x:c r="G1202" s="86" t="n">
        <x:v>5</x:v>
      </x:c>
      <x:c r="H1202" s="93" t="n">
        <x:v>236.33</x:v>
      </x:c>
    </x:row>
    <x:row r="1203">
      <x:c r="A1203" s="85" t="n">
        <x:v>1202</x:v>
      </x:c>
      <x:c r="B1203" s="86" t="n">
        <x:v>267</x:v>
      </x:c>
      <x:c r="C1203" s="86" t="n">
        <x:v>8</x:v>
      </x:c>
      <x:c r="D1203" s="95" t="n">
        <x:v>45821</x:v>
      </x:c>
      <x:c r="E1203" s="95" t="n">
        <x:v>45833</x:v>
      </x:c>
      <x:c r="F1203" s="86" t="str">
        <x:v>Concluído</x:v>
      </x:c>
      <x:c r="G1203" s="86" t="n">
        <x:v>7.4</x:v>
      </x:c>
      <x:c r="H1203" s="93" t="n">
        <x:v>418.48</x:v>
      </x:c>
    </x:row>
    <x:row r="1204">
      <x:c r="A1204" s="85" t="n">
        <x:v>1203</x:v>
      </x:c>
      <x:c r="B1204" s="86" t="n">
        <x:v>281</x:v>
      </x:c>
      <x:c r="C1204" s="86" t="n">
        <x:v>8</x:v>
      </x:c>
      <x:c r="D1204" s="95" t="n">
        <x:v>45609</x:v>
      </x:c>
      <x:c r="E1204" s="95" t="n">
        <x:v>45617</x:v>
      </x:c>
      <x:c r="F1204" s="86" t="str">
        <x:v>Concluído</x:v>
      </x:c>
      <x:c r="G1204" s="86" t="n">
        <x:v>8.8</x:v>
      </x:c>
      <x:c r="H1204" s="93" t="n">
        <x:v>504.02</x:v>
      </x:c>
    </x:row>
    <x:row r="1205">
      <x:c r="A1205" s="85" t="n">
        <x:v>1204</x:v>
      </x:c>
      <x:c r="B1205" s="86" t="n">
        <x:v>255</x:v>
      </x:c>
      <x:c r="C1205" s="86" t="n">
        <x:v>3</x:v>
      </x:c>
      <x:c r="D1205" s="95" t="n">
        <x:v>45718</x:v>
      </x:c>
      <x:c r="E1205" s="95" t="n">
        <x:v>45731</x:v>
      </x:c>
      <x:c r="F1205" s="86" t="str">
        <x:v>Concluído</x:v>
      </x:c>
      <x:c r="G1205" s="86" t="n">
        <x:v>5.2</x:v>
      </x:c>
      <x:c r="H1205" s="93" t="n">
        <x:v>168.14</x:v>
      </x:c>
    </x:row>
    <x:row r="1206">
      <x:c r="A1206" s="85" t="n">
        <x:v>1205</x:v>
      </x:c>
      <x:c r="B1206" s="86" t="n">
        <x:v>127</x:v>
      </x:c>
      <x:c r="C1206" s="86" t="n">
        <x:v>3</x:v>
      </x:c>
      <x:c r="D1206" s="95" t="n">
        <x:v>45992</x:v>
      </x:c>
      <x:c r="E1206" s="95" t="n">
        <x:v>46009</x:v>
      </x:c>
      <x:c r="F1206" s="86" t="str">
        <x:v>Concluído</x:v>
      </x:c>
      <x:c r="G1206" s="86" t="n">
        <x:v>5.2</x:v>
      </x:c>
      <x:c r="H1206" s="93" t="n">
        <x:v>245.1</x:v>
      </x:c>
    </x:row>
    <x:row r="1207">
      <x:c r="A1207" s="85" t="n">
        <x:v>1206</x:v>
      </x:c>
      <x:c r="B1207" s="86" t="n">
        <x:v>158</x:v>
      </x:c>
      <x:c r="C1207" s="86" t="n">
        <x:v>3</x:v>
      </x:c>
      <x:c r="D1207" s="95" t="n">
        <x:v>45663</x:v>
      </x:c>
      <x:c r="E1207" s="95" t="n">
        <x:v>45677</x:v>
      </x:c>
      <x:c r="F1207" s="86" t="str">
        <x:v>Concluído</x:v>
      </x:c>
      <x:c r="G1207" s="86" t="n">
        <x:v>8.9</x:v>
      </x:c>
      <x:c r="H1207" s="93" t="n">
        <x:v>581.47</x:v>
      </x:c>
    </x:row>
    <x:row r="1208">
      <x:c r="A1208" s="85" t="n">
        <x:v>1207</x:v>
      </x:c>
      <x:c r="B1208" s="86" t="n">
        <x:v>332</x:v>
      </x:c>
      <x:c r="C1208" s="86" t="n">
        <x:v>2</x:v>
      </x:c>
      <x:c r="D1208" s="95" t="n">
        <x:v>45899</x:v>
      </x:c>
      <x:c r="E1208" s="95" t="n">
        <x:v>45912</x:v>
      </x:c>
      <x:c r="F1208" s="86" t="str">
        <x:v>Concluído</x:v>
      </x:c>
      <x:c r="G1208" s="86" t="n">
        <x:v>5.7</x:v>
      </x:c>
      <x:c r="H1208" s="93" t="n">
        <x:v>587.95</x:v>
      </x:c>
    </x:row>
    <x:row r="1209">
      <x:c r="A1209" s="85" t="n">
        <x:v>1208</x:v>
      </x:c>
      <x:c r="B1209" s="86" t="n">
        <x:v>368</x:v>
      </x:c>
      <x:c r="C1209" s="86" t="n">
        <x:v>7</x:v>
      </x:c>
      <x:c r="D1209" s="95" t="n">
        <x:v>45919</x:v>
      </x:c>
      <x:c r="E1209" s="95" t="n">
        <x:v>45935</x:v>
      </x:c>
      <x:c r="F1209" s="86" t="str">
        <x:v>Concluído</x:v>
      </x:c>
      <x:c r="G1209" s="86" t="n">
        <x:v>8.4</x:v>
      </x:c>
      <x:c r="H1209" s="93" t="n">
        <x:v>457.11</x:v>
      </x:c>
    </x:row>
    <x:row r="1210">
      <x:c r="A1210" s="85" t="n">
        <x:v>1209</x:v>
      </x:c>
      <x:c r="B1210" s="86" t="n">
        <x:v>7</x:v>
      </x:c>
      <x:c r="C1210" s="86" t="n">
        <x:v>1</x:v>
      </x:c>
      <x:c r="D1210" s="95" t="n">
        <x:v>45414</x:v>
      </x:c>
      <x:c r="E1210" s="95" t="n">
        <x:v>45420</x:v>
      </x:c>
      <x:c r="F1210" s="86" t="str">
        <x:v>Concluído</x:v>
      </x:c>
      <x:c r="G1210" s="86" t="n">
        <x:v>7.4</x:v>
      </x:c>
      <x:c r="H1210" s="93" t="n">
        <x:v>424.36</x:v>
      </x:c>
    </x:row>
    <x:row r="1211">
      <x:c r="A1211" s="85" t="n">
        <x:v>1210</x:v>
      </x:c>
      <x:c r="B1211" s="86" t="n">
        <x:v>332</x:v>
      </x:c>
      <x:c r="C1211" s="86" t="n">
        <x:v>5</x:v>
      </x:c>
      <x:c r="D1211" s="95" t="n">
        <x:v>45961</x:v>
      </x:c>
      <x:c r="E1211" s="95" t="n">
        <x:v>45970</x:v>
      </x:c>
      <x:c r="F1211" s="86" t="str">
        <x:v>Concluído</x:v>
      </x:c>
      <x:c r="G1211" s="86" t="n">
        <x:v>6.4</x:v>
      </x:c>
      <x:c r="H1211" s="93" t="n">
        <x:v>795.2</x:v>
      </x:c>
    </x:row>
    <x:row r="1212">
      <x:c r="A1212" s="85" t="n">
        <x:v>1211</x:v>
      </x:c>
      <x:c r="B1212" s="86" t="n">
        <x:v>298</x:v>
      </x:c>
      <x:c r="C1212" s="86" t="n">
        <x:v>10</x:v>
      </x:c>
      <x:c r="D1212" s="95" t="n">
        <x:v>45686</x:v>
      </x:c>
      <x:c r="E1212" s="95"/>
      <x:c r="F1212" s="86" t="str">
        <x:v>Em andamento</x:v>
      </x:c>
      <x:c r="G1212" s="86"/>
      <x:c r="H1212" s="93" t="n">
        <x:v>217.71</x:v>
      </x:c>
    </x:row>
    <x:row r="1213">
      <x:c r="A1213" s="85" t="n">
        <x:v>1212</x:v>
      </x:c>
      <x:c r="B1213" s="86" t="n">
        <x:v>45</x:v>
      </x:c>
      <x:c r="C1213" s="86" t="n">
        <x:v>1</x:v>
      </x:c>
      <x:c r="D1213" s="95" t="n">
        <x:v>45578</x:v>
      </x:c>
      <x:c r="E1213" s="95" t="n">
        <x:v>45590</x:v>
      </x:c>
      <x:c r="F1213" s="86" t="str">
        <x:v>Reprovado</x:v>
      </x:c>
      <x:c r="G1213" s="86" t="n">
        <x:v>9.2</x:v>
      </x:c>
      <x:c r="H1213" s="93" t="n">
        <x:v>483.75</x:v>
      </x:c>
    </x:row>
    <x:row r="1214">
      <x:c r="A1214" s="85" t="n">
        <x:v>1213</x:v>
      </x:c>
      <x:c r="B1214" s="86" t="n">
        <x:v>184</x:v>
      </x:c>
      <x:c r="C1214" s="86" t="n">
        <x:v>10</x:v>
      </x:c>
      <x:c r="D1214" s="95" t="n">
        <x:v>45433</x:v>
      </x:c>
      <x:c r="E1214" s="95"/>
      <x:c r="F1214" s="86" t="str">
        <x:v>Não iniciado</x:v>
      </x:c>
      <x:c r="G1214" s="86"/>
      <x:c r="H1214" s="93" t="n">
        <x:v>292.83</x:v>
      </x:c>
    </x:row>
    <x:row r="1215">
      <x:c r="A1215" s="85" t="n">
        <x:v>1214</x:v>
      </x:c>
      <x:c r="B1215" s="86" t="n">
        <x:v>109</x:v>
      </x:c>
      <x:c r="C1215" s="86" t="n">
        <x:v>6</x:v>
      </x:c>
      <x:c r="D1215" s="95" t="n">
        <x:v>45619</x:v>
      </x:c>
      <x:c r="E1215" s="95" t="n">
        <x:v>45628</x:v>
      </x:c>
      <x:c r="F1215" s="86" t="str">
        <x:v>Concluído</x:v>
      </x:c>
      <x:c r="G1215" s="86" t="n">
        <x:v>9.5</x:v>
      </x:c>
      <x:c r="H1215" s="93" t="n">
        <x:v>520.86</x:v>
      </x:c>
    </x:row>
    <x:row r="1216">
      <x:c r="A1216" s="85" t="n">
        <x:v>1215</x:v>
      </x:c>
      <x:c r="B1216" s="86" t="n">
        <x:v>184</x:v>
      </x:c>
      <x:c r="C1216" s="86" t="n">
        <x:v>9</x:v>
      </x:c>
      <x:c r="D1216" s="95" t="n">
        <x:v>45686</x:v>
      </x:c>
      <x:c r="E1216" s="95" t="n">
        <x:v>45693</x:v>
      </x:c>
      <x:c r="F1216" s="86" t="str">
        <x:v>Concluído</x:v>
      </x:c>
      <x:c r="G1216" s="86" t="n">
        <x:v>9.3</x:v>
      </x:c>
      <x:c r="H1216" s="93" t="n">
        <x:v>307.06</x:v>
      </x:c>
    </x:row>
    <x:row r="1217">
      <x:c r="A1217" s="85" t="n">
        <x:v>1216</x:v>
      </x:c>
      <x:c r="B1217" s="86" t="n">
        <x:v>412</x:v>
      </x:c>
      <x:c r="C1217" s="86" t="n">
        <x:v>7</x:v>
      </x:c>
      <x:c r="D1217" s="95" t="n">
        <x:v>45717</x:v>
      </x:c>
      <x:c r="E1217" s="95" t="n">
        <x:v>45728</x:v>
      </x:c>
      <x:c r="F1217" s="86" t="str">
        <x:v>Concluído</x:v>
      </x:c>
      <x:c r="G1217" s="86" t="n">
        <x:v>8</x:v>
      </x:c>
      <x:c r="H1217" s="93" t="n">
        <x:v>661.15</x:v>
      </x:c>
    </x:row>
    <x:row r="1218">
      <x:c r="A1218" s="85" t="n">
        <x:v>1217</x:v>
      </x:c>
      <x:c r="B1218" s="86" t="n">
        <x:v>165</x:v>
      </x:c>
      <x:c r="C1218" s="86" t="n">
        <x:v>3</x:v>
      </x:c>
      <x:c r="D1218" s="95" t="n">
        <x:v>46008</x:v>
      </x:c>
      <x:c r="E1218" s="95" t="n">
        <x:v>46019</x:v>
      </x:c>
      <x:c r="F1218" s="86" t="str">
        <x:v>Concluído</x:v>
      </x:c>
      <x:c r="G1218" s="86" t="n">
        <x:v>7.4</x:v>
      </x:c>
      <x:c r="H1218" s="93" t="n">
        <x:v>375.08</x:v>
      </x:c>
    </x:row>
    <x:row r="1219">
      <x:c r="A1219" s="85" t="n">
        <x:v>1218</x:v>
      </x:c>
      <x:c r="B1219" s="86" t="n">
        <x:v>73</x:v>
      </x:c>
      <x:c r="C1219" s="86" t="n">
        <x:v>5</x:v>
      </x:c>
      <x:c r="D1219" s="95" t="n">
        <x:v>45935</x:v>
      </x:c>
      <x:c r="E1219" s="95" t="n">
        <x:v>45940</x:v>
      </x:c>
      <x:c r="F1219" s="86" t="str">
        <x:v>Concluído</x:v>
      </x:c>
      <x:c r="G1219" s="86" t="n">
        <x:v>8.6</x:v>
      </x:c>
      <x:c r="H1219" s="93" t="n">
        <x:v>650.81</x:v>
      </x:c>
    </x:row>
    <x:row r="1220">
      <x:c r="A1220" s="85" t="n">
        <x:v>1219</x:v>
      </x:c>
      <x:c r="B1220" s="86" t="n">
        <x:v>267</x:v>
      </x:c>
      <x:c r="C1220" s="86" t="n">
        <x:v>9</x:v>
      </x:c>
      <x:c r="D1220" s="95" t="n">
        <x:v>45772</x:v>
      </x:c>
      <x:c r="E1220" s="95" t="n">
        <x:v>45791</x:v>
      </x:c>
      <x:c r="F1220" s="86" t="str">
        <x:v>Concluído</x:v>
      </x:c>
      <x:c r="G1220" s="86" t="n">
        <x:v>10</x:v>
      </x:c>
      <x:c r="H1220" s="93" t="n">
        <x:v>351.81</x:v>
      </x:c>
    </x:row>
    <x:row r="1221">
      <x:c r="A1221" s="85" t="n">
        <x:v>1220</x:v>
      </x:c>
      <x:c r="B1221" s="86" t="n">
        <x:v>276</x:v>
      </x:c>
      <x:c r="C1221" s="86" t="n">
        <x:v>1</x:v>
      </x:c>
      <x:c r="D1221" s="95" t="n">
        <x:v>45423</x:v>
      </x:c>
      <x:c r="E1221" s="95" t="n">
        <x:v>45429</x:v>
      </x:c>
      <x:c r="F1221" s="86" t="str">
        <x:v>Concluído</x:v>
      </x:c>
      <x:c r="G1221" s="86" t="n">
        <x:v>7.7</x:v>
      </x:c>
      <x:c r="H1221" s="93" t="n">
        <x:v>440.24</x:v>
      </x:c>
    </x:row>
    <x:row r="1222">
      <x:c r="A1222" s="85" t="n">
        <x:v>1221</x:v>
      </x:c>
      <x:c r="B1222" s="86" t="n">
        <x:v>253</x:v>
      </x:c>
      <x:c r="C1222" s="86" t="n">
        <x:v>5</x:v>
      </x:c>
      <x:c r="D1222" s="95" t="n">
        <x:v>45812</x:v>
      </x:c>
      <x:c r="E1222" s="95" t="n">
        <x:v>45830</x:v>
      </x:c>
      <x:c r="F1222" s="86" t="str">
        <x:v>Concluído</x:v>
      </x:c>
      <x:c r="G1222" s="86" t="n">
        <x:v>6.2</x:v>
      </x:c>
      <x:c r="H1222" s="93" t="n">
        <x:v>638.73</x:v>
      </x:c>
    </x:row>
    <x:row r="1223">
      <x:c r="A1223" s="85" t="n">
        <x:v>1222</x:v>
      </x:c>
      <x:c r="B1223" s="86" t="n">
        <x:v>91</x:v>
      </x:c>
      <x:c r="C1223" s="86" t="n">
        <x:v>2</x:v>
      </x:c>
      <x:c r="D1223" s="95" t="n">
        <x:v>45816</x:v>
      </x:c>
      <x:c r="E1223" s="95" t="n">
        <x:v>45816</x:v>
      </x:c>
      <x:c r="F1223" s="86" t="str">
        <x:v>Concluído</x:v>
      </x:c>
      <x:c r="G1223" s="86" t="n">
        <x:v>7.6</x:v>
      </x:c>
      <x:c r="H1223" s="93" t="n">
        <x:v>457.68</x:v>
      </x:c>
    </x:row>
    <x:row r="1224">
      <x:c r="A1224" s="85" t="n">
        <x:v>1223</x:v>
      </x:c>
      <x:c r="B1224" s="86" t="n">
        <x:v>9</x:v>
      </x:c>
      <x:c r="C1224" s="86" t="n">
        <x:v>9</x:v>
      </x:c>
      <x:c r="D1224" s="95" t="n">
        <x:v>45838</x:v>
      </x:c>
      <x:c r="E1224" s="95"/>
      <x:c r="F1224" s="86" t="str">
        <x:v>Em andamento</x:v>
      </x:c>
      <x:c r="G1224" s="86"/>
      <x:c r="H1224" s="93" t="n">
        <x:v>392.76</x:v>
      </x:c>
    </x:row>
    <x:row r="1225">
      <x:c r="A1225" s="85" t="n">
        <x:v>1224</x:v>
      </x:c>
      <x:c r="B1225" s="86" t="n">
        <x:v>110</x:v>
      </x:c>
      <x:c r="C1225" s="86" t="n">
        <x:v>3</x:v>
      </x:c>
      <x:c r="D1225" s="95" t="n">
        <x:v>45633</x:v>
      </x:c>
      <x:c r="E1225" s="95" t="n">
        <x:v>45637</x:v>
      </x:c>
      <x:c r="F1225" s="86" t="str">
        <x:v>Concluído</x:v>
      </x:c>
      <x:c r="G1225" s="86" t="n">
        <x:v>6.4</x:v>
      </x:c>
      <x:c r="H1225" s="93" t="n">
        <x:v>560.84</x:v>
      </x:c>
    </x:row>
    <x:row r="1226">
      <x:c r="A1226" s="85" t="n">
        <x:v>1225</x:v>
      </x:c>
      <x:c r="B1226" s="86" t="n">
        <x:v>79</x:v>
      </x:c>
      <x:c r="C1226" s="86" t="n">
        <x:v>8</x:v>
      </x:c>
      <x:c r="D1226" s="95" t="n">
        <x:v>45851</x:v>
      </x:c>
      <x:c r="E1226" s="95" t="n">
        <x:v>45862</x:v>
      </x:c>
      <x:c r="F1226" s="86" t="str">
        <x:v>Reprovado</x:v>
      </x:c>
      <x:c r="G1226" s="86" t="n">
        <x:v>6.3</x:v>
      </x:c>
      <x:c r="H1226" s="93" t="n">
        <x:v>370.2</x:v>
      </x:c>
    </x:row>
    <x:row r="1227">
      <x:c r="A1227" s="85" t="n">
        <x:v>1226</x:v>
      </x:c>
      <x:c r="B1227" s="86" t="n">
        <x:v>275</x:v>
      </x:c>
      <x:c r="C1227" s="86" t="n">
        <x:v>9</x:v>
      </x:c>
      <x:c r="D1227" s="95" t="n">
        <x:v>45975</x:v>
      </x:c>
      <x:c r="E1227" s="95" t="n">
        <x:v>45994</x:v>
      </x:c>
      <x:c r="F1227" s="86" t="str">
        <x:v>Concluído</x:v>
      </x:c>
      <x:c r="G1227" s="86" t="n">
        <x:v>5.4</x:v>
      </x:c>
      <x:c r="H1227" s="93" t="n">
        <x:v>846.09</x:v>
      </x:c>
    </x:row>
    <x:row r="1228">
      <x:c r="A1228" s="85" t="n">
        <x:v>1227</x:v>
      </x:c>
      <x:c r="B1228" s="86" t="n">
        <x:v>25</x:v>
      </x:c>
      <x:c r="C1228" s="86" t="n">
        <x:v>4</x:v>
      </x:c>
      <x:c r="D1228" s="95" t="n">
        <x:v>45855</x:v>
      </x:c>
      <x:c r="E1228" s="95"/>
      <x:c r="F1228" s="86" t="str">
        <x:v>Não iniciado</x:v>
      </x:c>
      <x:c r="G1228" s="86"/>
      <x:c r="H1228" s="93" t="n">
        <x:v>380.92</x:v>
      </x:c>
    </x:row>
    <x:row r="1229">
      <x:c r="A1229" s="85" t="n">
        <x:v>1228</x:v>
      </x:c>
      <x:c r="B1229" s="86" t="n">
        <x:v>123</x:v>
      </x:c>
      <x:c r="C1229" s="86" t="n">
        <x:v>1</x:v>
      </x:c>
      <x:c r="D1229" s="95" t="n">
        <x:v>45377</x:v>
      </x:c>
      <x:c r="E1229" s="95"/>
      <x:c r="F1229" s="86" t="str">
        <x:v>Não iniciado</x:v>
      </x:c>
      <x:c r="G1229" s="86"/>
      <x:c r="H1229" s="93" t="n">
        <x:v>394.28</x:v>
      </x:c>
    </x:row>
    <x:row r="1230">
      <x:c r="A1230" s="85" t="n">
        <x:v>1229</x:v>
      </x:c>
      <x:c r="B1230" s="86" t="n">
        <x:v>255</x:v>
      </x:c>
      <x:c r="C1230" s="86" t="n">
        <x:v>3</x:v>
      </x:c>
      <x:c r="D1230" s="95" t="n">
        <x:v>45524</x:v>
      </x:c>
      <x:c r="E1230" s="95"/>
      <x:c r="F1230" s="86" t="str">
        <x:v>Não iniciado</x:v>
      </x:c>
      <x:c r="G1230" s="86"/>
      <x:c r="H1230" s="93" t="n">
        <x:v>759.58</x:v>
      </x:c>
    </x:row>
    <x:row r="1231">
      <x:c r="A1231" s="85" t="n">
        <x:v>1230</x:v>
      </x:c>
      <x:c r="B1231" s="86" t="n">
        <x:v>238</x:v>
      </x:c>
      <x:c r="C1231" s="86" t="n">
        <x:v>3</x:v>
      </x:c>
      <x:c r="D1231" s="95" t="n">
        <x:v>45885</x:v>
      </x:c>
      <x:c r="E1231" s="95" t="n">
        <x:v>45887</x:v>
      </x:c>
      <x:c r="F1231" s="86" t="str">
        <x:v>Concluído</x:v>
      </x:c>
      <x:c r="G1231" s="86" t="n">
        <x:v>6.6</x:v>
      </x:c>
      <x:c r="H1231" s="93" t="n">
        <x:v>547.99</x:v>
      </x:c>
    </x:row>
    <x:row r="1232">
      <x:c r="A1232" s="85" t="n">
        <x:v>1231</x:v>
      </x:c>
      <x:c r="B1232" s="86" t="n">
        <x:v>335</x:v>
      </x:c>
      <x:c r="C1232" s="86" t="n">
        <x:v>6</x:v>
      </x:c>
      <x:c r="D1232" s="95" t="n">
        <x:v>45983</x:v>
      </x:c>
      <x:c r="E1232" s="95" t="n">
        <x:v>45990</x:v>
      </x:c>
      <x:c r="F1232" s="86" t="str">
        <x:v>Concluído</x:v>
      </x:c>
      <x:c r="G1232" s="86" t="n">
        <x:v>8.4</x:v>
      </x:c>
      <x:c r="H1232" s="93" t="n">
        <x:v>605.61</x:v>
      </x:c>
    </x:row>
    <x:row r="1233">
      <x:c r="A1233" s="85" t="n">
        <x:v>1232</x:v>
      </x:c>
      <x:c r="B1233" s="86" t="n">
        <x:v>228</x:v>
      </x:c>
      <x:c r="C1233" s="86" t="n">
        <x:v>3</x:v>
      </x:c>
      <x:c r="D1233" s="95" t="n">
        <x:v>45832</x:v>
      </x:c>
      <x:c r="E1233" s="95" t="n">
        <x:v>45846</x:v>
      </x:c>
      <x:c r="F1233" s="86" t="str">
        <x:v>Concluído</x:v>
      </x:c>
      <x:c r="G1233" s="86" t="n">
        <x:v>8.7</x:v>
      </x:c>
      <x:c r="H1233" s="93" t="n">
        <x:v>123.26</x:v>
      </x:c>
    </x:row>
    <x:row r="1234">
      <x:c r="A1234" s="85" t="n">
        <x:v>1233</x:v>
      </x:c>
      <x:c r="B1234" s="86" t="n">
        <x:v>75</x:v>
      </x:c>
      <x:c r="C1234" s="86" t="n">
        <x:v>8</x:v>
      </x:c>
      <x:c r="D1234" s="95" t="n">
        <x:v>45781</x:v>
      </x:c>
      <x:c r="E1234" s="95" t="n">
        <x:v>45788</x:v>
      </x:c>
      <x:c r="F1234" s="86" t="str">
        <x:v>Concluído</x:v>
      </x:c>
      <x:c r="G1234" s="86" t="n">
        <x:v>6.5</x:v>
      </x:c>
      <x:c r="H1234" s="93" t="n">
        <x:v>728.54</x:v>
      </x:c>
    </x:row>
    <x:row r="1235">
      <x:c r="A1235" s="85" t="n">
        <x:v>1234</x:v>
      </x:c>
      <x:c r="B1235" s="86" t="n">
        <x:v>249</x:v>
      </x:c>
      <x:c r="C1235" s="86" t="n">
        <x:v>6</x:v>
      </x:c>
      <x:c r="D1235" s="95" t="n">
        <x:v>45879</x:v>
      </x:c>
      <x:c r="E1235" s="95"/>
      <x:c r="F1235" s="86" t="str">
        <x:v>Não iniciado</x:v>
      </x:c>
      <x:c r="G1235" s="86"/>
      <x:c r="H1235" s="93" t="n">
        <x:v>228.66</x:v>
      </x:c>
    </x:row>
    <x:row r="1236">
      <x:c r="A1236" s="85" t="n">
        <x:v>1235</x:v>
      </x:c>
      <x:c r="B1236" s="86" t="n">
        <x:v>165</x:v>
      </x:c>
      <x:c r="C1236" s="86" t="n">
        <x:v>5</x:v>
      </x:c>
      <x:c r="D1236" s="95" t="n">
        <x:v>45977</x:v>
      </x:c>
      <x:c r="E1236" s="95" t="n">
        <x:v>45982</x:v>
      </x:c>
      <x:c r="F1236" s="86" t="str">
        <x:v>Concluído</x:v>
      </x:c>
      <x:c r="G1236" s="86" t="n">
        <x:v>9.5</x:v>
      </x:c>
      <x:c r="H1236" s="93" t="n">
        <x:v>377.54</x:v>
      </x:c>
    </x:row>
    <x:row r="1237">
      <x:c r="A1237" s="85" t="n">
        <x:v>1236</x:v>
      </x:c>
      <x:c r="B1237" s="86" t="n">
        <x:v>123</x:v>
      </x:c>
      <x:c r="C1237" s="86" t="n">
        <x:v>9</x:v>
      </x:c>
      <x:c r="D1237" s="95" t="n">
        <x:v>45862</x:v>
      </x:c>
      <x:c r="E1237" s="95" t="n">
        <x:v>45867</x:v>
      </x:c>
      <x:c r="F1237" s="86" t="str">
        <x:v>Concluído</x:v>
      </x:c>
      <x:c r="G1237" s="86" t="n">
        <x:v>8.1</x:v>
      </x:c>
      <x:c r="H1237" s="93" t="n">
        <x:v>191.04</x:v>
      </x:c>
    </x:row>
    <x:row r="1238">
      <x:c r="A1238" s="88" t="n">
        <x:v>1237</x:v>
      </x:c>
      <x:c r="B1238" s="89" t="n">
        <x:v>161</x:v>
      </x:c>
      <x:c r="C1238" s="89" t="n">
        <x:v>8</x:v>
      </x:c>
      <x:c r="D1238" s="96" t="n">
        <x:v>45887</x:v>
      </x:c>
      <x:c r="E1238" s="96"/>
      <x:c r="F1238" s="89" t="str">
        <x:v>Não iniciado</x:v>
      </x:c>
      <x:c r="G1238" s="89"/>
      <x:c r="H1238" s="94" t="n">
        <x:v>833.13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2.220000267028809" hidden="0" customWidth="1"/>
    <x:col min="3" max="3" width="8" hidden="0" customWidth="1"/>
    <x:col min="4" max="4" width="13.109999656677246" hidden="0" customWidth="1"/>
    <x:col min="5" max="5" width="15.670000076293945" hidden="0" customWidth="1"/>
    <x:col min="6" max="6" width="8.220000267028809" hidden="0" customWidth="1"/>
    <x:col min="7" max="7" width="15" hidden="0" customWidth="1"/>
    <x:col min="8" max="8" width="7.670000076293945" hidden="0" customWidth="1"/>
    <x:col min="9" max="9" width="9.109999656677246" hidden="0" customWidth="1"/>
  </x:cols>
  <x:sheetData>
    <x:row r="1">
      <x:c r="A1" s="82" t="str">
        <x:v>id_avaliacao</x:v>
      </x:c>
      <x:c r="B1" s="83" t="str">
        <x:v>id_colaborador</x:v>
      </x:c>
      <x:c r="C1" s="83" t="str">
        <x:v>ano_ciclo</x:v>
      </x:c>
      <x:c r="D1" s="83" t="str">
        <x:v>nota_resultados</x:v>
      </x:c>
      <x:c r="E1" s="83" t="str">
        <x:v>nota_competencias</x:v>
      </x:c>
      <x:c r="F1" s="83" t="str">
        <x:v>nota_final</x:v>
      </x:c>
      <x:c r="G1" s="83" t="str">
        <x:v>classificacao</x:v>
      </x:c>
      <x:c r="H1" s="83" t="str">
        <x:v>potencial</x:v>
      </x:c>
      <x:c r="I1" s="84" t="str">
        <x:v>possui_pdi</x:v>
      </x:c>
    </x:row>
    <x:row r="2">
      <x:c r="A2" s="85" t="n">
        <x:v>1</x:v>
      </x:c>
      <x:c r="B2" s="86" t="n">
        <x:v>1</x:v>
      </x:c>
      <x:c r="C2" s="86" t="n">
        <x:v>2024</x:v>
      </x:c>
      <x:c r="D2" s="86" t="n">
        <x:v>2.7</x:v>
      </x:c>
      <x:c r="E2" s="86" t="n">
        <x:v>3.2</x:v>
      </x:c>
      <x:c r="F2" s="86" t="n">
        <x:v>2.9</x:v>
      </x:c>
      <x:c r="G2" s="86" t="str">
        <x:v>Abaixo do esperado</x:v>
      </x:c>
      <x:c r="H2" s="86" t="str">
        <x:v>Médio</x:v>
      </x:c>
      <x:c r="I2" s="87" t="n">
        <x:v>1</x:v>
      </x:c>
    </x:row>
    <x:row r="3">
      <x:c r="A3" s="85" t="n">
        <x:v>2</x:v>
      </x:c>
      <x:c r="B3" s="86" t="n">
        <x:v>3</x:v>
      </x:c>
      <x:c r="C3" s="86" t="n">
        <x:v>2024</x:v>
      </x:c>
      <x:c r="D3" s="86" t="n">
        <x:v>3.2</x:v>
      </x:c>
      <x:c r="E3" s="86" t="n">
        <x:v>2.5</x:v>
      </x:c>
      <x:c r="F3" s="86" t="n">
        <x:v>2.9</x:v>
      </x:c>
      <x:c r="G3" s="86" t="str">
        <x:v>Abaixo do esperado</x:v>
      </x:c>
      <x:c r="H3" s="86" t="str">
        <x:v>Baixo</x:v>
      </x:c>
      <x:c r="I3" s="87" t="n">
        <x:v>1</x:v>
      </x:c>
    </x:row>
    <x:row r="4">
      <x:c r="A4" s="85" t="n">
        <x:v>3</x:v>
      </x:c>
      <x:c r="B4" s="86" t="n">
        <x:v>6</x:v>
      </x:c>
      <x:c r="C4" s="86" t="n">
        <x:v>2024</x:v>
      </x:c>
      <x:c r="D4" s="86" t="n">
        <x:v>3.3</x:v>
      </x:c>
      <x:c r="E4" s="86" t="n">
        <x:v>3.5</x:v>
      </x:c>
      <x:c r="F4" s="86" t="n">
        <x:v>3.4</x:v>
      </x:c>
      <x:c r="G4" s="86" t="str">
        <x:v>Dentro do esperado</x:v>
      </x:c>
      <x:c r="H4" s="86" t="str">
        <x:v>Médio</x:v>
      </x:c>
      <x:c r="I4" s="87" t="n">
        <x:v>0</x:v>
      </x:c>
    </x:row>
    <x:row r="5">
      <x:c r="A5" s="85" t="n">
        <x:v>4</x:v>
      </x:c>
      <x:c r="B5" s="86" t="n">
        <x:v>7</x:v>
      </x:c>
      <x:c r="C5" s="86" t="n">
        <x:v>2024</x:v>
      </x:c>
      <x:c r="D5" s="86" t="n">
        <x:v>3</x:v>
      </x:c>
      <x:c r="E5" s="86" t="n">
        <x:v>4</x:v>
      </x:c>
      <x:c r="F5" s="86" t="n">
        <x:v>3.4</x:v>
      </x:c>
      <x:c r="G5" s="86" t="str">
        <x:v>Dentro do esperado</x:v>
      </x:c>
      <x:c r="H5" s="86" t="str">
        <x:v>Baixo</x:v>
      </x:c>
      <x:c r="I5" s="87" t="n">
        <x:v>0</x:v>
      </x:c>
    </x:row>
    <x:row r="6">
      <x:c r="A6" s="85" t="n">
        <x:v>5</x:v>
      </x:c>
      <x:c r="B6" s="86" t="n">
        <x:v>9</x:v>
      </x:c>
      <x:c r="C6" s="86" t="n">
        <x:v>2024</x:v>
      </x:c>
      <x:c r="D6" s="86" t="n">
        <x:v>4.5</x:v>
      </x:c>
      <x:c r="E6" s="86" t="n">
        <x:v>4.7</x:v>
      </x:c>
      <x:c r="F6" s="86" t="n">
        <x:v>4.6</x:v>
      </x:c>
      <x:c r="G6" s="86" t="str">
        <x:v>Excepcional</x:v>
      </x:c>
      <x:c r="H6" s="86" t="str">
        <x:v>Médio</x:v>
      </x:c>
      <x:c r="I6" s="87" t="n">
        <x:v>0</x:v>
      </x:c>
    </x:row>
    <x:row r="7">
      <x:c r="A7" s="85" t="n">
        <x:v>6</x:v>
      </x:c>
      <x:c r="B7" s="86" t="n">
        <x:v>10</x:v>
      </x:c>
      <x:c r="C7" s="86" t="n">
        <x:v>2024</x:v>
      </x:c>
      <x:c r="D7" s="86" t="n">
        <x:v>4.6</x:v>
      </x:c>
      <x:c r="E7" s="86" t="n">
        <x:v>3.4</x:v>
      </x:c>
      <x:c r="F7" s="86" t="n">
        <x:v>4.1</x:v>
      </x:c>
      <x:c r="G7" s="86" t="str">
        <x:v>Acima do esperado</x:v>
      </x:c>
      <x:c r="H7" s="86" t="str">
        <x:v>Médio</x:v>
      </x:c>
      <x:c r="I7" s="87" t="n">
        <x:v>0</x:v>
      </x:c>
    </x:row>
    <x:row r="8">
      <x:c r="A8" s="85" t="n">
        <x:v>7</x:v>
      </x:c>
      <x:c r="B8" s="86" t="n">
        <x:v>11</x:v>
      </x:c>
      <x:c r="C8" s="86" t="n">
        <x:v>2024</x:v>
      </x:c>
      <x:c r="D8" s="86" t="n">
        <x:v>2.4</x:v>
      </x:c>
      <x:c r="E8" s="86" t="n">
        <x:v>2.9</x:v>
      </x:c>
      <x:c r="F8" s="86" t="n">
        <x:v>2.6</x:v>
      </x:c>
      <x:c r="G8" s="86" t="str">
        <x:v>Abaixo do esperado</x:v>
      </x:c>
      <x:c r="H8" s="86" t="str">
        <x:v>Médio</x:v>
      </x:c>
      <x:c r="I8" s="87" t="n">
        <x:v>1</x:v>
      </x:c>
    </x:row>
    <x:row r="9">
      <x:c r="A9" s="85" t="n">
        <x:v>8</x:v>
      </x:c>
      <x:c r="B9" s="86" t="n">
        <x:v>12</x:v>
      </x:c>
      <x:c r="C9" s="86" t="n">
        <x:v>2024</x:v>
      </x:c>
      <x:c r="D9" s="86" t="n">
        <x:v>4.4</x:v>
      </x:c>
      <x:c r="E9" s="86" t="n">
        <x:v>4.9</x:v>
      </x:c>
      <x:c r="F9" s="86" t="n">
        <x:v>4.6</x:v>
      </x:c>
      <x:c r="G9" s="86" t="str">
        <x:v>Excepcional</x:v>
      </x:c>
      <x:c r="H9" s="86" t="str">
        <x:v>Alto</x:v>
      </x:c>
      <x:c r="I9" s="87" t="n">
        <x:v>1</x:v>
      </x:c>
    </x:row>
    <x:row r="10">
      <x:c r="A10" s="85" t="n">
        <x:v>9</x:v>
      </x:c>
      <x:c r="B10" s="86" t="n">
        <x:v>16</x:v>
      </x:c>
      <x:c r="C10" s="86" t="n">
        <x:v>2024</x:v>
      </x:c>
      <x:c r="D10" s="86" t="n">
        <x:v>3.9</x:v>
      </x:c>
      <x:c r="E10" s="86" t="n">
        <x:v>2.7</x:v>
      </x:c>
      <x:c r="F10" s="86" t="n">
        <x:v>3.4</x:v>
      </x:c>
      <x:c r="G10" s="86" t="str">
        <x:v>Dentro do esperado</x:v>
      </x:c>
      <x:c r="H10" s="86" t="str">
        <x:v>Médio</x:v>
      </x:c>
      <x:c r="I10" s="87" t="n">
        <x:v>0</x:v>
      </x:c>
    </x:row>
    <x:row r="11">
      <x:c r="A11" s="85" t="n">
        <x:v>10</x:v>
      </x:c>
      <x:c r="B11" s="86" t="n">
        <x:v>19</x:v>
      </x:c>
      <x:c r="C11" s="86" t="n">
        <x:v>2024</x:v>
      </x:c>
      <x:c r="D11" s="86" t="n">
        <x:v>4.7</x:v>
      </x:c>
      <x:c r="E11" s="86" t="n">
        <x:v>3.5</x:v>
      </x:c>
      <x:c r="F11" s="86" t="n">
        <x:v>4.2</x:v>
      </x:c>
      <x:c r="G11" s="86" t="str">
        <x:v>Acima do esperado</x:v>
      </x:c>
      <x:c r="H11" s="86" t="str">
        <x:v>Baixo</x:v>
      </x:c>
      <x:c r="I11" s="87" t="n">
        <x:v>0</x:v>
      </x:c>
    </x:row>
    <x:row r="12">
      <x:c r="A12" s="85" t="n">
        <x:v>11</x:v>
      </x:c>
      <x:c r="B12" s="86" t="n">
        <x:v>20</x:v>
      </x:c>
      <x:c r="C12" s="86" t="n">
        <x:v>2024</x:v>
      </x:c>
      <x:c r="D12" s="86" t="n">
        <x:v>3.5</x:v>
      </x:c>
      <x:c r="E12" s="86" t="n">
        <x:v>2.8</x:v>
      </x:c>
      <x:c r="F12" s="86" t="n">
        <x:v>3.2</x:v>
      </x:c>
      <x:c r="G12" s="86" t="str">
        <x:v>Dentro do esperado</x:v>
      </x:c>
      <x:c r="H12" s="86" t="str">
        <x:v>Médio</x:v>
      </x:c>
      <x:c r="I12" s="87" t="n">
        <x:v>0</x:v>
      </x:c>
    </x:row>
    <x:row r="13">
      <x:c r="A13" s="85" t="n">
        <x:v>12</x:v>
      </x:c>
      <x:c r="B13" s="86" t="n">
        <x:v>21</x:v>
      </x:c>
      <x:c r="C13" s="86" t="n">
        <x:v>2024</x:v>
      </x:c>
      <x:c r="D13" s="86" t="n">
        <x:v>3.2</x:v>
      </x:c>
      <x:c r="E13" s="86" t="n">
        <x:v>4.3</x:v>
      </x:c>
      <x:c r="F13" s="86" t="n">
        <x:v>3.6</x:v>
      </x:c>
      <x:c r="G13" s="86" t="str">
        <x:v>Dentro do esperado</x:v>
      </x:c>
      <x:c r="H13" s="86" t="str">
        <x:v>Médio</x:v>
      </x:c>
      <x:c r="I13" s="87" t="n">
        <x:v>0</x:v>
      </x:c>
    </x:row>
    <x:row r="14">
      <x:c r="A14" s="85" t="n">
        <x:v>13</x:v>
      </x:c>
      <x:c r="B14" s="86" t="n">
        <x:v>22</x:v>
      </x:c>
      <x:c r="C14" s="86" t="n">
        <x:v>2024</x:v>
      </x:c>
      <x:c r="D14" s="86" t="n">
        <x:v>3.6</x:v>
      </x:c>
      <x:c r="E14" s="86" t="n">
        <x:v>3</x:v>
      </x:c>
      <x:c r="F14" s="86" t="n">
        <x:v>3.4</x:v>
      </x:c>
      <x:c r="G14" s="86" t="str">
        <x:v>Dentro do esperado</x:v>
      </x:c>
      <x:c r="H14" s="86" t="str">
        <x:v>Médio</x:v>
      </x:c>
      <x:c r="I14" s="87" t="n">
        <x:v>0</x:v>
      </x:c>
    </x:row>
    <x:row r="15">
      <x:c r="A15" s="85" t="n">
        <x:v>14</x:v>
      </x:c>
      <x:c r="B15" s="86" t="n">
        <x:v>23</x:v>
      </x:c>
      <x:c r="C15" s="86" t="n">
        <x:v>2024</x:v>
      </x:c>
      <x:c r="D15" s="86" t="n">
        <x:v>3</x:v>
      </x:c>
      <x:c r="E15" s="86" t="n">
        <x:v>4.8</x:v>
      </x:c>
      <x:c r="F15" s="86" t="n">
        <x:v>3.7</x:v>
      </x:c>
      <x:c r="G15" s="86" t="str">
        <x:v>Dentro do esperado</x:v>
      </x:c>
      <x:c r="H15" s="86" t="str">
        <x:v>Médio</x:v>
      </x:c>
      <x:c r="I15" s="87" t="n">
        <x:v>0</x:v>
      </x:c>
    </x:row>
    <x:row r="16">
      <x:c r="A16" s="85" t="n">
        <x:v>15</x:v>
      </x:c>
      <x:c r="B16" s="86" t="n">
        <x:v>24</x:v>
      </x:c>
      <x:c r="C16" s="86" t="n">
        <x:v>2024</x:v>
      </x:c>
      <x:c r="D16" s="86" t="n">
        <x:v>3.4</x:v>
      </x:c>
      <x:c r="E16" s="86" t="n">
        <x:v>4.3</x:v>
      </x:c>
      <x:c r="F16" s="86" t="n">
        <x:v>3.8</x:v>
      </x:c>
      <x:c r="G16" s="86" t="str">
        <x:v>Acima do esperado</x:v>
      </x:c>
      <x:c r="H16" s="86" t="str">
        <x:v>Médio</x:v>
      </x:c>
      <x:c r="I16" s="87" t="n">
        <x:v>0</x:v>
      </x:c>
    </x:row>
    <x:row r="17">
      <x:c r="A17" s="85" t="n">
        <x:v>16</x:v>
      </x:c>
      <x:c r="B17" s="86" t="n">
        <x:v>25</x:v>
      </x:c>
      <x:c r="C17" s="86" t="n">
        <x:v>2024</x:v>
      </x:c>
      <x:c r="D17" s="86" t="n">
        <x:v>3.2</x:v>
      </x:c>
      <x:c r="E17" s="86" t="n">
        <x:v>2.4</x:v>
      </x:c>
      <x:c r="F17" s="86" t="n">
        <x:v>2.9</x:v>
      </x:c>
      <x:c r="G17" s="86" t="str">
        <x:v>Abaixo do esperado</x:v>
      </x:c>
      <x:c r="H17" s="86" t="str">
        <x:v>Médio</x:v>
      </x:c>
      <x:c r="I17" s="87" t="n">
        <x:v>1</x:v>
      </x:c>
    </x:row>
    <x:row r="18">
      <x:c r="A18" s="85" t="n">
        <x:v>17</x:v>
      </x:c>
      <x:c r="B18" s="86" t="n">
        <x:v>27</x:v>
      </x:c>
      <x:c r="C18" s="86" t="n">
        <x:v>2024</x:v>
      </x:c>
      <x:c r="D18" s="86" t="n">
        <x:v>4.5</x:v>
      </x:c>
      <x:c r="E18" s="86" t="n">
        <x:v>2.5</x:v>
      </x:c>
      <x:c r="F18" s="86" t="n">
        <x:v>3.7</x:v>
      </x:c>
      <x:c r="G18" s="86" t="str">
        <x:v>Dentro do esperado</x:v>
      </x:c>
      <x:c r="H18" s="86" t="str">
        <x:v>Alto</x:v>
      </x:c>
      <x:c r="I18" s="87" t="n">
        <x:v>1</x:v>
      </x:c>
    </x:row>
    <x:row r="19">
      <x:c r="A19" s="85" t="n">
        <x:v>18</x:v>
      </x:c>
      <x:c r="B19" s="86" t="n">
        <x:v>28</x:v>
      </x:c>
      <x:c r="C19" s="86" t="n">
        <x:v>2024</x:v>
      </x:c>
      <x:c r="D19" s="86" t="n">
        <x:v>3</x:v>
      </x:c>
      <x:c r="E19" s="86" t="n">
        <x:v>4.4</x:v>
      </x:c>
      <x:c r="F19" s="86" t="n">
        <x:v>3.6</x:v>
      </x:c>
      <x:c r="G19" s="86" t="str">
        <x:v>Dentro do esperado</x:v>
      </x:c>
      <x:c r="H19" s="86" t="str">
        <x:v>Médio</x:v>
      </x:c>
      <x:c r="I19" s="87" t="n">
        <x:v>0</x:v>
      </x:c>
    </x:row>
    <x:row r="20">
      <x:c r="A20" s="85" t="n">
        <x:v>19</x:v>
      </x:c>
      <x:c r="B20" s="86" t="n">
        <x:v>30</x:v>
      </x:c>
      <x:c r="C20" s="86" t="n">
        <x:v>2024</x:v>
      </x:c>
      <x:c r="D20" s="86" t="n">
        <x:v>4.7</x:v>
      </x:c>
      <x:c r="E20" s="86" t="n">
        <x:v>4.2</x:v>
      </x:c>
      <x:c r="F20" s="86" t="n">
        <x:v>4.5</x:v>
      </x:c>
      <x:c r="G20" s="86" t="str">
        <x:v>Excepcional</x:v>
      </x:c>
      <x:c r="H20" s="86" t="str">
        <x:v>Baixo</x:v>
      </x:c>
      <x:c r="I20" s="87" t="n">
        <x:v>0</x:v>
      </x:c>
    </x:row>
    <x:row r="21">
      <x:c r="A21" s="85" t="n">
        <x:v>20</x:v>
      </x:c>
      <x:c r="B21" s="86" t="n">
        <x:v>31</x:v>
      </x:c>
      <x:c r="C21" s="86" t="n">
        <x:v>2024</x:v>
      </x:c>
      <x:c r="D21" s="86" t="n">
        <x:v>3.8</x:v>
      </x:c>
      <x:c r="E21" s="86" t="n">
        <x:v>2.5</x:v>
      </x:c>
      <x:c r="F21" s="86" t="n">
        <x:v>3.3</x:v>
      </x:c>
      <x:c r="G21" s="86" t="str">
        <x:v>Dentro do esperado</x:v>
      </x:c>
      <x:c r="H21" s="86" t="str">
        <x:v>Médio</x:v>
      </x:c>
      <x:c r="I21" s="87" t="n">
        <x:v>0</x:v>
      </x:c>
    </x:row>
    <x:row r="22">
      <x:c r="A22" s="85" t="n">
        <x:v>21</x:v>
      </x:c>
      <x:c r="B22" s="86" t="n">
        <x:v>32</x:v>
      </x:c>
      <x:c r="C22" s="86" t="n">
        <x:v>2024</x:v>
      </x:c>
      <x:c r="D22" s="86" t="n">
        <x:v>4.1</x:v>
      </x:c>
      <x:c r="E22" s="86" t="n">
        <x:v>4</x:v>
      </x:c>
      <x:c r="F22" s="86" t="n">
        <x:v>4.1</x:v>
      </x:c>
      <x:c r="G22" s="86" t="str">
        <x:v>Acima do esperado</x:v>
      </x:c>
      <x:c r="H22" s="86" t="str">
        <x:v>Médio</x:v>
      </x:c>
      <x:c r="I22" s="87" t="n">
        <x:v>0</x:v>
      </x:c>
    </x:row>
    <x:row r="23">
      <x:c r="A23" s="85" t="n">
        <x:v>22</x:v>
      </x:c>
      <x:c r="B23" s="86" t="n">
        <x:v>33</x:v>
      </x:c>
      <x:c r="C23" s="86" t="n">
        <x:v>2024</x:v>
      </x:c>
      <x:c r="D23" s="86" t="n">
        <x:v>3.4</x:v>
      </x:c>
      <x:c r="E23" s="86" t="n">
        <x:v>4.3</x:v>
      </x:c>
      <x:c r="F23" s="86" t="n">
        <x:v>3.8</x:v>
      </x:c>
      <x:c r="G23" s="86" t="str">
        <x:v>Acima do esperado</x:v>
      </x:c>
      <x:c r="H23" s="86" t="str">
        <x:v>Médio</x:v>
      </x:c>
      <x:c r="I23" s="87" t="n">
        <x:v>0</x:v>
      </x:c>
    </x:row>
    <x:row r="24">
      <x:c r="A24" s="85" t="n">
        <x:v>23</x:v>
      </x:c>
      <x:c r="B24" s="86" t="n">
        <x:v>34</x:v>
      </x:c>
      <x:c r="C24" s="86" t="n">
        <x:v>2024</x:v>
      </x:c>
      <x:c r="D24" s="86" t="n">
        <x:v>2.7</x:v>
      </x:c>
      <x:c r="E24" s="86" t="n">
        <x:v>2.8</x:v>
      </x:c>
      <x:c r="F24" s="86" t="n">
        <x:v>2.7</x:v>
      </x:c>
      <x:c r="G24" s="86" t="str">
        <x:v>Abaixo do esperado</x:v>
      </x:c>
      <x:c r="H24" s="86" t="str">
        <x:v>Médio</x:v>
      </x:c>
      <x:c r="I24" s="87" t="n">
        <x:v>1</x:v>
      </x:c>
    </x:row>
    <x:row r="25">
      <x:c r="A25" s="85" t="n">
        <x:v>24</x:v>
      </x:c>
      <x:c r="B25" s="86" t="n">
        <x:v>35</x:v>
      </x:c>
      <x:c r="C25" s="86" t="n">
        <x:v>2024</x:v>
      </x:c>
      <x:c r="D25" s="86" t="n">
        <x:v>4.3</x:v>
      </x:c>
      <x:c r="E25" s="86" t="n">
        <x:v>3.1</x:v>
      </x:c>
      <x:c r="F25" s="86" t="n">
        <x:v>3.8</x:v>
      </x:c>
      <x:c r="G25" s="86" t="str">
        <x:v>Acima do esperado</x:v>
      </x:c>
      <x:c r="H25" s="86" t="str">
        <x:v>Médio</x:v>
      </x:c>
      <x:c r="I25" s="87" t="n">
        <x:v>0</x:v>
      </x:c>
    </x:row>
    <x:row r="26">
      <x:c r="A26" s="85" t="n">
        <x:v>25</x:v>
      </x:c>
      <x:c r="B26" s="86" t="n">
        <x:v>36</x:v>
      </x:c>
      <x:c r="C26" s="86" t="n">
        <x:v>2024</x:v>
      </x:c>
      <x:c r="D26" s="86" t="n">
        <x:v>3.8</x:v>
      </x:c>
      <x:c r="E26" s="86" t="n">
        <x:v>2.5</x:v>
      </x:c>
      <x:c r="F26" s="86" t="n">
        <x:v>3.3</x:v>
      </x:c>
      <x:c r="G26" s="86" t="str">
        <x:v>Dentro do esperado</x:v>
      </x:c>
      <x:c r="H26" s="86" t="str">
        <x:v>Alto</x:v>
      </x:c>
      <x:c r="I26" s="87" t="n">
        <x:v>1</x:v>
      </x:c>
    </x:row>
    <x:row r="27">
      <x:c r="A27" s="85" t="n">
        <x:v>26</x:v>
      </x:c>
      <x:c r="B27" s="86" t="n">
        <x:v>37</x:v>
      </x:c>
      <x:c r="C27" s="86" t="n">
        <x:v>2024</x:v>
      </x:c>
      <x:c r="D27" s="86" t="n">
        <x:v>3.4</x:v>
      </x:c>
      <x:c r="E27" s="86" t="n">
        <x:v>3.1</x:v>
      </x:c>
      <x:c r="F27" s="86" t="n">
        <x:v>3.3</x:v>
      </x:c>
      <x:c r="G27" s="86" t="str">
        <x:v>Dentro do esperado</x:v>
      </x:c>
      <x:c r="H27" s="86" t="str">
        <x:v>Médio</x:v>
      </x:c>
      <x:c r="I27" s="87" t="n">
        <x:v>0</x:v>
      </x:c>
    </x:row>
    <x:row r="28">
      <x:c r="A28" s="85" t="n">
        <x:v>27</x:v>
      </x:c>
      <x:c r="B28" s="86" t="n">
        <x:v>38</x:v>
      </x:c>
      <x:c r="C28" s="86" t="n">
        <x:v>2024</x:v>
      </x:c>
      <x:c r="D28" s="86" t="n">
        <x:v>4.5</x:v>
      </x:c>
      <x:c r="E28" s="86" t="n">
        <x:v>3.1</x:v>
      </x:c>
      <x:c r="F28" s="86" t="n">
        <x:v>3.9</x:v>
      </x:c>
      <x:c r="G28" s="86" t="str">
        <x:v>Acima do esperado</x:v>
      </x:c>
      <x:c r="H28" s="86" t="str">
        <x:v>Médio</x:v>
      </x:c>
      <x:c r="I28" s="87" t="n">
        <x:v>0</x:v>
      </x:c>
    </x:row>
    <x:row r="29">
      <x:c r="A29" s="85" t="n">
        <x:v>28</x:v>
      </x:c>
      <x:c r="B29" s="86" t="n">
        <x:v>40</x:v>
      </x:c>
      <x:c r="C29" s="86" t="n">
        <x:v>2024</x:v>
      </x:c>
      <x:c r="D29" s="86" t="n">
        <x:v>2.4</x:v>
      </x:c>
      <x:c r="E29" s="86" t="n">
        <x:v>3.6</x:v>
      </x:c>
      <x:c r="F29" s="86" t="n">
        <x:v>2.9</x:v>
      </x:c>
      <x:c r="G29" s="86" t="str">
        <x:v>Abaixo do esperado</x:v>
      </x:c>
      <x:c r="H29" s="86" t="str">
        <x:v>Médio</x:v>
      </x:c>
      <x:c r="I29" s="87" t="n">
        <x:v>1</x:v>
      </x:c>
    </x:row>
    <x:row r="30">
      <x:c r="A30" s="85" t="n">
        <x:v>29</x:v>
      </x:c>
      <x:c r="B30" s="86" t="n">
        <x:v>41</x:v>
      </x:c>
      <x:c r="C30" s="86" t="n">
        <x:v>2024</x:v>
      </x:c>
      <x:c r="D30" s="86" t="n">
        <x:v>4.5</x:v>
      </x:c>
      <x:c r="E30" s="86" t="n">
        <x:v>4.7</x:v>
      </x:c>
      <x:c r="F30" s="86" t="n">
        <x:v>4.6</x:v>
      </x:c>
      <x:c r="G30" s="86" t="str">
        <x:v>Excepcional</x:v>
      </x:c>
      <x:c r="H30" s="86" t="str">
        <x:v>Médio</x:v>
      </x:c>
      <x:c r="I30" s="87" t="n">
        <x:v>0</x:v>
      </x:c>
    </x:row>
    <x:row r="31">
      <x:c r="A31" s="85" t="n">
        <x:v>30</x:v>
      </x:c>
      <x:c r="B31" s="86" t="n">
        <x:v>43</x:v>
      </x:c>
      <x:c r="C31" s="86" t="n">
        <x:v>2024</x:v>
      </x:c>
      <x:c r="D31" s="86" t="n">
        <x:v>4.8</x:v>
      </x:c>
      <x:c r="E31" s="86" t="n">
        <x:v>3.3</x:v>
      </x:c>
      <x:c r="F31" s="86" t="n">
        <x:v>4.2</x:v>
      </x:c>
      <x:c r="G31" s="86" t="str">
        <x:v>Acima do esperado</x:v>
      </x:c>
      <x:c r="H31" s="86" t="str">
        <x:v>Médio</x:v>
      </x:c>
      <x:c r="I31" s="87" t="n">
        <x:v>0</x:v>
      </x:c>
    </x:row>
    <x:row r="32">
      <x:c r="A32" s="85" t="n">
        <x:v>31</x:v>
      </x:c>
      <x:c r="B32" s="86" t="n">
        <x:v>45</x:v>
      </x:c>
      <x:c r="C32" s="86" t="n">
        <x:v>2024</x:v>
      </x:c>
      <x:c r="D32" s="86" t="n">
        <x:v>3.9</x:v>
      </x:c>
      <x:c r="E32" s="86" t="n">
        <x:v>2.9</x:v>
      </x:c>
      <x:c r="F32" s="86" t="n">
        <x:v>3.5</x:v>
      </x:c>
      <x:c r="G32" s="86" t="str">
        <x:v>Dentro do esperado</x:v>
      </x:c>
      <x:c r="H32" s="86" t="str">
        <x:v>Alto</x:v>
      </x:c>
      <x:c r="I32" s="87" t="n">
        <x:v>1</x:v>
      </x:c>
    </x:row>
    <x:row r="33">
      <x:c r="A33" s="85" t="n">
        <x:v>32</x:v>
      </x:c>
      <x:c r="B33" s="86" t="n">
        <x:v>46</x:v>
      </x:c>
      <x:c r="C33" s="86" t="n">
        <x:v>2024</x:v>
      </x:c>
      <x:c r="D33" s="86" t="n">
        <x:v>3.2</x:v>
      </x:c>
      <x:c r="E33" s="86" t="n">
        <x:v>3.4</x:v>
      </x:c>
      <x:c r="F33" s="86" t="n">
        <x:v>3.3</x:v>
      </x:c>
      <x:c r="G33" s="86" t="str">
        <x:v>Dentro do esperado</x:v>
      </x:c>
      <x:c r="H33" s="86" t="str">
        <x:v>Médio</x:v>
      </x:c>
      <x:c r="I33" s="87" t="n">
        <x:v>0</x:v>
      </x:c>
    </x:row>
    <x:row r="34">
      <x:c r="A34" s="85" t="n">
        <x:v>33</x:v>
      </x:c>
      <x:c r="B34" s="86" t="n">
        <x:v>47</x:v>
      </x:c>
      <x:c r="C34" s="86" t="n">
        <x:v>2024</x:v>
      </x:c>
      <x:c r="D34" s="86" t="n">
        <x:v>4.1</x:v>
      </x:c>
      <x:c r="E34" s="86" t="n">
        <x:v>2.8</x:v>
      </x:c>
      <x:c r="F34" s="86" t="n">
        <x:v>3.6</x:v>
      </x:c>
      <x:c r="G34" s="86" t="str">
        <x:v>Dentro do esperado</x:v>
      </x:c>
      <x:c r="H34" s="86" t="str">
        <x:v>Médio</x:v>
      </x:c>
      <x:c r="I34" s="87" t="n">
        <x:v>0</x:v>
      </x:c>
    </x:row>
    <x:row r="35">
      <x:c r="A35" s="85" t="n">
        <x:v>34</x:v>
      </x:c>
      <x:c r="B35" s="86" t="n">
        <x:v>48</x:v>
      </x:c>
      <x:c r="C35" s="86" t="n">
        <x:v>2024</x:v>
      </x:c>
      <x:c r="D35" s="86" t="n">
        <x:v>4.3</x:v>
      </x:c>
      <x:c r="E35" s="86" t="n">
        <x:v>4.1</x:v>
      </x:c>
      <x:c r="F35" s="86" t="n">
        <x:v>4.2</x:v>
      </x:c>
      <x:c r="G35" s="86" t="str">
        <x:v>Acima do esperado</x:v>
      </x:c>
      <x:c r="H35" s="86" t="str">
        <x:v>Médio</x:v>
      </x:c>
      <x:c r="I35" s="87" t="n">
        <x:v>0</x:v>
      </x:c>
    </x:row>
    <x:row r="36">
      <x:c r="A36" s="85" t="n">
        <x:v>35</x:v>
      </x:c>
      <x:c r="B36" s="86" t="n">
        <x:v>49</x:v>
      </x:c>
      <x:c r="C36" s="86" t="n">
        <x:v>2024</x:v>
      </x:c>
      <x:c r="D36" s="86" t="n">
        <x:v>4.5</x:v>
      </x:c>
      <x:c r="E36" s="86" t="n">
        <x:v>3.9</x:v>
      </x:c>
      <x:c r="F36" s="86" t="n">
        <x:v>4.3</x:v>
      </x:c>
      <x:c r="G36" s="86" t="str">
        <x:v>Acima do esperado</x:v>
      </x:c>
      <x:c r="H36" s="86" t="str">
        <x:v>Baixo</x:v>
      </x:c>
      <x:c r="I36" s="87" t="n">
        <x:v>0</x:v>
      </x:c>
    </x:row>
    <x:row r="37">
      <x:c r="A37" s="85" t="n">
        <x:v>36</x:v>
      </x:c>
      <x:c r="B37" s="86" t="n">
        <x:v>51</x:v>
      </x:c>
      <x:c r="C37" s="86" t="n">
        <x:v>2024</x:v>
      </x:c>
      <x:c r="D37" s="86" t="n">
        <x:v>3.4</x:v>
      </x:c>
      <x:c r="E37" s="86" t="n">
        <x:v>4.1</x:v>
      </x:c>
      <x:c r="F37" s="86" t="n">
        <x:v>3.7</x:v>
      </x:c>
      <x:c r="G37" s="86" t="str">
        <x:v>Dentro do esperado</x:v>
      </x:c>
      <x:c r="H37" s="86" t="str">
        <x:v>Médio</x:v>
      </x:c>
      <x:c r="I37" s="87" t="n">
        <x:v>0</x:v>
      </x:c>
    </x:row>
    <x:row r="38">
      <x:c r="A38" s="85" t="n">
        <x:v>37</x:v>
      </x:c>
      <x:c r="B38" s="86" t="n">
        <x:v>57</x:v>
      </x:c>
      <x:c r="C38" s="86" t="n">
        <x:v>2024</x:v>
      </x:c>
      <x:c r="D38" s="86" t="n">
        <x:v>4.2</x:v>
      </x:c>
      <x:c r="E38" s="86" t="n">
        <x:v>2.7</x:v>
      </x:c>
      <x:c r="F38" s="86" t="n">
        <x:v>3.6</x:v>
      </x:c>
      <x:c r="G38" s="86" t="str">
        <x:v>Dentro do esperado</x:v>
      </x:c>
      <x:c r="H38" s="86" t="str">
        <x:v>Médio</x:v>
      </x:c>
      <x:c r="I38" s="87" t="n">
        <x:v>0</x:v>
      </x:c>
    </x:row>
    <x:row r="39">
      <x:c r="A39" s="85" t="n">
        <x:v>38</x:v>
      </x:c>
      <x:c r="B39" s="86" t="n">
        <x:v>59</x:v>
      </x:c>
      <x:c r="C39" s="86" t="n">
        <x:v>2024</x:v>
      </x:c>
      <x:c r="D39" s="86" t="n">
        <x:v>2.7</x:v>
      </x:c>
      <x:c r="E39" s="86" t="n">
        <x:v>4</x:v>
      </x:c>
      <x:c r="F39" s="86" t="n">
        <x:v>3.2</x:v>
      </x:c>
      <x:c r="G39" s="86" t="str">
        <x:v>Dentro do esperado</x:v>
      </x:c>
      <x:c r="H39" s="86" t="str">
        <x:v>Médio</x:v>
      </x:c>
      <x:c r="I39" s="87" t="n">
        <x:v>0</x:v>
      </x:c>
    </x:row>
    <x:row r="40">
      <x:c r="A40" s="85" t="n">
        <x:v>39</x:v>
      </x:c>
      <x:c r="B40" s="86" t="n">
        <x:v>60</x:v>
      </x:c>
      <x:c r="C40" s="86" t="n">
        <x:v>2024</x:v>
      </x:c>
      <x:c r="D40" s="86" t="n">
        <x:v>2.3</x:v>
      </x:c>
      <x:c r="E40" s="86" t="n">
        <x:v>3.1</x:v>
      </x:c>
      <x:c r="F40" s="86" t="n">
        <x:v>2.6</x:v>
      </x:c>
      <x:c r="G40" s="86" t="str">
        <x:v>Abaixo do esperado</x:v>
      </x:c>
      <x:c r="H40" s="86" t="str">
        <x:v>Médio</x:v>
      </x:c>
      <x:c r="I40" s="87" t="n">
        <x:v>1</x:v>
      </x:c>
    </x:row>
    <x:row r="41">
      <x:c r="A41" s="85" t="n">
        <x:v>40</x:v>
      </x:c>
      <x:c r="B41" s="86" t="n">
        <x:v>61</x:v>
      </x:c>
      <x:c r="C41" s="86" t="n">
        <x:v>2024</x:v>
      </x:c>
      <x:c r="D41" s="86" t="n">
        <x:v>4.5</x:v>
      </x:c>
      <x:c r="E41" s="86" t="n">
        <x:v>2.9</x:v>
      </x:c>
      <x:c r="F41" s="86" t="n">
        <x:v>3.9</x:v>
      </x:c>
      <x:c r="G41" s="86" t="str">
        <x:v>Acima do esperado</x:v>
      </x:c>
      <x:c r="H41" s="86" t="str">
        <x:v>Médio</x:v>
      </x:c>
      <x:c r="I41" s="87" t="n">
        <x:v>0</x:v>
      </x:c>
    </x:row>
    <x:row r="42">
      <x:c r="A42" s="85" t="n">
        <x:v>41</x:v>
      </x:c>
      <x:c r="B42" s="86" t="n">
        <x:v>63</x:v>
      </x:c>
      <x:c r="C42" s="86" t="n">
        <x:v>2024</x:v>
      </x:c>
      <x:c r="D42" s="86" t="n">
        <x:v>3.1</x:v>
      </x:c>
      <x:c r="E42" s="86" t="n">
        <x:v>3.4</x:v>
      </x:c>
      <x:c r="F42" s="86" t="n">
        <x:v>3.2</x:v>
      </x:c>
      <x:c r="G42" s="86" t="str">
        <x:v>Dentro do esperado</x:v>
      </x:c>
      <x:c r="H42" s="86" t="str">
        <x:v>Médio</x:v>
      </x:c>
      <x:c r="I42" s="87" t="n">
        <x:v>0</x:v>
      </x:c>
    </x:row>
    <x:row r="43">
      <x:c r="A43" s="85" t="n">
        <x:v>42</x:v>
      </x:c>
      <x:c r="B43" s="86" t="n">
        <x:v>64</x:v>
      </x:c>
      <x:c r="C43" s="86" t="n">
        <x:v>2024</x:v>
      </x:c>
      <x:c r="D43" s="86" t="n">
        <x:v>3.4</x:v>
      </x:c>
      <x:c r="E43" s="86" t="n">
        <x:v>3</x:v>
      </x:c>
      <x:c r="F43" s="86" t="n">
        <x:v>3.2</x:v>
      </x:c>
      <x:c r="G43" s="86" t="str">
        <x:v>Dentro do esperado</x:v>
      </x:c>
      <x:c r="H43" s="86" t="str">
        <x:v>Médio</x:v>
      </x:c>
      <x:c r="I43" s="87" t="n">
        <x:v>0</x:v>
      </x:c>
    </x:row>
    <x:row r="44">
      <x:c r="A44" s="85" t="n">
        <x:v>43</x:v>
      </x:c>
      <x:c r="B44" s="86" t="n">
        <x:v>66</x:v>
      </x:c>
      <x:c r="C44" s="86" t="n">
        <x:v>2024</x:v>
      </x:c>
      <x:c r="D44" s="86" t="n">
        <x:v>4.3</x:v>
      </x:c>
      <x:c r="E44" s="86" t="n">
        <x:v>3.5</x:v>
      </x:c>
      <x:c r="F44" s="86" t="n">
        <x:v>4</x:v>
      </x:c>
      <x:c r="G44" s="86" t="str">
        <x:v>Acima do esperado</x:v>
      </x:c>
      <x:c r="H44" s="86" t="str">
        <x:v>Alto</x:v>
      </x:c>
      <x:c r="I44" s="87" t="n">
        <x:v>1</x:v>
      </x:c>
    </x:row>
    <x:row r="45">
      <x:c r="A45" s="85" t="n">
        <x:v>44</x:v>
      </x:c>
      <x:c r="B45" s="86" t="n">
        <x:v>67</x:v>
      </x:c>
      <x:c r="C45" s="86" t="n">
        <x:v>2024</x:v>
      </x:c>
      <x:c r="D45" s="86" t="n">
        <x:v>4.9</x:v>
      </x:c>
      <x:c r="E45" s="86" t="n">
        <x:v>4</x:v>
      </x:c>
      <x:c r="F45" s="86" t="n">
        <x:v>4.5</x:v>
      </x:c>
      <x:c r="G45" s="86" t="str">
        <x:v>Excepcional</x:v>
      </x:c>
      <x:c r="H45" s="86" t="str">
        <x:v>Alto</x:v>
      </x:c>
      <x:c r="I45" s="87" t="n">
        <x:v>1</x:v>
      </x:c>
    </x:row>
    <x:row r="46">
      <x:c r="A46" s="85" t="n">
        <x:v>45</x:v>
      </x:c>
      <x:c r="B46" s="86" t="n">
        <x:v>69</x:v>
      </x:c>
      <x:c r="C46" s="86" t="n">
        <x:v>2024</x:v>
      </x:c>
      <x:c r="D46" s="86" t="n">
        <x:v>4.4</x:v>
      </x:c>
      <x:c r="E46" s="86" t="n">
        <x:v>4.2</x:v>
      </x:c>
      <x:c r="F46" s="86" t="n">
        <x:v>4.3</x:v>
      </x:c>
      <x:c r="G46" s="86" t="str">
        <x:v>Acima do esperado</x:v>
      </x:c>
      <x:c r="H46" s="86" t="str">
        <x:v>Médio</x:v>
      </x:c>
      <x:c r="I46" s="87" t="n">
        <x:v>0</x:v>
      </x:c>
    </x:row>
    <x:row r="47">
      <x:c r="A47" s="85" t="n">
        <x:v>46</x:v>
      </x:c>
      <x:c r="B47" s="86" t="n">
        <x:v>70</x:v>
      </x:c>
      <x:c r="C47" s="86" t="n">
        <x:v>2024</x:v>
      </x:c>
      <x:c r="D47" s="86" t="n">
        <x:v>3.2</x:v>
      </x:c>
      <x:c r="E47" s="86" t="n">
        <x:v>3.8</x:v>
      </x:c>
      <x:c r="F47" s="86" t="n">
        <x:v>3.4</x:v>
      </x:c>
      <x:c r="G47" s="86" t="str">
        <x:v>Dentro do esperado</x:v>
      </x:c>
      <x:c r="H47" s="86" t="str">
        <x:v>Médio</x:v>
      </x:c>
      <x:c r="I47" s="87" t="n">
        <x:v>0</x:v>
      </x:c>
    </x:row>
    <x:row r="48">
      <x:c r="A48" s="85" t="n">
        <x:v>47</x:v>
      </x:c>
      <x:c r="B48" s="86" t="n">
        <x:v>72</x:v>
      </x:c>
      <x:c r="C48" s="86" t="n">
        <x:v>2024</x:v>
      </x:c>
      <x:c r="D48" s="86" t="n">
        <x:v>4.4</x:v>
      </x:c>
      <x:c r="E48" s="86" t="n">
        <x:v>3.9</x:v>
      </x:c>
      <x:c r="F48" s="86" t="n">
        <x:v>4.2</x:v>
      </x:c>
      <x:c r="G48" s="86" t="str">
        <x:v>Acima do esperado</x:v>
      </x:c>
      <x:c r="H48" s="86" t="str">
        <x:v>Médio</x:v>
      </x:c>
      <x:c r="I48" s="87" t="n">
        <x:v>0</x:v>
      </x:c>
    </x:row>
    <x:row r="49">
      <x:c r="A49" s="85" t="n">
        <x:v>48</x:v>
      </x:c>
      <x:c r="B49" s="86" t="n">
        <x:v>75</x:v>
      </x:c>
      <x:c r="C49" s="86" t="n">
        <x:v>2024</x:v>
      </x:c>
      <x:c r="D49" s="86" t="n">
        <x:v>4.1</x:v>
      </x:c>
      <x:c r="E49" s="86" t="n">
        <x:v>2.7</x:v>
      </x:c>
      <x:c r="F49" s="86" t="n">
        <x:v>3.5</x:v>
      </x:c>
      <x:c r="G49" s="86" t="str">
        <x:v>Dentro do esperado</x:v>
      </x:c>
      <x:c r="H49" s="86" t="str">
        <x:v>Médio</x:v>
      </x:c>
      <x:c r="I49" s="87" t="n">
        <x:v>0</x:v>
      </x:c>
    </x:row>
    <x:row r="50">
      <x:c r="A50" s="85" t="n">
        <x:v>49</x:v>
      </x:c>
      <x:c r="B50" s="86" t="n">
        <x:v>77</x:v>
      </x:c>
      <x:c r="C50" s="86" t="n">
        <x:v>2024</x:v>
      </x:c>
      <x:c r="D50" s="86" t="n">
        <x:v>2.4</x:v>
      </x:c>
      <x:c r="E50" s="86" t="n">
        <x:v>4.6</x:v>
      </x:c>
      <x:c r="F50" s="86" t="n">
        <x:v>3.3</x:v>
      </x:c>
      <x:c r="G50" s="86" t="str">
        <x:v>Dentro do esperado</x:v>
      </x:c>
      <x:c r="H50" s="86" t="str">
        <x:v>Médio</x:v>
      </x:c>
      <x:c r="I50" s="87" t="n">
        <x:v>0</x:v>
      </x:c>
    </x:row>
    <x:row r="51">
      <x:c r="A51" s="85" t="n">
        <x:v>50</x:v>
      </x:c>
      <x:c r="B51" s="86" t="n">
        <x:v>79</x:v>
      </x:c>
      <x:c r="C51" s="86" t="n">
        <x:v>2024</x:v>
      </x:c>
      <x:c r="D51" s="86" t="n">
        <x:v>4.5</x:v>
      </x:c>
      <x:c r="E51" s="86" t="n">
        <x:v>4.1</x:v>
      </x:c>
      <x:c r="F51" s="86" t="n">
        <x:v>4.3</x:v>
      </x:c>
      <x:c r="G51" s="86" t="str">
        <x:v>Acima do esperado</x:v>
      </x:c>
      <x:c r="H51" s="86" t="str">
        <x:v>Médio</x:v>
      </x:c>
      <x:c r="I51" s="87" t="n">
        <x:v>0</x:v>
      </x:c>
    </x:row>
    <x:row r="52">
      <x:c r="A52" s="85" t="n">
        <x:v>51</x:v>
      </x:c>
      <x:c r="B52" s="86" t="n">
        <x:v>81</x:v>
      </x:c>
      <x:c r="C52" s="86" t="n">
        <x:v>2024</x:v>
      </x:c>
      <x:c r="D52" s="86" t="n">
        <x:v>3.3</x:v>
      </x:c>
      <x:c r="E52" s="86" t="n">
        <x:v>3.1</x:v>
      </x:c>
      <x:c r="F52" s="86" t="n">
        <x:v>3.2</x:v>
      </x:c>
      <x:c r="G52" s="86" t="str">
        <x:v>Dentro do esperado</x:v>
      </x:c>
      <x:c r="H52" s="86" t="str">
        <x:v>Médio</x:v>
      </x:c>
      <x:c r="I52" s="87" t="n">
        <x:v>0</x:v>
      </x:c>
    </x:row>
    <x:row r="53">
      <x:c r="A53" s="85" t="n">
        <x:v>52</x:v>
      </x:c>
      <x:c r="B53" s="86" t="n">
        <x:v>82</x:v>
      </x:c>
      <x:c r="C53" s="86" t="n">
        <x:v>2024</x:v>
      </x:c>
      <x:c r="D53" s="86" t="n">
        <x:v>2.9</x:v>
      </x:c>
      <x:c r="E53" s="86" t="n">
        <x:v>4.6</x:v>
      </x:c>
      <x:c r="F53" s="86" t="n">
        <x:v>3.6</x:v>
      </x:c>
      <x:c r="G53" s="86" t="str">
        <x:v>Dentro do esperado</x:v>
      </x:c>
      <x:c r="H53" s="86" t="str">
        <x:v>Médio</x:v>
      </x:c>
      <x:c r="I53" s="87" t="n">
        <x:v>0</x:v>
      </x:c>
    </x:row>
    <x:row r="54">
      <x:c r="A54" s="85" t="n">
        <x:v>53</x:v>
      </x:c>
      <x:c r="B54" s="86" t="n">
        <x:v>85</x:v>
      </x:c>
      <x:c r="C54" s="86" t="n">
        <x:v>2024</x:v>
      </x:c>
      <x:c r="D54" s="86" t="n">
        <x:v>3.2</x:v>
      </x:c>
      <x:c r="E54" s="86" t="n">
        <x:v>2.4</x:v>
      </x:c>
      <x:c r="F54" s="86" t="n">
        <x:v>2.9</x:v>
      </x:c>
      <x:c r="G54" s="86" t="str">
        <x:v>Abaixo do esperado</x:v>
      </x:c>
      <x:c r="H54" s="86" t="str">
        <x:v>Médio</x:v>
      </x:c>
      <x:c r="I54" s="87" t="n">
        <x:v>1</x:v>
      </x:c>
    </x:row>
    <x:row r="55">
      <x:c r="A55" s="85" t="n">
        <x:v>54</x:v>
      </x:c>
      <x:c r="B55" s="86" t="n">
        <x:v>89</x:v>
      </x:c>
      <x:c r="C55" s="86" t="n">
        <x:v>2024</x:v>
      </x:c>
      <x:c r="D55" s="86" t="n">
        <x:v>4.5</x:v>
      </x:c>
      <x:c r="E55" s="86" t="n">
        <x:v>3.3</x:v>
      </x:c>
      <x:c r="F55" s="86" t="n">
        <x:v>4</x:v>
      </x:c>
      <x:c r="G55" s="86" t="str">
        <x:v>Acima do esperado</x:v>
      </x:c>
      <x:c r="H55" s="86" t="str">
        <x:v>Baixo</x:v>
      </x:c>
      <x:c r="I55" s="87" t="n">
        <x:v>0</x:v>
      </x:c>
    </x:row>
    <x:row r="56">
      <x:c r="A56" s="85" t="n">
        <x:v>55</x:v>
      </x:c>
      <x:c r="B56" s="86" t="n">
        <x:v>90</x:v>
      </x:c>
      <x:c r="C56" s="86" t="n">
        <x:v>2024</x:v>
      </x:c>
      <x:c r="D56" s="86" t="n">
        <x:v>2.9</x:v>
      </x:c>
      <x:c r="E56" s="86" t="n">
        <x:v>4.7</x:v>
      </x:c>
      <x:c r="F56" s="86" t="n">
        <x:v>3.6</x:v>
      </x:c>
      <x:c r="G56" s="86" t="str">
        <x:v>Dentro do esperado</x:v>
      </x:c>
      <x:c r="H56" s="86" t="str">
        <x:v>Médio</x:v>
      </x:c>
      <x:c r="I56" s="87" t="n">
        <x:v>0</x:v>
      </x:c>
    </x:row>
    <x:row r="57">
      <x:c r="A57" s="85" t="n">
        <x:v>56</x:v>
      </x:c>
      <x:c r="B57" s="86" t="n">
        <x:v>93</x:v>
      </x:c>
      <x:c r="C57" s="86" t="n">
        <x:v>2024</x:v>
      </x:c>
      <x:c r="D57" s="86" t="n">
        <x:v>4.6</x:v>
      </x:c>
      <x:c r="E57" s="86" t="n">
        <x:v>4.3</x:v>
      </x:c>
      <x:c r="F57" s="86" t="n">
        <x:v>4.5</x:v>
      </x:c>
      <x:c r="G57" s="86" t="str">
        <x:v>Excepcional</x:v>
      </x:c>
      <x:c r="H57" s="86" t="str">
        <x:v>Baixo</x:v>
      </x:c>
      <x:c r="I57" s="87" t="n">
        <x:v>0</x:v>
      </x:c>
    </x:row>
    <x:row r="58">
      <x:c r="A58" s="85" t="n">
        <x:v>57</x:v>
      </x:c>
      <x:c r="B58" s="86" t="n">
        <x:v>94</x:v>
      </x:c>
      <x:c r="C58" s="86" t="n">
        <x:v>2024</x:v>
      </x:c>
      <x:c r="D58" s="86" t="n">
        <x:v>4.6</x:v>
      </x:c>
      <x:c r="E58" s="86" t="n">
        <x:v>3.1</x:v>
      </x:c>
      <x:c r="F58" s="86" t="n">
        <x:v>4</x:v>
      </x:c>
      <x:c r="G58" s="86" t="str">
        <x:v>Acima do esperado</x:v>
      </x:c>
      <x:c r="H58" s="86" t="str">
        <x:v>Médio</x:v>
      </x:c>
      <x:c r="I58" s="87" t="n">
        <x:v>0</x:v>
      </x:c>
    </x:row>
    <x:row r="59">
      <x:c r="A59" s="85" t="n">
        <x:v>58</x:v>
      </x:c>
      <x:c r="B59" s="86" t="n">
        <x:v>95</x:v>
      </x:c>
      <x:c r="C59" s="86" t="n">
        <x:v>2024</x:v>
      </x:c>
      <x:c r="D59" s="86" t="n">
        <x:v>4.3</x:v>
      </x:c>
      <x:c r="E59" s="86" t="n">
        <x:v>3.3</x:v>
      </x:c>
      <x:c r="F59" s="86" t="n">
        <x:v>3.9</x:v>
      </x:c>
      <x:c r="G59" s="86" t="str">
        <x:v>Acima do esperado</x:v>
      </x:c>
      <x:c r="H59" s="86" t="str">
        <x:v>Médio</x:v>
      </x:c>
      <x:c r="I59" s="87" t="n">
        <x:v>0</x:v>
      </x:c>
    </x:row>
    <x:row r="60">
      <x:c r="A60" s="85" t="n">
        <x:v>59</x:v>
      </x:c>
      <x:c r="B60" s="86" t="n">
        <x:v>96</x:v>
      </x:c>
      <x:c r="C60" s="86" t="n">
        <x:v>2024</x:v>
      </x:c>
      <x:c r="D60" s="86" t="n">
        <x:v>4.1</x:v>
      </x:c>
      <x:c r="E60" s="86" t="n">
        <x:v>2.7</x:v>
      </x:c>
      <x:c r="F60" s="86" t="n">
        <x:v>3.5</x:v>
      </x:c>
      <x:c r="G60" s="86" t="str">
        <x:v>Dentro do esperado</x:v>
      </x:c>
      <x:c r="H60" s="86" t="str">
        <x:v>Alto</x:v>
      </x:c>
      <x:c r="I60" s="87" t="n">
        <x:v>1</x:v>
      </x:c>
    </x:row>
    <x:row r="61">
      <x:c r="A61" s="85" t="n">
        <x:v>60</x:v>
      </x:c>
      <x:c r="B61" s="86" t="n">
        <x:v>97</x:v>
      </x:c>
      <x:c r="C61" s="86" t="n">
        <x:v>2024</x:v>
      </x:c>
      <x:c r="D61" s="86" t="n">
        <x:v>3</x:v>
      </x:c>
      <x:c r="E61" s="86" t="n">
        <x:v>4.7</x:v>
      </x:c>
      <x:c r="F61" s="86" t="n">
        <x:v>3.7</x:v>
      </x:c>
      <x:c r="G61" s="86" t="str">
        <x:v>Dentro do esperado</x:v>
      </x:c>
      <x:c r="H61" s="86" t="str">
        <x:v>Alto</x:v>
      </x:c>
      <x:c r="I61" s="87" t="n">
        <x:v>1</x:v>
      </x:c>
    </x:row>
    <x:row r="62">
      <x:c r="A62" s="85" t="n">
        <x:v>61</x:v>
      </x:c>
      <x:c r="B62" s="86" t="n">
        <x:v>98</x:v>
      </x:c>
      <x:c r="C62" s="86" t="n">
        <x:v>2024</x:v>
      </x:c>
      <x:c r="D62" s="86" t="n">
        <x:v>4.5</x:v>
      </x:c>
      <x:c r="E62" s="86" t="n">
        <x:v>3.8</x:v>
      </x:c>
      <x:c r="F62" s="86" t="n">
        <x:v>4.2</x:v>
      </x:c>
      <x:c r="G62" s="86" t="str">
        <x:v>Acima do esperado</x:v>
      </x:c>
      <x:c r="H62" s="86" t="str">
        <x:v>Alto</x:v>
      </x:c>
      <x:c r="I62" s="87" t="n">
        <x:v>1</x:v>
      </x:c>
    </x:row>
    <x:row r="63">
      <x:c r="A63" s="85" t="n">
        <x:v>62</x:v>
      </x:c>
      <x:c r="B63" s="86" t="n">
        <x:v>99</x:v>
      </x:c>
      <x:c r="C63" s="86" t="n">
        <x:v>2024</x:v>
      </x:c>
      <x:c r="D63" s="86" t="n">
        <x:v>3.5</x:v>
      </x:c>
      <x:c r="E63" s="86" t="n">
        <x:v>3.2</x:v>
      </x:c>
      <x:c r="F63" s="86" t="n">
        <x:v>3.4</x:v>
      </x:c>
      <x:c r="G63" s="86" t="str">
        <x:v>Dentro do esperado</x:v>
      </x:c>
      <x:c r="H63" s="86" t="str">
        <x:v>Médio</x:v>
      </x:c>
      <x:c r="I63" s="87" t="n">
        <x:v>0</x:v>
      </x:c>
    </x:row>
    <x:row r="64">
      <x:c r="A64" s="85" t="n">
        <x:v>63</x:v>
      </x:c>
      <x:c r="B64" s="86" t="n">
        <x:v>102</x:v>
      </x:c>
      <x:c r="C64" s="86" t="n">
        <x:v>2024</x:v>
      </x:c>
      <x:c r="D64" s="86" t="n">
        <x:v>4.2</x:v>
      </x:c>
      <x:c r="E64" s="86" t="n">
        <x:v>4.2</x:v>
      </x:c>
      <x:c r="F64" s="86" t="n">
        <x:v>4.2</x:v>
      </x:c>
      <x:c r="G64" s="86" t="str">
        <x:v>Acima do esperado</x:v>
      </x:c>
      <x:c r="H64" s="86" t="str">
        <x:v>Médio</x:v>
      </x:c>
      <x:c r="I64" s="87" t="n">
        <x:v>0</x:v>
      </x:c>
    </x:row>
    <x:row r="65">
      <x:c r="A65" s="85" t="n">
        <x:v>64</x:v>
      </x:c>
      <x:c r="B65" s="86" t="n">
        <x:v>104</x:v>
      </x:c>
      <x:c r="C65" s="86" t="n">
        <x:v>2024</x:v>
      </x:c>
      <x:c r="D65" s="86" t="n">
        <x:v>3.5</x:v>
      </x:c>
      <x:c r="E65" s="86" t="n">
        <x:v>3.6</x:v>
      </x:c>
      <x:c r="F65" s="86" t="n">
        <x:v>3.5</x:v>
      </x:c>
      <x:c r="G65" s="86" t="str">
        <x:v>Dentro do esperado</x:v>
      </x:c>
      <x:c r="H65" s="86" t="str">
        <x:v>Alto</x:v>
      </x:c>
      <x:c r="I65" s="87" t="n">
        <x:v>1</x:v>
      </x:c>
    </x:row>
    <x:row r="66">
      <x:c r="A66" s="85" t="n">
        <x:v>65</x:v>
      </x:c>
      <x:c r="B66" s="86" t="n">
        <x:v>105</x:v>
      </x:c>
      <x:c r="C66" s="86" t="n">
        <x:v>2024</x:v>
      </x:c>
      <x:c r="D66" s="86" t="n">
        <x:v>4.1</x:v>
      </x:c>
      <x:c r="E66" s="86" t="n">
        <x:v>3.3</x:v>
      </x:c>
      <x:c r="F66" s="86" t="n">
        <x:v>3.8</x:v>
      </x:c>
      <x:c r="G66" s="86" t="str">
        <x:v>Acima do esperado</x:v>
      </x:c>
      <x:c r="H66" s="86" t="str">
        <x:v>Médio</x:v>
      </x:c>
      <x:c r="I66" s="87" t="n">
        <x:v>0</x:v>
      </x:c>
    </x:row>
    <x:row r="67">
      <x:c r="A67" s="85" t="n">
        <x:v>66</x:v>
      </x:c>
      <x:c r="B67" s="86" t="n">
        <x:v>106</x:v>
      </x:c>
      <x:c r="C67" s="86" t="n">
        <x:v>2024</x:v>
      </x:c>
      <x:c r="D67" s="86" t="n">
        <x:v>4.5</x:v>
      </x:c>
      <x:c r="E67" s="86" t="n">
        <x:v>3.6</x:v>
      </x:c>
      <x:c r="F67" s="86" t="n">
        <x:v>4.1</x:v>
      </x:c>
      <x:c r="G67" s="86" t="str">
        <x:v>Acima do esperado</x:v>
      </x:c>
      <x:c r="H67" s="86" t="str">
        <x:v>Baixo</x:v>
      </x:c>
      <x:c r="I67" s="87" t="n">
        <x:v>0</x:v>
      </x:c>
    </x:row>
    <x:row r="68">
      <x:c r="A68" s="85" t="n">
        <x:v>67</x:v>
      </x:c>
      <x:c r="B68" s="86" t="n">
        <x:v>107</x:v>
      </x:c>
      <x:c r="C68" s="86" t="n">
        <x:v>2024</x:v>
      </x:c>
      <x:c r="D68" s="86" t="n">
        <x:v>3.4</x:v>
      </x:c>
      <x:c r="E68" s="86" t="n">
        <x:v>4</x:v>
      </x:c>
      <x:c r="F68" s="86" t="n">
        <x:v>3.6</x:v>
      </x:c>
      <x:c r="G68" s="86" t="str">
        <x:v>Dentro do esperado</x:v>
      </x:c>
      <x:c r="H68" s="86" t="str">
        <x:v>Médio</x:v>
      </x:c>
      <x:c r="I68" s="87" t="n">
        <x:v>0</x:v>
      </x:c>
    </x:row>
    <x:row r="69">
      <x:c r="A69" s="85" t="n">
        <x:v>68</x:v>
      </x:c>
      <x:c r="B69" s="86" t="n">
        <x:v>108</x:v>
      </x:c>
      <x:c r="C69" s="86" t="n">
        <x:v>2024</x:v>
      </x:c>
      <x:c r="D69" s="86" t="n">
        <x:v>2.7</x:v>
      </x:c>
      <x:c r="E69" s="86" t="n">
        <x:v>2.8</x:v>
      </x:c>
      <x:c r="F69" s="86" t="n">
        <x:v>2.7</x:v>
      </x:c>
      <x:c r="G69" s="86" t="str">
        <x:v>Abaixo do esperado</x:v>
      </x:c>
      <x:c r="H69" s="86" t="str">
        <x:v>Médio</x:v>
      </x:c>
      <x:c r="I69" s="87" t="n">
        <x:v>1</x:v>
      </x:c>
    </x:row>
    <x:row r="70">
      <x:c r="A70" s="85" t="n">
        <x:v>69</x:v>
      </x:c>
      <x:c r="B70" s="86" t="n">
        <x:v>109</x:v>
      </x:c>
      <x:c r="C70" s="86" t="n">
        <x:v>2024</x:v>
      </x:c>
      <x:c r="D70" s="86" t="n">
        <x:v>4.3</x:v>
      </x:c>
      <x:c r="E70" s="86" t="n">
        <x:v>3.6</x:v>
      </x:c>
      <x:c r="F70" s="86" t="n">
        <x:v>4</x:v>
      </x:c>
      <x:c r="G70" s="86" t="str">
        <x:v>Acima do esperado</x:v>
      </x:c>
      <x:c r="H70" s="86" t="str">
        <x:v>Médio</x:v>
      </x:c>
      <x:c r="I70" s="87" t="n">
        <x:v>0</x:v>
      </x:c>
    </x:row>
    <x:row r="71">
      <x:c r="A71" s="85" t="n">
        <x:v>70</x:v>
      </x:c>
      <x:c r="B71" s="86" t="n">
        <x:v>110</x:v>
      </x:c>
      <x:c r="C71" s="86" t="n">
        <x:v>2024</x:v>
      </x:c>
      <x:c r="D71" s="86" t="n">
        <x:v>3.1</x:v>
      </x:c>
      <x:c r="E71" s="86" t="n">
        <x:v>4.2</x:v>
      </x:c>
      <x:c r="F71" s="86" t="n">
        <x:v>3.5</x:v>
      </x:c>
      <x:c r="G71" s="86" t="str">
        <x:v>Dentro do esperado</x:v>
      </x:c>
      <x:c r="H71" s="86" t="str">
        <x:v>Alto</x:v>
      </x:c>
      <x:c r="I71" s="87" t="n">
        <x:v>1</x:v>
      </x:c>
    </x:row>
    <x:row r="72">
      <x:c r="A72" s="85" t="n">
        <x:v>71</x:v>
      </x:c>
      <x:c r="B72" s="86" t="n">
        <x:v>111</x:v>
      </x:c>
      <x:c r="C72" s="86" t="n">
        <x:v>2024</x:v>
      </x:c>
      <x:c r="D72" s="86" t="n">
        <x:v>4.8</x:v>
      </x:c>
      <x:c r="E72" s="86" t="n">
        <x:v>3.4</x:v>
      </x:c>
      <x:c r="F72" s="86" t="n">
        <x:v>4.2</x:v>
      </x:c>
      <x:c r="G72" s="86" t="str">
        <x:v>Acima do esperado</x:v>
      </x:c>
      <x:c r="H72" s="86" t="str">
        <x:v>Médio</x:v>
      </x:c>
      <x:c r="I72" s="87" t="n">
        <x:v>0</x:v>
      </x:c>
    </x:row>
    <x:row r="73">
      <x:c r="A73" s="85" t="n">
        <x:v>72</x:v>
      </x:c>
      <x:c r="B73" s="86" t="n">
        <x:v>112</x:v>
      </x:c>
      <x:c r="C73" s="86" t="n">
        <x:v>2024</x:v>
      </x:c>
      <x:c r="D73" s="86" t="n">
        <x:v>2.9</x:v>
      </x:c>
      <x:c r="E73" s="86" t="n">
        <x:v>2.6</x:v>
      </x:c>
      <x:c r="F73" s="86" t="n">
        <x:v>2.8</x:v>
      </x:c>
      <x:c r="G73" s="86" t="str">
        <x:v>Abaixo do esperado</x:v>
      </x:c>
      <x:c r="H73" s="86" t="str">
        <x:v>Médio</x:v>
      </x:c>
      <x:c r="I73" s="87" t="n">
        <x:v>1</x:v>
      </x:c>
    </x:row>
    <x:row r="74">
      <x:c r="A74" s="85" t="n">
        <x:v>73</x:v>
      </x:c>
      <x:c r="B74" s="86" t="n">
        <x:v>113</x:v>
      </x:c>
      <x:c r="C74" s="86" t="n">
        <x:v>2024</x:v>
      </x:c>
      <x:c r="D74" s="86" t="n">
        <x:v>4.6</x:v>
      </x:c>
      <x:c r="E74" s="86" t="n">
        <x:v>3.4</x:v>
      </x:c>
      <x:c r="F74" s="86" t="n">
        <x:v>4.1</x:v>
      </x:c>
      <x:c r="G74" s="86" t="str">
        <x:v>Acima do esperado</x:v>
      </x:c>
      <x:c r="H74" s="86" t="str">
        <x:v>Alto</x:v>
      </x:c>
      <x:c r="I74" s="87" t="n">
        <x:v>1</x:v>
      </x:c>
    </x:row>
    <x:row r="75">
      <x:c r="A75" s="85" t="n">
        <x:v>74</x:v>
      </x:c>
      <x:c r="B75" s="86" t="n">
        <x:v>114</x:v>
      </x:c>
      <x:c r="C75" s="86" t="n">
        <x:v>2024</x:v>
      </x:c>
      <x:c r="D75" s="86" t="n">
        <x:v>3.7</x:v>
      </x:c>
      <x:c r="E75" s="86" t="n">
        <x:v>3.8</x:v>
      </x:c>
      <x:c r="F75" s="86" t="n">
        <x:v>3.7</x:v>
      </x:c>
      <x:c r="G75" s="86" t="str">
        <x:v>Dentro do esperado</x:v>
      </x:c>
      <x:c r="H75" s="86" t="str">
        <x:v>Baixo</x:v>
      </x:c>
      <x:c r="I75" s="87" t="n">
        <x:v>0</x:v>
      </x:c>
    </x:row>
    <x:row r="76">
      <x:c r="A76" s="85" t="n">
        <x:v>75</x:v>
      </x:c>
      <x:c r="B76" s="86" t="n">
        <x:v>115</x:v>
      </x:c>
      <x:c r="C76" s="86" t="n">
        <x:v>2024</x:v>
      </x:c>
      <x:c r="D76" s="86" t="n">
        <x:v>4.4</x:v>
      </x:c>
      <x:c r="E76" s="86" t="n">
        <x:v>4.2</x:v>
      </x:c>
      <x:c r="F76" s="86" t="n">
        <x:v>4.3</x:v>
      </x:c>
      <x:c r="G76" s="86" t="str">
        <x:v>Acima do esperado</x:v>
      </x:c>
      <x:c r="H76" s="86" t="str">
        <x:v>Baixo</x:v>
      </x:c>
      <x:c r="I76" s="87" t="n">
        <x:v>0</x:v>
      </x:c>
    </x:row>
    <x:row r="77">
      <x:c r="A77" s="85" t="n">
        <x:v>76</x:v>
      </x:c>
      <x:c r="B77" s="86" t="n">
        <x:v>116</x:v>
      </x:c>
      <x:c r="C77" s="86" t="n">
        <x:v>2024</x:v>
      </x:c>
      <x:c r="D77" s="86" t="n">
        <x:v>3.7</x:v>
      </x:c>
      <x:c r="E77" s="86" t="n">
        <x:v>2.7</x:v>
      </x:c>
      <x:c r="F77" s="86" t="n">
        <x:v>3.3</x:v>
      </x:c>
      <x:c r="G77" s="86" t="str">
        <x:v>Dentro do esperado</x:v>
      </x:c>
      <x:c r="H77" s="86" t="str">
        <x:v>Baixo</x:v>
      </x:c>
      <x:c r="I77" s="87" t="n">
        <x:v>0</x:v>
      </x:c>
    </x:row>
    <x:row r="78">
      <x:c r="A78" s="85" t="n">
        <x:v>77</x:v>
      </x:c>
      <x:c r="B78" s="86" t="n">
        <x:v>117</x:v>
      </x:c>
      <x:c r="C78" s="86" t="n">
        <x:v>2024</x:v>
      </x:c>
      <x:c r="D78" s="86" t="n">
        <x:v>3.8</x:v>
      </x:c>
      <x:c r="E78" s="86" t="n">
        <x:v>4.2</x:v>
      </x:c>
      <x:c r="F78" s="86" t="n">
        <x:v>4</x:v>
      </x:c>
      <x:c r="G78" s="86" t="str">
        <x:v>Acima do esperado</x:v>
      </x:c>
      <x:c r="H78" s="86" t="str">
        <x:v>Médio</x:v>
      </x:c>
      <x:c r="I78" s="87" t="n">
        <x:v>0</x:v>
      </x:c>
    </x:row>
    <x:row r="79">
      <x:c r="A79" s="85" t="n">
        <x:v>78</x:v>
      </x:c>
      <x:c r="B79" s="86" t="n">
        <x:v>118</x:v>
      </x:c>
      <x:c r="C79" s="86" t="n">
        <x:v>2024</x:v>
      </x:c>
      <x:c r="D79" s="86" t="n">
        <x:v>3.9</x:v>
      </x:c>
      <x:c r="E79" s="86" t="n">
        <x:v>3.9</x:v>
      </x:c>
      <x:c r="F79" s="86" t="n">
        <x:v>3.9</x:v>
      </x:c>
      <x:c r="G79" s="86" t="str">
        <x:v>Acima do esperado</x:v>
      </x:c>
      <x:c r="H79" s="86" t="str">
        <x:v>Baixo</x:v>
      </x:c>
      <x:c r="I79" s="87" t="n">
        <x:v>0</x:v>
      </x:c>
    </x:row>
    <x:row r="80">
      <x:c r="A80" s="85" t="n">
        <x:v>79</x:v>
      </x:c>
      <x:c r="B80" s="86" t="n">
        <x:v>119</x:v>
      </x:c>
      <x:c r="C80" s="86" t="n">
        <x:v>2024</x:v>
      </x:c>
      <x:c r="D80" s="86" t="n">
        <x:v>2.8</x:v>
      </x:c>
      <x:c r="E80" s="86" t="n">
        <x:v>3.9</x:v>
      </x:c>
      <x:c r="F80" s="86" t="n">
        <x:v>3.2</x:v>
      </x:c>
      <x:c r="G80" s="86" t="str">
        <x:v>Dentro do esperado</x:v>
      </x:c>
      <x:c r="H80" s="86" t="str">
        <x:v>Médio</x:v>
      </x:c>
      <x:c r="I80" s="87" t="n">
        <x:v>0</x:v>
      </x:c>
    </x:row>
    <x:row r="81">
      <x:c r="A81" s="85" t="n">
        <x:v>80</x:v>
      </x:c>
      <x:c r="B81" s="86" t="n">
        <x:v>121</x:v>
      </x:c>
      <x:c r="C81" s="86" t="n">
        <x:v>2024</x:v>
      </x:c>
      <x:c r="D81" s="86" t="n">
        <x:v>2.5</x:v>
      </x:c>
      <x:c r="E81" s="86" t="n">
        <x:v>2.4</x:v>
      </x:c>
      <x:c r="F81" s="86" t="n">
        <x:v>2.5</x:v>
      </x:c>
      <x:c r="G81" s="86" t="str">
        <x:v>Abaixo do esperado</x:v>
      </x:c>
      <x:c r="H81" s="86" t="str">
        <x:v>Médio</x:v>
      </x:c>
      <x:c r="I81" s="87" t="n">
        <x:v>1</x:v>
      </x:c>
    </x:row>
    <x:row r="82">
      <x:c r="A82" s="85" t="n">
        <x:v>81</x:v>
      </x:c>
      <x:c r="B82" s="86" t="n">
        <x:v>122</x:v>
      </x:c>
      <x:c r="C82" s="86" t="n">
        <x:v>2024</x:v>
      </x:c>
      <x:c r="D82" s="86" t="n">
        <x:v>3.3</x:v>
      </x:c>
      <x:c r="E82" s="86" t="n">
        <x:v>3.3</x:v>
      </x:c>
      <x:c r="F82" s="86" t="n">
        <x:v>3.3</x:v>
      </x:c>
      <x:c r="G82" s="86" t="str">
        <x:v>Dentro do esperado</x:v>
      </x:c>
      <x:c r="H82" s="86" t="str">
        <x:v>Médio</x:v>
      </x:c>
      <x:c r="I82" s="87" t="n">
        <x:v>0</x:v>
      </x:c>
    </x:row>
    <x:row r="83">
      <x:c r="A83" s="85" t="n">
        <x:v>82</x:v>
      </x:c>
      <x:c r="B83" s="86" t="n">
        <x:v>123</x:v>
      </x:c>
      <x:c r="C83" s="86" t="n">
        <x:v>2024</x:v>
      </x:c>
      <x:c r="D83" s="86" t="n">
        <x:v>3.4</x:v>
      </x:c>
      <x:c r="E83" s="86" t="n">
        <x:v>3.4</x:v>
      </x:c>
      <x:c r="F83" s="86" t="n">
        <x:v>3.4</x:v>
      </x:c>
      <x:c r="G83" s="86" t="str">
        <x:v>Dentro do esperado</x:v>
      </x:c>
      <x:c r="H83" s="86" t="str">
        <x:v>Médio</x:v>
      </x:c>
      <x:c r="I83" s="87" t="n">
        <x:v>0</x:v>
      </x:c>
    </x:row>
    <x:row r="84">
      <x:c r="A84" s="85" t="n">
        <x:v>83</x:v>
      </x:c>
      <x:c r="B84" s="86" t="n">
        <x:v>124</x:v>
      </x:c>
      <x:c r="C84" s="86" t="n">
        <x:v>2024</x:v>
      </x:c>
      <x:c r="D84" s="86" t="n">
        <x:v>2.7</x:v>
      </x:c>
      <x:c r="E84" s="86" t="n">
        <x:v>3.1</x:v>
      </x:c>
      <x:c r="F84" s="86" t="n">
        <x:v>2.9</x:v>
      </x:c>
      <x:c r="G84" s="86" t="str">
        <x:v>Abaixo do esperado</x:v>
      </x:c>
      <x:c r="H84" s="86" t="str">
        <x:v>Médio</x:v>
      </x:c>
      <x:c r="I84" s="87" t="n">
        <x:v>1</x:v>
      </x:c>
    </x:row>
    <x:row r="85">
      <x:c r="A85" s="85" t="n">
        <x:v>84</x:v>
      </x:c>
      <x:c r="B85" s="86" t="n">
        <x:v>125</x:v>
      </x:c>
      <x:c r="C85" s="86" t="n">
        <x:v>2024</x:v>
      </x:c>
      <x:c r="D85" s="86" t="n">
        <x:v>2.8</x:v>
      </x:c>
      <x:c r="E85" s="86" t="n">
        <x:v>2.8</x:v>
      </x:c>
      <x:c r="F85" s="86" t="n">
        <x:v>2.8</x:v>
      </x:c>
      <x:c r="G85" s="86" t="str">
        <x:v>Abaixo do esperado</x:v>
      </x:c>
      <x:c r="H85" s="86" t="str">
        <x:v>Médio</x:v>
      </x:c>
      <x:c r="I85" s="87" t="n">
        <x:v>1</x:v>
      </x:c>
    </x:row>
    <x:row r="86">
      <x:c r="A86" s="85" t="n">
        <x:v>85</x:v>
      </x:c>
      <x:c r="B86" s="86" t="n">
        <x:v>128</x:v>
      </x:c>
      <x:c r="C86" s="86" t="n">
        <x:v>2024</x:v>
      </x:c>
      <x:c r="D86" s="86" t="n">
        <x:v>3.7</x:v>
      </x:c>
      <x:c r="E86" s="86" t="n">
        <x:v>2.7</x:v>
      </x:c>
      <x:c r="F86" s="86" t="n">
        <x:v>3.3</x:v>
      </x:c>
      <x:c r="G86" s="86" t="str">
        <x:v>Dentro do esperado</x:v>
      </x:c>
      <x:c r="H86" s="86" t="str">
        <x:v>Médio</x:v>
      </x:c>
      <x:c r="I86" s="87" t="n">
        <x:v>0</x:v>
      </x:c>
    </x:row>
    <x:row r="87">
      <x:c r="A87" s="85" t="n">
        <x:v>86</x:v>
      </x:c>
      <x:c r="B87" s="86" t="n">
        <x:v>134</x:v>
      </x:c>
      <x:c r="C87" s="86" t="n">
        <x:v>2024</x:v>
      </x:c>
      <x:c r="D87" s="86" t="n">
        <x:v>4</x:v>
      </x:c>
      <x:c r="E87" s="86" t="n">
        <x:v>4.4</x:v>
      </x:c>
      <x:c r="F87" s="86" t="n">
        <x:v>4.2</x:v>
      </x:c>
      <x:c r="G87" s="86" t="str">
        <x:v>Acima do esperado</x:v>
      </x:c>
      <x:c r="H87" s="86" t="str">
        <x:v>Alto</x:v>
      </x:c>
      <x:c r="I87" s="87" t="n">
        <x:v>1</x:v>
      </x:c>
    </x:row>
    <x:row r="88">
      <x:c r="A88" s="85" t="n">
        <x:v>87</x:v>
      </x:c>
      <x:c r="B88" s="86" t="n">
        <x:v>135</x:v>
      </x:c>
      <x:c r="C88" s="86" t="n">
        <x:v>2024</x:v>
      </x:c>
      <x:c r="D88" s="86" t="n">
        <x:v>4.1</x:v>
      </x:c>
      <x:c r="E88" s="86" t="n">
        <x:v>3</x:v>
      </x:c>
      <x:c r="F88" s="86" t="n">
        <x:v>3.7</x:v>
      </x:c>
      <x:c r="G88" s="86" t="str">
        <x:v>Dentro do esperado</x:v>
      </x:c>
      <x:c r="H88" s="86" t="str">
        <x:v>Alto</x:v>
      </x:c>
      <x:c r="I88" s="87" t="n">
        <x:v>1</x:v>
      </x:c>
    </x:row>
    <x:row r="89">
      <x:c r="A89" s="85" t="n">
        <x:v>88</x:v>
      </x:c>
      <x:c r="B89" s="86" t="n">
        <x:v>138</x:v>
      </x:c>
      <x:c r="C89" s="86" t="n">
        <x:v>2024</x:v>
      </x:c>
      <x:c r="D89" s="86" t="n">
        <x:v>4</x:v>
      </x:c>
      <x:c r="E89" s="86" t="n">
        <x:v>2.9</x:v>
      </x:c>
      <x:c r="F89" s="86" t="n">
        <x:v>3.6</x:v>
      </x:c>
      <x:c r="G89" s="86" t="str">
        <x:v>Dentro do esperado</x:v>
      </x:c>
      <x:c r="H89" s="86" t="str">
        <x:v>Alto</x:v>
      </x:c>
      <x:c r="I89" s="87" t="n">
        <x:v>1</x:v>
      </x:c>
    </x:row>
    <x:row r="90">
      <x:c r="A90" s="85" t="n">
        <x:v>89</x:v>
      </x:c>
      <x:c r="B90" s="86" t="n">
        <x:v>139</x:v>
      </x:c>
      <x:c r="C90" s="86" t="n">
        <x:v>2024</x:v>
      </x:c>
      <x:c r="D90" s="86" t="n">
        <x:v>4.5</x:v>
      </x:c>
      <x:c r="E90" s="86" t="n">
        <x:v>3.8</x:v>
      </x:c>
      <x:c r="F90" s="86" t="n">
        <x:v>4.2</x:v>
      </x:c>
      <x:c r="G90" s="86" t="str">
        <x:v>Acima do esperado</x:v>
      </x:c>
      <x:c r="H90" s="86" t="str">
        <x:v>Alto</x:v>
      </x:c>
      <x:c r="I90" s="87" t="n">
        <x:v>1</x:v>
      </x:c>
    </x:row>
    <x:row r="91">
      <x:c r="A91" s="85" t="n">
        <x:v>90</x:v>
      </x:c>
      <x:c r="B91" s="86" t="n">
        <x:v>148</x:v>
      </x:c>
      <x:c r="C91" s="86" t="n">
        <x:v>2024</x:v>
      </x:c>
      <x:c r="D91" s="86" t="n">
        <x:v>3.9</x:v>
      </x:c>
      <x:c r="E91" s="86" t="n">
        <x:v>3.1</x:v>
      </x:c>
      <x:c r="F91" s="86" t="n">
        <x:v>3.6</x:v>
      </x:c>
      <x:c r="G91" s="86" t="str">
        <x:v>Dentro do esperado</x:v>
      </x:c>
      <x:c r="H91" s="86" t="str">
        <x:v>Médio</x:v>
      </x:c>
      <x:c r="I91" s="87" t="n">
        <x:v>0</x:v>
      </x:c>
    </x:row>
    <x:row r="92">
      <x:c r="A92" s="85" t="n">
        <x:v>91</x:v>
      </x:c>
      <x:c r="B92" s="86" t="n">
        <x:v>149</x:v>
      </x:c>
      <x:c r="C92" s="86" t="n">
        <x:v>2024</x:v>
      </x:c>
      <x:c r="D92" s="86" t="n">
        <x:v>2.4</x:v>
      </x:c>
      <x:c r="E92" s="86" t="n">
        <x:v>3.5</x:v>
      </x:c>
      <x:c r="F92" s="86" t="n">
        <x:v>2.8</x:v>
      </x:c>
      <x:c r="G92" s="86" t="str">
        <x:v>Abaixo do esperado</x:v>
      </x:c>
      <x:c r="H92" s="86" t="str">
        <x:v>Baixo</x:v>
      </x:c>
      <x:c r="I92" s="87" t="n">
        <x:v>1</x:v>
      </x:c>
    </x:row>
    <x:row r="93">
      <x:c r="A93" s="85" t="n">
        <x:v>92</x:v>
      </x:c>
      <x:c r="B93" s="86" t="n">
        <x:v>151</x:v>
      </x:c>
      <x:c r="C93" s="86" t="n">
        <x:v>2024</x:v>
      </x:c>
      <x:c r="D93" s="86" t="n">
        <x:v>3.9</x:v>
      </x:c>
      <x:c r="E93" s="86" t="n">
        <x:v>4.3</x:v>
      </x:c>
      <x:c r="F93" s="86" t="n">
        <x:v>4.1</x:v>
      </x:c>
      <x:c r="G93" s="86" t="str">
        <x:v>Acima do esperado</x:v>
      </x:c>
      <x:c r="H93" s="86" t="str">
        <x:v>Médio</x:v>
      </x:c>
      <x:c r="I93" s="87" t="n">
        <x:v>0</x:v>
      </x:c>
    </x:row>
    <x:row r="94">
      <x:c r="A94" s="85" t="n">
        <x:v>93</x:v>
      </x:c>
      <x:c r="B94" s="86" t="n">
        <x:v>153</x:v>
      </x:c>
      <x:c r="C94" s="86" t="n">
        <x:v>2024</x:v>
      </x:c>
      <x:c r="D94" s="86" t="n">
        <x:v>4.5</x:v>
      </x:c>
      <x:c r="E94" s="86" t="n">
        <x:v>3.1</x:v>
      </x:c>
      <x:c r="F94" s="86" t="n">
        <x:v>3.9</x:v>
      </x:c>
      <x:c r="G94" s="86" t="str">
        <x:v>Acima do esperado</x:v>
      </x:c>
      <x:c r="H94" s="86" t="str">
        <x:v>Médio</x:v>
      </x:c>
      <x:c r="I94" s="87" t="n">
        <x:v>0</x:v>
      </x:c>
    </x:row>
    <x:row r="95">
      <x:c r="A95" s="85" t="n">
        <x:v>94</x:v>
      </x:c>
      <x:c r="B95" s="86" t="n">
        <x:v>154</x:v>
      </x:c>
      <x:c r="C95" s="86" t="n">
        <x:v>2024</x:v>
      </x:c>
      <x:c r="D95" s="86" t="n">
        <x:v>2.5</x:v>
      </x:c>
      <x:c r="E95" s="86" t="n">
        <x:v>3.5</x:v>
      </x:c>
      <x:c r="F95" s="86" t="n">
        <x:v>2.9</x:v>
      </x:c>
      <x:c r="G95" s="86" t="str">
        <x:v>Abaixo do esperado</x:v>
      </x:c>
      <x:c r="H95" s="86" t="str">
        <x:v>Baixo</x:v>
      </x:c>
      <x:c r="I95" s="87" t="n">
        <x:v>1</x:v>
      </x:c>
    </x:row>
    <x:row r="96">
      <x:c r="A96" s="85" t="n">
        <x:v>95</x:v>
      </x:c>
      <x:c r="B96" s="86" t="n">
        <x:v>155</x:v>
      </x:c>
      <x:c r="C96" s="86" t="n">
        <x:v>2024</x:v>
      </x:c>
      <x:c r="D96" s="86" t="n">
        <x:v>2.7</x:v>
      </x:c>
      <x:c r="E96" s="86" t="n">
        <x:v>4.9</x:v>
      </x:c>
      <x:c r="F96" s="86" t="n">
        <x:v>3.6</x:v>
      </x:c>
      <x:c r="G96" s="86" t="str">
        <x:v>Dentro do esperado</x:v>
      </x:c>
      <x:c r="H96" s="86" t="str">
        <x:v>Baixo</x:v>
      </x:c>
      <x:c r="I96" s="87" t="n">
        <x:v>0</x:v>
      </x:c>
    </x:row>
    <x:row r="97">
      <x:c r="A97" s="85" t="n">
        <x:v>96</x:v>
      </x:c>
      <x:c r="B97" s="86" t="n">
        <x:v>156</x:v>
      </x:c>
      <x:c r="C97" s="86" t="n">
        <x:v>2024</x:v>
      </x:c>
      <x:c r="D97" s="86" t="n">
        <x:v>4.3</x:v>
      </x:c>
      <x:c r="E97" s="86" t="n">
        <x:v>4</x:v>
      </x:c>
      <x:c r="F97" s="86" t="n">
        <x:v>4.2</x:v>
      </x:c>
      <x:c r="G97" s="86" t="str">
        <x:v>Acima do esperado</x:v>
      </x:c>
      <x:c r="H97" s="86" t="str">
        <x:v>Baixo</x:v>
      </x:c>
      <x:c r="I97" s="87" t="n">
        <x:v>0</x:v>
      </x:c>
    </x:row>
    <x:row r="98">
      <x:c r="A98" s="85" t="n">
        <x:v>97</x:v>
      </x:c>
      <x:c r="B98" s="86" t="n">
        <x:v>157</x:v>
      </x:c>
      <x:c r="C98" s="86" t="n">
        <x:v>2024</x:v>
      </x:c>
      <x:c r="D98" s="86" t="n">
        <x:v>2.5</x:v>
      </x:c>
      <x:c r="E98" s="86" t="n">
        <x:v>3.4</x:v>
      </x:c>
      <x:c r="F98" s="86" t="n">
        <x:v>2.9</x:v>
      </x:c>
      <x:c r="G98" s="86" t="str">
        <x:v>Abaixo do esperado</x:v>
      </x:c>
      <x:c r="H98" s="86" t="str">
        <x:v>Médio</x:v>
      </x:c>
      <x:c r="I98" s="87" t="n">
        <x:v>1</x:v>
      </x:c>
    </x:row>
    <x:row r="99">
      <x:c r="A99" s="85" t="n">
        <x:v>98</x:v>
      </x:c>
      <x:c r="B99" s="86" t="n">
        <x:v>158</x:v>
      </x:c>
      <x:c r="C99" s="86" t="n">
        <x:v>2024</x:v>
      </x:c>
      <x:c r="D99" s="86" t="n">
        <x:v>3.2</x:v>
      </x:c>
      <x:c r="E99" s="86" t="n">
        <x:v>2.5</x:v>
      </x:c>
      <x:c r="F99" s="86" t="n">
        <x:v>2.9</x:v>
      </x:c>
      <x:c r="G99" s="86" t="str">
        <x:v>Abaixo do esperado</x:v>
      </x:c>
      <x:c r="H99" s="86" t="str">
        <x:v>Médio</x:v>
      </x:c>
      <x:c r="I99" s="87" t="n">
        <x:v>1</x:v>
      </x:c>
    </x:row>
    <x:row r="100">
      <x:c r="A100" s="85" t="n">
        <x:v>99</x:v>
      </x:c>
      <x:c r="B100" s="86" t="n">
        <x:v>159</x:v>
      </x:c>
      <x:c r="C100" s="86" t="n">
        <x:v>2024</x:v>
      </x:c>
      <x:c r="D100" s="86" t="n">
        <x:v>3.3</x:v>
      </x:c>
      <x:c r="E100" s="86" t="n">
        <x:v>2.5</x:v>
      </x:c>
      <x:c r="F100" s="86" t="n">
        <x:v>3</x:v>
      </x:c>
      <x:c r="G100" s="86" t="str">
        <x:v>Dentro do esperado</x:v>
      </x:c>
      <x:c r="H100" s="86" t="str">
        <x:v>Médio</x:v>
      </x:c>
      <x:c r="I100" s="87" t="n">
        <x:v>1</x:v>
      </x:c>
    </x:row>
    <x:row r="101">
      <x:c r="A101" s="85" t="n">
        <x:v>100</x:v>
      </x:c>
      <x:c r="B101" s="86" t="n">
        <x:v>161</x:v>
      </x:c>
      <x:c r="C101" s="86" t="n">
        <x:v>2024</x:v>
      </x:c>
      <x:c r="D101" s="86" t="n">
        <x:v>3.7</x:v>
      </x:c>
      <x:c r="E101" s="86" t="n">
        <x:v>3.9</x:v>
      </x:c>
      <x:c r="F101" s="86" t="n">
        <x:v>3.8</x:v>
      </x:c>
      <x:c r="G101" s="86" t="str">
        <x:v>Acima do esperado</x:v>
      </x:c>
      <x:c r="H101" s="86" t="str">
        <x:v>Baixo</x:v>
      </x:c>
      <x:c r="I101" s="87" t="n">
        <x:v>0</x:v>
      </x:c>
    </x:row>
    <x:row r="102">
      <x:c r="A102" s="85" t="n">
        <x:v>101</x:v>
      </x:c>
      <x:c r="B102" s="86" t="n">
        <x:v>162</x:v>
      </x:c>
      <x:c r="C102" s="86" t="n">
        <x:v>2024</x:v>
      </x:c>
      <x:c r="D102" s="86" t="n">
        <x:v>3.3</x:v>
      </x:c>
      <x:c r="E102" s="86" t="n">
        <x:v>4.5</x:v>
      </x:c>
      <x:c r="F102" s="86" t="n">
        <x:v>3.8</x:v>
      </x:c>
      <x:c r="G102" s="86" t="str">
        <x:v>Acima do esperado</x:v>
      </x:c>
      <x:c r="H102" s="86" t="str">
        <x:v>Médio</x:v>
      </x:c>
      <x:c r="I102" s="87" t="n">
        <x:v>0</x:v>
      </x:c>
    </x:row>
    <x:row r="103">
      <x:c r="A103" s="85" t="n">
        <x:v>102</x:v>
      </x:c>
      <x:c r="B103" s="86" t="n">
        <x:v>163</x:v>
      </x:c>
      <x:c r="C103" s="86" t="n">
        <x:v>2024</x:v>
      </x:c>
      <x:c r="D103" s="86" t="n">
        <x:v>4.4</x:v>
      </x:c>
      <x:c r="E103" s="86" t="n">
        <x:v>3.5</x:v>
      </x:c>
      <x:c r="F103" s="86" t="n">
        <x:v>4</x:v>
      </x:c>
      <x:c r="G103" s="86" t="str">
        <x:v>Acima do esperado</x:v>
      </x:c>
      <x:c r="H103" s="86" t="str">
        <x:v>Baixo</x:v>
      </x:c>
      <x:c r="I103" s="87" t="n">
        <x:v>0</x:v>
      </x:c>
    </x:row>
    <x:row r="104">
      <x:c r="A104" s="85" t="n">
        <x:v>103</x:v>
      </x:c>
      <x:c r="B104" s="86" t="n">
        <x:v>168</x:v>
      </x:c>
      <x:c r="C104" s="86" t="n">
        <x:v>2024</x:v>
      </x:c>
      <x:c r="D104" s="86" t="n">
        <x:v>2.9</x:v>
      </x:c>
      <x:c r="E104" s="86" t="n">
        <x:v>3.9</x:v>
      </x:c>
      <x:c r="F104" s="86" t="n">
        <x:v>3.3</x:v>
      </x:c>
      <x:c r="G104" s="86" t="str">
        <x:v>Dentro do esperado</x:v>
      </x:c>
      <x:c r="H104" s="86" t="str">
        <x:v>Baixo</x:v>
      </x:c>
      <x:c r="I104" s="87" t="n">
        <x:v>0</x:v>
      </x:c>
    </x:row>
    <x:row r="105">
      <x:c r="A105" s="85" t="n">
        <x:v>104</x:v>
      </x:c>
      <x:c r="B105" s="86" t="n">
        <x:v>170</x:v>
      </x:c>
      <x:c r="C105" s="86" t="n">
        <x:v>2024</x:v>
      </x:c>
      <x:c r="D105" s="86" t="n">
        <x:v>2.4</x:v>
      </x:c>
      <x:c r="E105" s="86" t="n">
        <x:v>3.7</x:v>
      </x:c>
      <x:c r="F105" s="86" t="n">
        <x:v>2.9</x:v>
      </x:c>
      <x:c r="G105" s="86" t="str">
        <x:v>Abaixo do esperado</x:v>
      </x:c>
      <x:c r="H105" s="86" t="str">
        <x:v>Médio</x:v>
      </x:c>
      <x:c r="I105" s="87" t="n">
        <x:v>1</x:v>
      </x:c>
    </x:row>
    <x:row r="106">
      <x:c r="A106" s="85" t="n">
        <x:v>105</x:v>
      </x:c>
      <x:c r="B106" s="86" t="n">
        <x:v>171</x:v>
      </x:c>
      <x:c r="C106" s="86" t="n">
        <x:v>2024</x:v>
      </x:c>
      <x:c r="D106" s="86" t="n">
        <x:v>3.6</x:v>
      </x:c>
      <x:c r="E106" s="86" t="n">
        <x:v>3.7</x:v>
      </x:c>
      <x:c r="F106" s="86" t="n">
        <x:v>3.6</x:v>
      </x:c>
      <x:c r="G106" s="86" t="str">
        <x:v>Dentro do esperado</x:v>
      </x:c>
      <x:c r="H106" s="86" t="str">
        <x:v>Alto</x:v>
      </x:c>
      <x:c r="I106" s="87" t="n">
        <x:v>1</x:v>
      </x:c>
    </x:row>
    <x:row r="107">
      <x:c r="A107" s="85" t="n">
        <x:v>106</x:v>
      </x:c>
      <x:c r="B107" s="86" t="n">
        <x:v>172</x:v>
      </x:c>
      <x:c r="C107" s="86" t="n">
        <x:v>2024</x:v>
      </x:c>
      <x:c r="D107" s="86" t="n">
        <x:v>3.5</x:v>
      </x:c>
      <x:c r="E107" s="86" t="n">
        <x:v>4.7</x:v>
      </x:c>
      <x:c r="F107" s="86" t="n">
        <x:v>4</x:v>
      </x:c>
      <x:c r="G107" s="86" t="str">
        <x:v>Acima do esperado</x:v>
      </x:c>
      <x:c r="H107" s="86" t="str">
        <x:v>Médio</x:v>
      </x:c>
      <x:c r="I107" s="87" t="n">
        <x:v>0</x:v>
      </x:c>
    </x:row>
    <x:row r="108">
      <x:c r="A108" s="85" t="n">
        <x:v>107</x:v>
      </x:c>
      <x:c r="B108" s="86" t="n">
        <x:v>173</x:v>
      </x:c>
      <x:c r="C108" s="86" t="n">
        <x:v>2024</x:v>
      </x:c>
      <x:c r="D108" s="86" t="n">
        <x:v>3.8</x:v>
      </x:c>
      <x:c r="E108" s="86" t="n">
        <x:v>4.7</x:v>
      </x:c>
      <x:c r="F108" s="86" t="n">
        <x:v>4.2</x:v>
      </x:c>
      <x:c r="G108" s="86" t="str">
        <x:v>Acima do esperado</x:v>
      </x:c>
      <x:c r="H108" s="86" t="str">
        <x:v>Alto</x:v>
      </x:c>
      <x:c r="I108" s="87" t="n">
        <x:v>1</x:v>
      </x:c>
    </x:row>
    <x:row r="109">
      <x:c r="A109" s="85" t="n">
        <x:v>108</x:v>
      </x:c>
      <x:c r="B109" s="86" t="n">
        <x:v>174</x:v>
      </x:c>
      <x:c r="C109" s="86" t="n">
        <x:v>2024</x:v>
      </x:c>
      <x:c r="D109" s="86" t="n">
        <x:v>4.2</x:v>
      </x:c>
      <x:c r="E109" s="86" t="n">
        <x:v>2.7</x:v>
      </x:c>
      <x:c r="F109" s="86" t="n">
        <x:v>3.6</x:v>
      </x:c>
      <x:c r="G109" s="86" t="str">
        <x:v>Dentro do esperado</x:v>
      </x:c>
      <x:c r="H109" s="86" t="str">
        <x:v>Médio</x:v>
      </x:c>
      <x:c r="I109" s="87" t="n">
        <x:v>0</x:v>
      </x:c>
    </x:row>
    <x:row r="110">
      <x:c r="A110" s="85" t="n">
        <x:v>109</x:v>
      </x:c>
      <x:c r="B110" s="86" t="n">
        <x:v>177</x:v>
      </x:c>
      <x:c r="C110" s="86" t="n">
        <x:v>2024</x:v>
      </x:c>
      <x:c r="D110" s="86" t="n">
        <x:v>4.2</x:v>
      </x:c>
      <x:c r="E110" s="86" t="n">
        <x:v>3.9</x:v>
      </x:c>
      <x:c r="F110" s="86" t="n">
        <x:v>4.1</x:v>
      </x:c>
      <x:c r="G110" s="86" t="str">
        <x:v>Acima do esperado</x:v>
      </x:c>
      <x:c r="H110" s="86" t="str">
        <x:v>Médio</x:v>
      </x:c>
      <x:c r="I110" s="87" t="n">
        <x:v>0</x:v>
      </x:c>
    </x:row>
    <x:row r="111">
      <x:c r="A111" s="85" t="n">
        <x:v>110</x:v>
      </x:c>
      <x:c r="B111" s="86" t="n">
        <x:v>180</x:v>
      </x:c>
      <x:c r="C111" s="86" t="n">
        <x:v>2024</x:v>
      </x:c>
      <x:c r="D111" s="86" t="n">
        <x:v>4.8</x:v>
      </x:c>
      <x:c r="E111" s="86" t="n">
        <x:v>2.8</x:v>
      </x:c>
      <x:c r="F111" s="86" t="n">
        <x:v>4</x:v>
      </x:c>
      <x:c r="G111" s="86" t="str">
        <x:v>Acima do esperado</x:v>
      </x:c>
      <x:c r="H111" s="86" t="str">
        <x:v>Médio</x:v>
      </x:c>
      <x:c r="I111" s="87" t="n">
        <x:v>0</x:v>
      </x:c>
    </x:row>
    <x:row r="112">
      <x:c r="A112" s="85" t="n">
        <x:v>111</x:v>
      </x:c>
      <x:c r="B112" s="86" t="n">
        <x:v>182</x:v>
      </x:c>
      <x:c r="C112" s="86" t="n">
        <x:v>2024</x:v>
      </x:c>
      <x:c r="D112" s="86" t="n">
        <x:v>2.4</x:v>
      </x:c>
      <x:c r="E112" s="86" t="n">
        <x:v>4.6</x:v>
      </x:c>
      <x:c r="F112" s="86" t="n">
        <x:v>3.3</x:v>
      </x:c>
      <x:c r="G112" s="86" t="str">
        <x:v>Dentro do esperado</x:v>
      </x:c>
      <x:c r="H112" s="86" t="str">
        <x:v>Médio</x:v>
      </x:c>
      <x:c r="I112" s="87" t="n">
        <x:v>0</x:v>
      </x:c>
    </x:row>
    <x:row r="113">
      <x:c r="A113" s="85" t="n">
        <x:v>112</x:v>
      </x:c>
      <x:c r="B113" s="86" t="n">
        <x:v>184</x:v>
      </x:c>
      <x:c r="C113" s="86" t="n">
        <x:v>2024</x:v>
      </x:c>
      <x:c r="D113" s="86" t="n">
        <x:v>4.3</x:v>
      </x:c>
      <x:c r="E113" s="86" t="n">
        <x:v>3.7</x:v>
      </x:c>
      <x:c r="F113" s="86" t="n">
        <x:v>4.1</x:v>
      </x:c>
      <x:c r="G113" s="86" t="str">
        <x:v>Acima do esperado</x:v>
      </x:c>
      <x:c r="H113" s="86" t="str">
        <x:v>Baixo</x:v>
      </x:c>
      <x:c r="I113" s="87" t="n">
        <x:v>0</x:v>
      </x:c>
    </x:row>
    <x:row r="114">
      <x:c r="A114" s="85" t="n">
        <x:v>113</x:v>
      </x:c>
      <x:c r="B114" s="86" t="n">
        <x:v>185</x:v>
      </x:c>
      <x:c r="C114" s="86" t="n">
        <x:v>2024</x:v>
      </x:c>
      <x:c r="D114" s="86" t="n">
        <x:v>4.5</x:v>
      </x:c>
      <x:c r="E114" s="86" t="n">
        <x:v>3.9</x:v>
      </x:c>
      <x:c r="F114" s="86" t="n">
        <x:v>4.3</x:v>
      </x:c>
      <x:c r="G114" s="86" t="str">
        <x:v>Acima do esperado</x:v>
      </x:c>
      <x:c r="H114" s="86" t="str">
        <x:v>Médio</x:v>
      </x:c>
      <x:c r="I114" s="87" t="n">
        <x:v>0</x:v>
      </x:c>
    </x:row>
    <x:row r="115">
      <x:c r="A115" s="85" t="n">
        <x:v>114</x:v>
      </x:c>
      <x:c r="B115" s="86" t="n">
        <x:v>188</x:v>
      </x:c>
      <x:c r="C115" s="86" t="n">
        <x:v>2024</x:v>
      </x:c>
      <x:c r="D115" s="86" t="n">
        <x:v>4.5</x:v>
      </x:c>
      <x:c r="E115" s="86" t="n">
        <x:v>2.5</x:v>
      </x:c>
      <x:c r="F115" s="86" t="n">
        <x:v>3.7</x:v>
      </x:c>
      <x:c r="G115" s="86" t="str">
        <x:v>Dentro do esperado</x:v>
      </x:c>
      <x:c r="H115" s="86" t="str">
        <x:v>Médio</x:v>
      </x:c>
      <x:c r="I115" s="87" t="n">
        <x:v>0</x:v>
      </x:c>
    </x:row>
    <x:row r="116">
      <x:c r="A116" s="85" t="n">
        <x:v>115</x:v>
      </x:c>
      <x:c r="B116" s="86" t="n">
        <x:v>191</x:v>
      </x:c>
      <x:c r="C116" s="86" t="n">
        <x:v>2024</x:v>
      </x:c>
      <x:c r="D116" s="86" t="n">
        <x:v>4.4</x:v>
      </x:c>
      <x:c r="E116" s="86" t="n">
        <x:v>4.2</x:v>
      </x:c>
      <x:c r="F116" s="86" t="n">
        <x:v>4.3</x:v>
      </x:c>
      <x:c r="G116" s="86" t="str">
        <x:v>Acima do esperado</x:v>
      </x:c>
      <x:c r="H116" s="86" t="str">
        <x:v>Baixo</x:v>
      </x:c>
      <x:c r="I116" s="87" t="n">
        <x:v>0</x:v>
      </x:c>
    </x:row>
    <x:row r="117">
      <x:c r="A117" s="85" t="n">
        <x:v>116</x:v>
      </x:c>
      <x:c r="B117" s="86" t="n">
        <x:v>192</x:v>
      </x:c>
      <x:c r="C117" s="86" t="n">
        <x:v>2024</x:v>
      </x:c>
      <x:c r="D117" s="86" t="n">
        <x:v>3.6</x:v>
      </x:c>
      <x:c r="E117" s="86" t="n">
        <x:v>3.7</x:v>
      </x:c>
      <x:c r="F117" s="86" t="n">
        <x:v>3.6</x:v>
      </x:c>
      <x:c r="G117" s="86" t="str">
        <x:v>Dentro do esperado</x:v>
      </x:c>
      <x:c r="H117" s="86" t="str">
        <x:v>Médio</x:v>
      </x:c>
      <x:c r="I117" s="87" t="n">
        <x:v>0</x:v>
      </x:c>
    </x:row>
    <x:row r="118">
      <x:c r="A118" s="85" t="n">
        <x:v>117</x:v>
      </x:c>
      <x:c r="B118" s="86" t="n">
        <x:v>194</x:v>
      </x:c>
      <x:c r="C118" s="86" t="n">
        <x:v>2024</x:v>
      </x:c>
      <x:c r="D118" s="86" t="n">
        <x:v>3.3</x:v>
      </x:c>
      <x:c r="E118" s="86" t="n">
        <x:v>3.2</x:v>
      </x:c>
      <x:c r="F118" s="86" t="n">
        <x:v>3.3</x:v>
      </x:c>
      <x:c r="G118" s="86" t="str">
        <x:v>Dentro do esperado</x:v>
      </x:c>
      <x:c r="H118" s="86" t="str">
        <x:v>Médio</x:v>
      </x:c>
      <x:c r="I118" s="87" t="n">
        <x:v>0</x:v>
      </x:c>
    </x:row>
    <x:row r="119">
      <x:c r="A119" s="85" t="n">
        <x:v>118</x:v>
      </x:c>
      <x:c r="B119" s="86" t="n">
        <x:v>196</x:v>
      </x:c>
      <x:c r="C119" s="86" t="n">
        <x:v>2024</x:v>
      </x:c>
      <x:c r="D119" s="86" t="n">
        <x:v>4.3</x:v>
      </x:c>
      <x:c r="E119" s="86" t="n">
        <x:v>4.5</x:v>
      </x:c>
      <x:c r="F119" s="86" t="n">
        <x:v>4.4</x:v>
      </x:c>
      <x:c r="G119" s="86" t="str">
        <x:v>Acima do esperado</x:v>
      </x:c>
      <x:c r="H119" s="86" t="str">
        <x:v>Médio</x:v>
      </x:c>
      <x:c r="I119" s="87" t="n">
        <x:v>0</x:v>
      </x:c>
    </x:row>
    <x:row r="120">
      <x:c r="A120" s="85" t="n">
        <x:v>119</x:v>
      </x:c>
      <x:c r="B120" s="86" t="n">
        <x:v>197</x:v>
      </x:c>
      <x:c r="C120" s="86" t="n">
        <x:v>2024</x:v>
      </x:c>
      <x:c r="D120" s="86" t="n">
        <x:v>3.7</x:v>
      </x:c>
      <x:c r="E120" s="86" t="n">
        <x:v>4.3</x:v>
      </x:c>
      <x:c r="F120" s="86" t="n">
        <x:v>3.9</x:v>
      </x:c>
      <x:c r="G120" s="86" t="str">
        <x:v>Acima do esperado</x:v>
      </x:c>
      <x:c r="H120" s="86" t="str">
        <x:v>Médio</x:v>
      </x:c>
      <x:c r="I120" s="87" t="n">
        <x:v>0</x:v>
      </x:c>
    </x:row>
    <x:row r="121">
      <x:c r="A121" s="85" t="n">
        <x:v>120</x:v>
      </x:c>
      <x:c r="B121" s="86" t="n">
        <x:v>198</x:v>
      </x:c>
      <x:c r="C121" s="86" t="n">
        <x:v>2024</x:v>
      </x:c>
      <x:c r="D121" s="86" t="n">
        <x:v>2.9</x:v>
      </x:c>
      <x:c r="E121" s="86" t="n">
        <x:v>4.3</x:v>
      </x:c>
      <x:c r="F121" s="86" t="n">
        <x:v>3.5</x:v>
      </x:c>
      <x:c r="G121" s="86" t="str">
        <x:v>Dentro do esperado</x:v>
      </x:c>
      <x:c r="H121" s="86" t="str">
        <x:v>Alto</x:v>
      </x:c>
      <x:c r="I121" s="87" t="n">
        <x:v>1</x:v>
      </x:c>
    </x:row>
    <x:row r="122">
      <x:c r="A122" s="85" t="n">
        <x:v>121</x:v>
      </x:c>
      <x:c r="B122" s="86" t="n">
        <x:v>200</x:v>
      </x:c>
      <x:c r="C122" s="86" t="n">
        <x:v>2024</x:v>
      </x:c>
      <x:c r="D122" s="86" t="n">
        <x:v>3.9</x:v>
      </x:c>
      <x:c r="E122" s="86" t="n">
        <x:v>3.1</x:v>
      </x:c>
      <x:c r="F122" s="86" t="n">
        <x:v>3.6</x:v>
      </x:c>
      <x:c r="G122" s="86" t="str">
        <x:v>Dentro do esperado</x:v>
      </x:c>
      <x:c r="H122" s="86" t="str">
        <x:v>Médio</x:v>
      </x:c>
      <x:c r="I122" s="87" t="n">
        <x:v>0</x:v>
      </x:c>
    </x:row>
    <x:row r="123">
      <x:c r="A123" s="85" t="n">
        <x:v>122</x:v>
      </x:c>
      <x:c r="B123" s="86" t="n">
        <x:v>202</x:v>
      </x:c>
      <x:c r="C123" s="86" t="n">
        <x:v>2024</x:v>
      </x:c>
      <x:c r="D123" s="86" t="n">
        <x:v>4.8</x:v>
      </x:c>
      <x:c r="E123" s="86" t="n">
        <x:v>4.6</x:v>
      </x:c>
      <x:c r="F123" s="86" t="n">
        <x:v>4.7</x:v>
      </x:c>
      <x:c r="G123" s="86" t="str">
        <x:v>Excepcional</x:v>
      </x:c>
      <x:c r="H123" s="86" t="str">
        <x:v>Médio</x:v>
      </x:c>
      <x:c r="I123" s="87" t="n">
        <x:v>0</x:v>
      </x:c>
    </x:row>
    <x:row r="124">
      <x:c r="A124" s="85" t="n">
        <x:v>123</x:v>
      </x:c>
      <x:c r="B124" s="86" t="n">
        <x:v>203</x:v>
      </x:c>
      <x:c r="C124" s="86" t="n">
        <x:v>2024</x:v>
      </x:c>
      <x:c r="D124" s="86" t="n">
        <x:v>3.8</x:v>
      </x:c>
      <x:c r="E124" s="86" t="n">
        <x:v>4.1</x:v>
      </x:c>
      <x:c r="F124" s="86" t="n">
        <x:v>3.9</x:v>
      </x:c>
      <x:c r="G124" s="86" t="str">
        <x:v>Acima do esperado</x:v>
      </x:c>
      <x:c r="H124" s="86" t="str">
        <x:v>Alto</x:v>
      </x:c>
      <x:c r="I124" s="87" t="n">
        <x:v>1</x:v>
      </x:c>
    </x:row>
    <x:row r="125">
      <x:c r="A125" s="85" t="n">
        <x:v>124</x:v>
      </x:c>
      <x:c r="B125" s="86" t="n">
        <x:v>204</x:v>
      </x:c>
      <x:c r="C125" s="86" t="n">
        <x:v>2024</x:v>
      </x:c>
      <x:c r="D125" s="86" t="n">
        <x:v>4.6</x:v>
      </x:c>
      <x:c r="E125" s="86" t="n">
        <x:v>4</x:v>
      </x:c>
      <x:c r="F125" s="86" t="n">
        <x:v>4.4</x:v>
      </x:c>
      <x:c r="G125" s="86" t="str">
        <x:v>Acima do esperado</x:v>
      </x:c>
      <x:c r="H125" s="86" t="str">
        <x:v>Médio</x:v>
      </x:c>
      <x:c r="I125" s="87" t="n">
        <x:v>0</x:v>
      </x:c>
    </x:row>
    <x:row r="126">
      <x:c r="A126" s="85" t="n">
        <x:v>125</x:v>
      </x:c>
      <x:c r="B126" s="86" t="n">
        <x:v>206</x:v>
      </x:c>
      <x:c r="C126" s="86" t="n">
        <x:v>2024</x:v>
      </x:c>
      <x:c r="D126" s="86" t="n">
        <x:v>3.3</x:v>
      </x:c>
      <x:c r="E126" s="86" t="n">
        <x:v>3.6</x:v>
      </x:c>
      <x:c r="F126" s="86" t="n">
        <x:v>3.4</x:v>
      </x:c>
      <x:c r="G126" s="86" t="str">
        <x:v>Dentro do esperado</x:v>
      </x:c>
      <x:c r="H126" s="86" t="str">
        <x:v>Médio</x:v>
      </x:c>
      <x:c r="I126" s="87" t="n">
        <x:v>0</x:v>
      </x:c>
    </x:row>
    <x:row r="127">
      <x:c r="A127" s="85" t="n">
        <x:v>126</x:v>
      </x:c>
      <x:c r="B127" s="86" t="n">
        <x:v>207</x:v>
      </x:c>
      <x:c r="C127" s="86" t="n">
        <x:v>2024</x:v>
      </x:c>
      <x:c r="D127" s="86" t="n">
        <x:v>3.6</x:v>
      </x:c>
      <x:c r="E127" s="86" t="n">
        <x:v>4.5</x:v>
      </x:c>
      <x:c r="F127" s="86" t="n">
        <x:v>4</x:v>
      </x:c>
      <x:c r="G127" s="86" t="str">
        <x:v>Acima do esperado</x:v>
      </x:c>
      <x:c r="H127" s="86" t="str">
        <x:v>Alto</x:v>
      </x:c>
      <x:c r="I127" s="87" t="n">
        <x:v>1</x:v>
      </x:c>
    </x:row>
    <x:row r="128">
      <x:c r="A128" s="85" t="n">
        <x:v>127</x:v>
      </x:c>
      <x:c r="B128" s="86" t="n">
        <x:v>208</x:v>
      </x:c>
      <x:c r="C128" s="86" t="n">
        <x:v>2024</x:v>
      </x:c>
      <x:c r="D128" s="86" t="n">
        <x:v>3.8</x:v>
      </x:c>
      <x:c r="E128" s="86" t="n">
        <x:v>3.3</x:v>
      </x:c>
      <x:c r="F128" s="86" t="n">
        <x:v>3.6</x:v>
      </x:c>
      <x:c r="G128" s="86" t="str">
        <x:v>Dentro do esperado</x:v>
      </x:c>
      <x:c r="H128" s="86" t="str">
        <x:v>Alto</x:v>
      </x:c>
      <x:c r="I128" s="87" t="n">
        <x:v>1</x:v>
      </x:c>
    </x:row>
    <x:row r="129">
      <x:c r="A129" s="85" t="n">
        <x:v>128</x:v>
      </x:c>
      <x:c r="B129" s="86" t="n">
        <x:v>209</x:v>
      </x:c>
      <x:c r="C129" s="86" t="n">
        <x:v>2024</x:v>
      </x:c>
      <x:c r="D129" s="86" t="n">
        <x:v>4.4</x:v>
      </x:c>
      <x:c r="E129" s="86" t="n">
        <x:v>4.9</x:v>
      </x:c>
      <x:c r="F129" s="86" t="n">
        <x:v>4.6</x:v>
      </x:c>
      <x:c r="G129" s="86" t="str">
        <x:v>Excepcional</x:v>
      </x:c>
      <x:c r="H129" s="86" t="str">
        <x:v>Médio</x:v>
      </x:c>
      <x:c r="I129" s="87" t="n">
        <x:v>0</x:v>
      </x:c>
    </x:row>
    <x:row r="130">
      <x:c r="A130" s="85" t="n">
        <x:v>129</x:v>
      </x:c>
      <x:c r="B130" s="86" t="n">
        <x:v>212</x:v>
      </x:c>
      <x:c r="C130" s="86" t="n">
        <x:v>2024</x:v>
      </x:c>
      <x:c r="D130" s="86" t="n">
        <x:v>3.3</x:v>
      </x:c>
      <x:c r="E130" s="86" t="n">
        <x:v>4.6</x:v>
      </x:c>
      <x:c r="F130" s="86" t="n">
        <x:v>3.8</x:v>
      </x:c>
      <x:c r="G130" s="86" t="str">
        <x:v>Acima do esperado</x:v>
      </x:c>
      <x:c r="H130" s="86" t="str">
        <x:v>Médio</x:v>
      </x:c>
      <x:c r="I130" s="87" t="n">
        <x:v>0</x:v>
      </x:c>
    </x:row>
    <x:row r="131">
      <x:c r="A131" s="85" t="n">
        <x:v>130</x:v>
      </x:c>
      <x:c r="B131" s="86" t="n">
        <x:v>213</x:v>
      </x:c>
      <x:c r="C131" s="86" t="n">
        <x:v>2024</x:v>
      </x:c>
      <x:c r="D131" s="86" t="n">
        <x:v>4.6</x:v>
      </x:c>
      <x:c r="E131" s="86" t="n">
        <x:v>4</x:v>
      </x:c>
      <x:c r="F131" s="86" t="n">
        <x:v>4.4</x:v>
      </x:c>
      <x:c r="G131" s="86" t="str">
        <x:v>Acima do esperado</x:v>
      </x:c>
      <x:c r="H131" s="86" t="str">
        <x:v>Baixo</x:v>
      </x:c>
      <x:c r="I131" s="87" t="n">
        <x:v>0</x:v>
      </x:c>
    </x:row>
    <x:row r="132">
      <x:c r="A132" s="85" t="n">
        <x:v>131</x:v>
      </x:c>
      <x:c r="B132" s="86" t="n">
        <x:v>215</x:v>
      </x:c>
      <x:c r="C132" s="86" t="n">
        <x:v>2024</x:v>
      </x:c>
      <x:c r="D132" s="86" t="n">
        <x:v>2.5</x:v>
      </x:c>
      <x:c r="E132" s="86" t="n">
        <x:v>3.6</x:v>
      </x:c>
      <x:c r="F132" s="86" t="n">
        <x:v>2.9</x:v>
      </x:c>
      <x:c r="G132" s="86" t="str">
        <x:v>Abaixo do esperado</x:v>
      </x:c>
      <x:c r="H132" s="86" t="str">
        <x:v>Médio</x:v>
      </x:c>
      <x:c r="I132" s="87" t="n">
        <x:v>1</x:v>
      </x:c>
    </x:row>
    <x:row r="133">
      <x:c r="A133" s="85" t="n">
        <x:v>132</x:v>
      </x:c>
      <x:c r="B133" s="86" t="n">
        <x:v>216</x:v>
      </x:c>
      <x:c r="C133" s="86" t="n">
        <x:v>2024</x:v>
      </x:c>
      <x:c r="D133" s="86" t="n">
        <x:v>4.2</x:v>
      </x:c>
      <x:c r="E133" s="86" t="n">
        <x:v>2.4</x:v>
      </x:c>
      <x:c r="F133" s="86" t="n">
        <x:v>3.5</x:v>
      </x:c>
      <x:c r="G133" s="86" t="str">
        <x:v>Dentro do esperado</x:v>
      </x:c>
      <x:c r="H133" s="86" t="str">
        <x:v>Alto</x:v>
      </x:c>
      <x:c r="I133" s="87" t="n">
        <x:v>1</x:v>
      </x:c>
    </x:row>
    <x:row r="134">
      <x:c r="A134" s="85" t="n">
        <x:v>133</x:v>
      </x:c>
      <x:c r="B134" s="86" t="n">
        <x:v>217</x:v>
      </x:c>
      <x:c r="C134" s="86" t="n">
        <x:v>2024</x:v>
      </x:c>
      <x:c r="D134" s="86" t="n">
        <x:v>3.4</x:v>
      </x:c>
      <x:c r="E134" s="86" t="n">
        <x:v>4.8</x:v>
      </x:c>
      <x:c r="F134" s="86" t="n">
        <x:v>4</x:v>
      </x:c>
      <x:c r="G134" s="86" t="str">
        <x:v>Acima do esperado</x:v>
      </x:c>
      <x:c r="H134" s="86" t="str">
        <x:v>Baixo</x:v>
      </x:c>
      <x:c r="I134" s="87" t="n">
        <x:v>0</x:v>
      </x:c>
    </x:row>
    <x:row r="135">
      <x:c r="A135" s="85" t="n">
        <x:v>134</x:v>
      </x:c>
      <x:c r="B135" s="86" t="n">
        <x:v>218</x:v>
      </x:c>
      <x:c r="C135" s="86" t="n">
        <x:v>2024</x:v>
      </x:c>
      <x:c r="D135" s="86" t="n">
        <x:v>3.9</x:v>
      </x:c>
      <x:c r="E135" s="86" t="n">
        <x:v>4.4</x:v>
      </x:c>
      <x:c r="F135" s="86" t="n">
        <x:v>4.1</x:v>
      </x:c>
      <x:c r="G135" s="86" t="str">
        <x:v>Acima do esperado</x:v>
      </x:c>
      <x:c r="H135" s="86" t="str">
        <x:v>Médio</x:v>
      </x:c>
      <x:c r="I135" s="87" t="n">
        <x:v>0</x:v>
      </x:c>
    </x:row>
    <x:row r="136">
      <x:c r="A136" s="85" t="n">
        <x:v>135</x:v>
      </x:c>
      <x:c r="B136" s="86" t="n">
        <x:v>219</x:v>
      </x:c>
      <x:c r="C136" s="86" t="n">
        <x:v>2024</x:v>
      </x:c>
      <x:c r="D136" s="86" t="n">
        <x:v>4.5</x:v>
      </x:c>
      <x:c r="E136" s="86" t="n">
        <x:v>4.6</x:v>
      </x:c>
      <x:c r="F136" s="86" t="n">
        <x:v>4.5</x:v>
      </x:c>
      <x:c r="G136" s="86" t="str">
        <x:v>Excepcional</x:v>
      </x:c>
      <x:c r="H136" s="86" t="str">
        <x:v>Médio</x:v>
      </x:c>
      <x:c r="I136" s="87" t="n">
        <x:v>0</x:v>
      </x:c>
    </x:row>
    <x:row r="137">
      <x:c r="A137" s="85" t="n">
        <x:v>136</x:v>
      </x:c>
      <x:c r="B137" s="86" t="n">
        <x:v>221</x:v>
      </x:c>
      <x:c r="C137" s="86" t="n">
        <x:v>2024</x:v>
      </x:c>
      <x:c r="D137" s="86" t="n">
        <x:v>3</x:v>
      </x:c>
      <x:c r="E137" s="86" t="n">
        <x:v>4.9</x:v>
      </x:c>
      <x:c r="F137" s="86" t="n">
        <x:v>3.8</x:v>
      </x:c>
      <x:c r="G137" s="86" t="str">
        <x:v>Acima do esperado</x:v>
      </x:c>
      <x:c r="H137" s="86" t="str">
        <x:v>Médio</x:v>
      </x:c>
      <x:c r="I137" s="87" t="n">
        <x:v>0</x:v>
      </x:c>
    </x:row>
    <x:row r="138">
      <x:c r="A138" s="85" t="n">
        <x:v>137</x:v>
      </x:c>
      <x:c r="B138" s="86" t="n">
        <x:v>222</x:v>
      </x:c>
      <x:c r="C138" s="86" t="n">
        <x:v>2024</x:v>
      </x:c>
      <x:c r="D138" s="86" t="n">
        <x:v>4</x:v>
      </x:c>
      <x:c r="E138" s="86" t="n">
        <x:v>4.3</x:v>
      </x:c>
      <x:c r="F138" s="86" t="n">
        <x:v>4.1</x:v>
      </x:c>
      <x:c r="G138" s="86" t="str">
        <x:v>Acima do esperado</x:v>
      </x:c>
      <x:c r="H138" s="86" t="str">
        <x:v>Médio</x:v>
      </x:c>
      <x:c r="I138" s="87" t="n">
        <x:v>0</x:v>
      </x:c>
    </x:row>
    <x:row r="139">
      <x:c r="A139" s="85" t="n">
        <x:v>138</x:v>
      </x:c>
      <x:c r="B139" s="86" t="n">
        <x:v>225</x:v>
      </x:c>
      <x:c r="C139" s="86" t="n">
        <x:v>2024</x:v>
      </x:c>
      <x:c r="D139" s="86" t="n">
        <x:v>3.3</x:v>
      </x:c>
      <x:c r="E139" s="86" t="n">
        <x:v>3.2</x:v>
      </x:c>
      <x:c r="F139" s="86" t="n">
        <x:v>3.3</x:v>
      </x:c>
      <x:c r="G139" s="86" t="str">
        <x:v>Dentro do esperado</x:v>
      </x:c>
      <x:c r="H139" s="86" t="str">
        <x:v>Alto</x:v>
      </x:c>
      <x:c r="I139" s="87" t="n">
        <x:v>1</x:v>
      </x:c>
    </x:row>
    <x:row r="140">
      <x:c r="A140" s="85" t="n">
        <x:v>139</x:v>
      </x:c>
      <x:c r="B140" s="86" t="n">
        <x:v>226</x:v>
      </x:c>
      <x:c r="C140" s="86" t="n">
        <x:v>2024</x:v>
      </x:c>
      <x:c r="D140" s="86" t="n">
        <x:v>2.3</x:v>
      </x:c>
      <x:c r="E140" s="86" t="n">
        <x:v>4.4</x:v>
      </x:c>
      <x:c r="F140" s="86" t="n">
        <x:v>3.1</x:v>
      </x:c>
      <x:c r="G140" s="86" t="str">
        <x:v>Dentro do esperado</x:v>
      </x:c>
      <x:c r="H140" s="86" t="str">
        <x:v>Baixo</x:v>
      </x:c>
      <x:c r="I140" s="87" t="n">
        <x:v>1</x:v>
      </x:c>
    </x:row>
    <x:row r="141">
      <x:c r="A141" s="85" t="n">
        <x:v>140</x:v>
      </x:c>
      <x:c r="B141" s="86" t="n">
        <x:v>227</x:v>
      </x:c>
      <x:c r="C141" s="86" t="n">
        <x:v>2024</x:v>
      </x:c>
      <x:c r="D141" s="86" t="n">
        <x:v>4.7</x:v>
      </x:c>
      <x:c r="E141" s="86" t="n">
        <x:v>4.1</x:v>
      </x:c>
      <x:c r="F141" s="86" t="n">
        <x:v>4.5</x:v>
      </x:c>
      <x:c r="G141" s="86" t="str">
        <x:v>Excepcional</x:v>
      </x:c>
      <x:c r="H141" s="86" t="str">
        <x:v>Médio</x:v>
      </x:c>
      <x:c r="I141" s="87" t="n">
        <x:v>0</x:v>
      </x:c>
    </x:row>
    <x:row r="142">
      <x:c r="A142" s="85" t="n">
        <x:v>141</x:v>
      </x:c>
      <x:c r="B142" s="86" t="n">
        <x:v>228</x:v>
      </x:c>
      <x:c r="C142" s="86" t="n">
        <x:v>2024</x:v>
      </x:c>
      <x:c r="D142" s="86" t="n">
        <x:v>4.4</x:v>
      </x:c>
      <x:c r="E142" s="86" t="n">
        <x:v>3.2</x:v>
      </x:c>
      <x:c r="F142" s="86" t="n">
        <x:v>3.9</x:v>
      </x:c>
      <x:c r="G142" s="86" t="str">
        <x:v>Acima do esperado</x:v>
      </x:c>
      <x:c r="H142" s="86" t="str">
        <x:v>Médio</x:v>
      </x:c>
      <x:c r="I142" s="87" t="n">
        <x:v>0</x:v>
      </x:c>
    </x:row>
    <x:row r="143">
      <x:c r="A143" s="85" t="n">
        <x:v>142</x:v>
      </x:c>
      <x:c r="B143" s="86" t="n">
        <x:v>229</x:v>
      </x:c>
      <x:c r="C143" s="86" t="n">
        <x:v>2024</x:v>
      </x:c>
      <x:c r="D143" s="86" t="n">
        <x:v>3.6</x:v>
      </x:c>
      <x:c r="E143" s="86" t="n">
        <x:v>4.3</x:v>
      </x:c>
      <x:c r="F143" s="86" t="n">
        <x:v>3.9</x:v>
      </x:c>
      <x:c r="G143" s="86" t="str">
        <x:v>Acima do esperado</x:v>
      </x:c>
      <x:c r="H143" s="86" t="str">
        <x:v>Médio</x:v>
      </x:c>
      <x:c r="I143" s="87" t="n">
        <x:v>0</x:v>
      </x:c>
    </x:row>
    <x:row r="144">
      <x:c r="A144" s="85" t="n">
        <x:v>143</x:v>
      </x:c>
      <x:c r="B144" s="86" t="n">
        <x:v>230</x:v>
      </x:c>
      <x:c r="C144" s="86" t="n">
        <x:v>2024</x:v>
      </x:c>
      <x:c r="D144" s="86" t="n">
        <x:v>2.6</x:v>
      </x:c>
      <x:c r="E144" s="86" t="n">
        <x:v>3.3</x:v>
      </x:c>
      <x:c r="F144" s="86" t="n">
        <x:v>2.9</x:v>
      </x:c>
      <x:c r="G144" s="86" t="str">
        <x:v>Abaixo do esperado</x:v>
      </x:c>
      <x:c r="H144" s="86" t="str">
        <x:v>Médio</x:v>
      </x:c>
      <x:c r="I144" s="87" t="n">
        <x:v>1</x:v>
      </x:c>
    </x:row>
    <x:row r="145">
      <x:c r="A145" s="85" t="n">
        <x:v>144</x:v>
      </x:c>
      <x:c r="B145" s="86" t="n">
        <x:v>231</x:v>
      </x:c>
      <x:c r="C145" s="86" t="n">
        <x:v>2024</x:v>
      </x:c>
      <x:c r="D145" s="86" t="n">
        <x:v>4</x:v>
      </x:c>
      <x:c r="E145" s="86" t="n">
        <x:v>3.1</x:v>
      </x:c>
      <x:c r="F145" s="86" t="n">
        <x:v>3.6</x:v>
      </x:c>
      <x:c r="G145" s="86" t="str">
        <x:v>Dentro do esperado</x:v>
      </x:c>
      <x:c r="H145" s="86" t="str">
        <x:v>Médio</x:v>
      </x:c>
      <x:c r="I145" s="87" t="n">
        <x:v>0</x:v>
      </x:c>
    </x:row>
    <x:row r="146">
      <x:c r="A146" s="85" t="n">
        <x:v>145</x:v>
      </x:c>
      <x:c r="B146" s="86" t="n">
        <x:v>232</x:v>
      </x:c>
      <x:c r="C146" s="86" t="n">
        <x:v>2024</x:v>
      </x:c>
      <x:c r="D146" s="86" t="n">
        <x:v>3.5</x:v>
      </x:c>
      <x:c r="E146" s="86" t="n">
        <x:v>3.3</x:v>
      </x:c>
      <x:c r="F146" s="86" t="n">
        <x:v>3.4</x:v>
      </x:c>
      <x:c r="G146" s="86" t="str">
        <x:v>Dentro do esperado</x:v>
      </x:c>
      <x:c r="H146" s="86" t="str">
        <x:v>Alto</x:v>
      </x:c>
      <x:c r="I146" s="87" t="n">
        <x:v>1</x:v>
      </x:c>
    </x:row>
    <x:row r="147">
      <x:c r="A147" s="85" t="n">
        <x:v>146</x:v>
      </x:c>
      <x:c r="B147" s="86" t="n">
        <x:v>234</x:v>
      </x:c>
      <x:c r="C147" s="86" t="n">
        <x:v>2024</x:v>
      </x:c>
      <x:c r="D147" s="86" t="n">
        <x:v>3.2</x:v>
      </x:c>
      <x:c r="E147" s="86" t="n">
        <x:v>3.2</x:v>
      </x:c>
      <x:c r="F147" s="86" t="n">
        <x:v>3.2</x:v>
      </x:c>
      <x:c r="G147" s="86" t="str">
        <x:v>Dentro do esperado</x:v>
      </x:c>
      <x:c r="H147" s="86" t="str">
        <x:v>Médio</x:v>
      </x:c>
      <x:c r="I147" s="87" t="n">
        <x:v>0</x:v>
      </x:c>
    </x:row>
    <x:row r="148">
      <x:c r="A148" s="85" t="n">
        <x:v>147</x:v>
      </x:c>
      <x:c r="B148" s="86" t="n">
        <x:v>236</x:v>
      </x:c>
      <x:c r="C148" s="86" t="n">
        <x:v>2024</x:v>
      </x:c>
      <x:c r="D148" s="86" t="n">
        <x:v>2.4</x:v>
      </x:c>
      <x:c r="E148" s="86" t="n">
        <x:v>3.5</x:v>
      </x:c>
      <x:c r="F148" s="86" t="n">
        <x:v>2.8</x:v>
      </x:c>
      <x:c r="G148" s="86" t="str">
        <x:v>Abaixo do esperado</x:v>
      </x:c>
      <x:c r="H148" s="86" t="str">
        <x:v>Médio</x:v>
      </x:c>
      <x:c r="I148" s="87" t="n">
        <x:v>1</x:v>
      </x:c>
    </x:row>
    <x:row r="149">
      <x:c r="A149" s="85" t="n">
        <x:v>148</x:v>
      </x:c>
      <x:c r="B149" s="86" t="n">
        <x:v>237</x:v>
      </x:c>
      <x:c r="C149" s="86" t="n">
        <x:v>2024</x:v>
      </x:c>
      <x:c r="D149" s="86" t="n">
        <x:v>2.9</x:v>
      </x:c>
      <x:c r="E149" s="86" t="n">
        <x:v>3.2</x:v>
      </x:c>
      <x:c r="F149" s="86" t="n">
        <x:v>3</x:v>
      </x:c>
      <x:c r="G149" s="86" t="str">
        <x:v>Dentro do esperado</x:v>
      </x:c>
      <x:c r="H149" s="86" t="str">
        <x:v>Médio</x:v>
      </x:c>
      <x:c r="I149" s="87" t="n">
        <x:v>1</x:v>
      </x:c>
    </x:row>
    <x:row r="150">
      <x:c r="A150" s="85" t="n">
        <x:v>149</x:v>
      </x:c>
      <x:c r="B150" s="86" t="n">
        <x:v>238</x:v>
      </x:c>
      <x:c r="C150" s="86" t="n">
        <x:v>2024</x:v>
      </x:c>
      <x:c r="D150" s="86" t="n">
        <x:v>3.6</x:v>
      </x:c>
      <x:c r="E150" s="86" t="n">
        <x:v>3.1</x:v>
      </x:c>
      <x:c r="F150" s="86" t="n">
        <x:v>3.4</x:v>
      </x:c>
      <x:c r="G150" s="86" t="str">
        <x:v>Dentro do esperado</x:v>
      </x:c>
      <x:c r="H150" s="86" t="str">
        <x:v>Médio</x:v>
      </x:c>
      <x:c r="I150" s="87" t="n">
        <x:v>0</x:v>
      </x:c>
    </x:row>
    <x:row r="151">
      <x:c r="A151" s="85" t="n">
        <x:v>150</x:v>
      </x:c>
      <x:c r="B151" s="86" t="n">
        <x:v>239</x:v>
      </x:c>
      <x:c r="C151" s="86" t="n">
        <x:v>2024</x:v>
      </x:c>
      <x:c r="D151" s="86" t="n">
        <x:v>2.7</x:v>
      </x:c>
      <x:c r="E151" s="86" t="n">
        <x:v>3.5</x:v>
      </x:c>
      <x:c r="F151" s="86" t="n">
        <x:v>3</x:v>
      </x:c>
      <x:c r="G151" s="86" t="str">
        <x:v>Dentro do esperado</x:v>
      </x:c>
      <x:c r="H151" s="86" t="str">
        <x:v>Baixo</x:v>
      </x:c>
      <x:c r="I151" s="87" t="n">
        <x:v>1</x:v>
      </x:c>
    </x:row>
    <x:row r="152">
      <x:c r="A152" s="85" t="n">
        <x:v>151</x:v>
      </x:c>
      <x:c r="B152" s="86" t="n">
        <x:v>240</x:v>
      </x:c>
      <x:c r="C152" s="86" t="n">
        <x:v>2024</x:v>
      </x:c>
      <x:c r="D152" s="86" t="n">
        <x:v>4.6</x:v>
      </x:c>
      <x:c r="E152" s="86" t="n">
        <x:v>3.2</x:v>
      </x:c>
      <x:c r="F152" s="86" t="n">
        <x:v>4</x:v>
      </x:c>
      <x:c r="G152" s="86" t="str">
        <x:v>Acima do esperado</x:v>
      </x:c>
      <x:c r="H152" s="86" t="str">
        <x:v>Alto</x:v>
      </x:c>
      <x:c r="I152" s="87" t="n">
        <x:v>1</x:v>
      </x:c>
    </x:row>
    <x:row r="153">
      <x:c r="A153" s="85" t="n">
        <x:v>152</x:v>
      </x:c>
      <x:c r="B153" s="86" t="n">
        <x:v>242</x:v>
      </x:c>
      <x:c r="C153" s="86" t="n">
        <x:v>2024</x:v>
      </x:c>
      <x:c r="D153" s="86" t="n">
        <x:v>3.3</x:v>
      </x:c>
      <x:c r="E153" s="86" t="n">
        <x:v>3.9</x:v>
      </x:c>
      <x:c r="F153" s="86" t="n">
        <x:v>3.5</x:v>
      </x:c>
      <x:c r="G153" s="86" t="str">
        <x:v>Dentro do esperado</x:v>
      </x:c>
      <x:c r="H153" s="86" t="str">
        <x:v>Médio</x:v>
      </x:c>
      <x:c r="I153" s="87" t="n">
        <x:v>0</x:v>
      </x:c>
    </x:row>
    <x:row r="154">
      <x:c r="A154" s="85" t="n">
        <x:v>153</x:v>
      </x:c>
      <x:c r="B154" s="86" t="n">
        <x:v>243</x:v>
      </x:c>
      <x:c r="C154" s="86" t="n">
        <x:v>2024</x:v>
      </x:c>
      <x:c r="D154" s="86" t="n">
        <x:v>4.3</x:v>
      </x:c>
      <x:c r="E154" s="86" t="n">
        <x:v>3</x:v>
      </x:c>
      <x:c r="F154" s="86" t="n">
        <x:v>3.8</x:v>
      </x:c>
      <x:c r="G154" s="86" t="str">
        <x:v>Acima do esperado</x:v>
      </x:c>
      <x:c r="H154" s="86" t="str">
        <x:v>Médio</x:v>
      </x:c>
      <x:c r="I154" s="87" t="n">
        <x:v>0</x:v>
      </x:c>
    </x:row>
    <x:row r="155">
      <x:c r="A155" s="85" t="n">
        <x:v>154</x:v>
      </x:c>
      <x:c r="B155" s="86" t="n">
        <x:v>245</x:v>
      </x:c>
      <x:c r="C155" s="86" t="n">
        <x:v>2024</x:v>
      </x:c>
      <x:c r="D155" s="86" t="n">
        <x:v>2.4</x:v>
      </x:c>
      <x:c r="E155" s="86" t="n">
        <x:v>4.9</x:v>
      </x:c>
      <x:c r="F155" s="86" t="n">
        <x:v>3.4</x:v>
      </x:c>
      <x:c r="G155" s="86" t="str">
        <x:v>Dentro do esperado</x:v>
      </x:c>
      <x:c r="H155" s="86" t="str">
        <x:v>Alto</x:v>
      </x:c>
      <x:c r="I155" s="87" t="n">
        <x:v>1</x:v>
      </x:c>
    </x:row>
    <x:row r="156">
      <x:c r="A156" s="85" t="n">
        <x:v>155</x:v>
      </x:c>
      <x:c r="B156" s="86" t="n">
        <x:v>248</x:v>
      </x:c>
      <x:c r="C156" s="86" t="n">
        <x:v>2024</x:v>
      </x:c>
      <x:c r="D156" s="86" t="n">
        <x:v>2.3</x:v>
      </x:c>
      <x:c r="E156" s="86" t="n">
        <x:v>4.7</x:v>
      </x:c>
      <x:c r="F156" s="86" t="n">
        <x:v>3.3</x:v>
      </x:c>
      <x:c r="G156" s="86" t="str">
        <x:v>Dentro do esperado</x:v>
      </x:c>
      <x:c r="H156" s="86" t="str">
        <x:v>Baixo</x:v>
      </x:c>
      <x:c r="I156" s="87" t="n">
        <x:v>0</x:v>
      </x:c>
    </x:row>
    <x:row r="157">
      <x:c r="A157" s="85" t="n">
        <x:v>156</x:v>
      </x:c>
      <x:c r="B157" s="86" t="n">
        <x:v>253</x:v>
      </x:c>
      <x:c r="C157" s="86" t="n">
        <x:v>2024</x:v>
      </x:c>
      <x:c r="D157" s="86" t="n">
        <x:v>3.5</x:v>
      </x:c>
      <x:c r="E157" s="86" t="n">
        <x:v>3.6</x:v>
      </x:c>
      <x:c r="F157" s="86" t="n">
        <x:v>3.5</x:v>
      </x:c>
      <x:c r="G157" s="86" t="str">
        <x:v>Dentro do esperado</x:v>
      </x:c>
      <x:c r="H157" s="86" t="str">
        <x:v>Médio</x:v>
      </x:c>
      <x:c r="I157" s="87" t="n">
        <x:v>0</x:v>
      </x:c>
    </x:row>
    <x:row r="158">
      <x:c r="A158" s="85" t="n">
        <x:v>157</x:v>
      </x:c>
      <x:c r="B158" s="86" t="n">
        <x:v>254</x:v>
      </x:c>
      <x:c r="C158" s="86" t="n">
        <x:v>2024</x:v>
      </x:c>
      <x:c r="D158" s="86" t="n">
        <x:v>3.2</x:v>
      </x:c>
      <x:c r="E158" s="86" t="n">
        <x:v>4.8</x:v>
      </x:c>
      <x:c r="F158" s="86" t="n">
        <x:v>3.8</x:v>
      </x:c>
      <x:c r="G158" s="86" t="str">
        <x:v>Acima do esperado</x:v>
      </x:c>
      <x:c r="H158" s="86" t="str">
        <x:v>Médio</x:v>
      </x:c>
      <x:c r="I158" s="87" t="n">
        <x:v>0</x:v>
      </x:c>
    </x:row>
    <x:row r="159">
      <x:c r="A159" s="85" t="n">
        <x:v>158</x:v>
      </x:c>
      <x:c r="B159" s="86" t="n">
        <x:v>255</x:v>
      </x:c>
      <x:c r="C159" s="86" t="n">
        <x:v>2024</x:v>
      </x:c>
      <x:c r="D159" s="86" t="n">
        <x:v>2.7</x:v>
      </x:c>
      <x:c r="E159" s="86" t="n">
        <x:v>2.7</x:v>
      </x:c>
      <x:c r="F159" s="86" t="n">
        <x:v>2.7</x:v>
      </x:c>
      <x:c r="G159" s="86" t="str">
        <x:v>Abaixo do esperado</x:v>
      </x:c>
      <x:c r="H159" s="86" t="str">
        <x:v>Médio</x:v>
      </x:c>
      <x:c r="I159" s="87" t="n">
        <x:v>1</x:v>
      </x:c>
    </x:row>
    <x:row r="160">
      <x:c r="A160" s="85" t="n">
        <x:v>159</x:v>
      </x:c>
      <x:c r="B160" s="86" t="n">
        <x:v>258</x:v>
      </x:c>
      <x:c r="C160" s="86" t="n">
        <x:v>2024</x:v>
      </x:c>
      <x:c r="D160" s="86" t="n">
        <x:v>3.4</x:v>
      </x:c>
      <x:c r="E160" s="86" t="n">
        <x:v>2.4</x:v>
      </x:c>
      <x:c r="F160" s="86" t="n">
        <x:v>3</x:v>
      </x:c>
      <x:c r="G160" s="86" t="str">
        <x:v>Dentro do esperado</x:v>
      </x:c>
      <x:c r="H160" s="86" t="str">
        <x:v>Médio</x:v>
      </x:c>
      <x:c r="I160" s="87" t="n">
        <x:v>1</x:v>
      </x:c>
    </x:row>
    <x:row r="161">
      <x:c r="A161" s="85" t="n">
        <x:v>160</x:v>
      </x:c>
      <x:c r="B161" s="86" t="n">
        <x:v>259</x:v>
      </x:c>
      <x:c r="C161" s="86" t="n">
        <x:v>2024</x:v>
      </x:c>
      <x:c r="D161" s="86" t="n">
        <x:v>2.5</x:v>
      </x:c>
      <x:c r="E161" s="86" t="n">
        <x:v>4.2</x:v>
      </x:c>
      <x:c r="F161" s="86" t="n">
        <x:v>3.2</x:v>
      </x:c>
      <x:c r="G161" s="86" t="str">
        <x:v>Dentro do esperado</x:v>
      </x:c>
      <x:c r="H161" s="86" t="str">
        <x:v>Baixo</x:v>
      </x:c>
      <x:c r="I161" s="87" t="n">
        <x:v>0</x:v>
      </x:c>
    </x:row>
    <x:row r="162">
      <x:c r="A162" s="85" t="n">
        <x:v>161</x:v>
      </x:c>
      <x:c r="B162" s="86" t="n">
        <x:v>260</x:v>
      </x:c>
      <x:c r="C162" s="86" t="n">
        <x:v>2024</x:v>
      </x:c>
      <x:c r="D162" s="86" t="n">
        <x:v>3</x:v>
      </x:c>
      <x:c r="E162" s="86" t="n">
        <x:v>2.8</x:v>
      </x:c>
      <x:c r="F162" s="86" t="n">
        <x:v>2.9</x:v>
      </x:c>
      <x:c r="G162" s="86" t="str">
        <x:v>Abaixo do esperado</x:v>
      </x:c>
      <x:c r="H162" s="86" t="str">
        <x:v>Médio</x:v>
      </x:c>
      <x:c r="I162" s="87" t="n">
        <x:v>1</x:v>
      </x:c>
    </x:row>
    <x:row r="163">
      <x:c r="A163" s="85" t="n">
        <x:v>162</x:v>
      </x:c>
      <x:c r="B163" s="86" t="n">
        <x:v>263</x:v>
      </x:c>
      <x:c r="C163" s="86" t="n">
        <x:v>2024</x:v>
      </x:c>
      <x:c r="D163" s="86" t="n">
        <x:v>4.7</x:v>
      </x:c>
      <x:c r="E163" s="86" t="n">
        <x:v>3.5</x:v>
      </x:c>
      <x:c r="F163" s="86" t="n">
        <x:v>4.2</x:v>
      </x:c>
      <x:c r="G163" s="86" t="str">
        <x:v>Acima do esperado</x:v>
      </x:c>
      <x:c r="H163" s="86" t="str">
        <x:v>Médio</x:v>
      </x:c>
      <x:c r="I163" s="87" t="n">
        <x:v>0</x:v>
      </x:c>
    </x:row>
    <x:row r="164">
      <x:c r="A164" s="85" t="n">
        <x:v>163</x:v>
      </x:c>
      <x:c r="B164" s="86" t="n">
        <x:v>264</x:v>
      </x:c>
      <x:c r="C164" s="86" t="n">
        <x:v>2024</x:v>
      </x:c>
      <x:c r="D164" s="86" t="n">
        <x:v>4.7</x:v>
      </x:c>
      <x:c r="E164" s="86" t="n">
        <x:v>2.7</x:v>
      </x:c>
      <x:c r="F164" s="86" t="n">
        <x:v>3.9</x:v>
      </x:c>
      <x:c r="G164" s="86" t="str">
        <x:v>Acima do esperado</x:v>
      </x:c>
      <x:c r="H164" s="86" t="str">
        <x:v>Baixo</x:v>
      </x:c>
      <x:c r="I164" s="87" t="n">
        <x:v>0</x:v>
      </x:c>
    </x:row>
    <x:row r="165">
      <x:c r="A165" s="85" t="n">
        <x:v>164</x:v>
      </x:c>
      <x:c r="B165" s="86" t="n">
        <x:v>269</x:v>
      </x:c>
      <x:c r="C165" s="86" t="n">
        <x:v>2024</x:v>
      </x:c>
      <x:c r="D165" s="86" t="n">
        <x:v>3.6</x:v>
      </x:c>
      <x:c r="E165" s="86" t="n">
        <x:v>2.5</x:v>
      </x:c>
      <x:c r="F165" s="86" t="n">
        <x:v>3.2</x:v>
      </x:c>
      <x:c r="G165" s="86" t="str">
        <x:v>Dentro do esperado</x:v>
      </x:c>
      <x:c r="H165" s="86" t="str">
        <x:v>Médio</x:v>
      </x:c>
      <x:c r="I165" s="87" t="n">
        <x:v>0</x:v>
      </x:c>
    </x:row>
    <x:row r="166">
      <x:c r="A166" s="85" t="n">
        <x:v>165</x:v>
      </x:c>
      <x:c r="B166" s="86" t="n">
        <x:v>271</x:v>
      </x:c>
      <x:c r="C166" s="86" t="n">
        <x:v>2024</x:v>
      </x:c>
      <x:c r="D166" s="86" t="n">
        <x:v>3.7</x:v>
      </x:c>
      <x:c r="E166" s="86" t="n">
        <x:v>3.4</x:v>
      </x:c>
      <x:c r="F166" s="86" t="n">
        <x:v>3.6</x:v>
      </x:c>
      <x:c r="G166" s="86" t="str">
        <x:v>Dentro do esperado</x:v>
      </x:c>
      <x:c r="H166" s="86" t="str">
        <x:v>Baixo</x:v>
      </x:c>
      <x:c r="I166" s="87" t="n">
        <x:v>0</x:v>
      </x:c>
    </x:row>
    <x:row r="167">
      <x:c r="A167" s="85" t="n">
        <x:v>166</x:v>
      </x:c>
      <x:c r="B167" s="86" t="n">
        <x:v>272</x:v>
      </x:c>
      <x:c r="C167" s="86" t="n">
        <x:v>2024</x:v>
      </x:c>
      <x:c r="D167" s="86" t="n">
        <x:v>3.4</x:v>
      </x:c>
      <x:c r="E167" s="86" t="n">
        <x:v>3.3</x:v>
      </x:c>
      <x:c r="F167" s="86" t="n">
        <x:v>3.4</x:v>
      </x:c>
      <x:c r="G167" s="86" t="str">
        <x:v>Dentro do esperado</x:v>
      </x:c>
      <x:c r="H167" s="86" t="str">
        <x:v>Alto</x:v>
      </x:c>
      <x:c r="I167" s="87" t="n">
        <x:v>1</x:v>
      </x:c>
    </x:row>
    <x:row r="168">
      <x:c r="A168" s="85" t="n">
        <x:v>167</x:v>
      </x:c>
      <x:c r="B168" s="86" t="n">
        <x:v>273</x:v>
      </x:c>
      <x:c r="C168" s="86" t="n">
        <x:v>2024</x:v>
      </x:c>
      <x:c r="D168" s="86" t="n">
        <x:v>4.4</x:v>
      </x:c>
      <x:c r="E168" s="86" t="n">
        <x:v>3.9</x:v>
      </x:c>
      <x:c r="F168" s="86" t="n">
        <x:v>4.2</x:v>
      </x:c>
      <x:c r="G168" s="86" t="str">
        <x:v>Acima do esperado</x:v>
      </x:c>
      <x:c r="H168" s="86" t="str">
        <x:v>Alto</x:v>
      </x:c>
      <x:c r="I168" s="87" t="n">
        <x:v>1</x:v>
      </x:c>
    </x:row>
    <x:row r="169">
      <x:c r="A169" s="85" t="n">
        <x:v>168</x:v>
      </x:c>
      <x:c r="B169" s="86" t="n">
        <x:v>274</x:v>
      </x:c>
      <x:c r="C169" s="86" t="n">
        <x:v>2024</x:v>
      </x:c>
      <x:c r="D169" s="86" t="n">
        <x:v>3.4</x:v>
      </x:c>
      <x:c r="E169" s="86" t="n">
        <x:v>3.2</x:v>
      </x:c>
      <x:c r="F169" s="86" t="n">
        <x:v>3.3</x:v>
      </x:c>
      <x:c r="G169" s="86" t="str">
        <x:v>Dentro do esperado</x:v>
      </x:c>
      <x:c r="H169" s="86" t="str">
        <x:v>Médio</x:v>
      </x:c>
      <x:c r="I169" s="87" t="n">
        <x:v>0</x:v>
      </x:c>
    </x:row>
    <x:row r="170">
      <x:c r="A170" s="85" t="n">
        <x:v>169</x:v>
      </x:c>
      <x:c r="B170" s="86" t="n">
        <x:v>277</x:v>
      </x:c>
      <x:c r="C170" s="86" t="n">
        <x:v>2024</x:v>
      </x:c>
      <x:c r="D170" s="86" t="n">
        <x:v>3</x:v>
      </x:c>
      <x:c r="E170" s="86" t="n">
        <x:v>3.7</x:v>
      </x:c>
      <x:c r="F170" s="86" t="n">
        <x:v>3.3</x:v>
      </x:c>
      <x:c r="G170" s="86" t="str">
        <x:v>Dentro do esperado</x:v>
      </x:c>
      <x:c r="H170" s="86" t="str">
        <x:v>Baixo</x:v>
      </x:c>
      <x:c r="I170" s="87" t="n">
        <x:v>0</x:v>
      </x:c>
    </x:row>
    <x:row r="171">
      <x:c r="A171" s="85" t="n">
        <x:v>170</x:v>
      </x:c>
      <x:c r="B171" s="86" t="n">
        <x:v>278</x:v>
      </x:c>
      <x:c r="C171" s="86" t="n">
        <x:v>2024</x:v>
      </x:c>
      <x:c r="D171" s="86" t="n">
        <x:v>4.9</x:v>
      </x:c>
      <x:c r="E171" s="86" t="n">
        <x:v>2.6</x:v>
      </x:c>
      <x:c r="F171" s="86" t="n">
        <x:v>4</x:v>
      </x:c>
      <x:c r="G171" s="86" t="str">
        <x:v>Acima do esperado</x:v>
      </x:c>
      <x:c r="H171" s="86" t="str">
        <x:v>Médio</x:v>
      </x:c>
      <x:c r="I171" s="87" t="n">
        <x:v>0</x:v>
      </x:c>
    </x:row>
    <x:row r="172">
      <x:c r="A172" s="85" t="n">
        <x:v>171</x:v>
      </x:c>
      <x:c r="B172" s="86" t="n">
        <x:v>279</x:v>
      </x:c>
      <x:c r="C172" s="86" t="n">
        <x:v>2024</x:v>
      </x:c>
      <x:c r="D172" s="86" t="n">
        <x:v>4.2</x:v>
      </x:c>
      <x:c r="E172" s="86" t="n">
        <x:v>2.9</x:v>
      </x:c>
      <x:c r="F172" s="86" t="n">
        <x:v>3.7</x:v>
      </x:c>
      <x:c r="G172" s="86" t="str">
        <x:v>Dentro do esperado</x:v>
      </x:c>
      <x:c r="H172" s="86" t="str">
        <x:v>Médio</x:v>
      </x:c>
      <x:c r="I172" s="87" t="n">
        <x:v>0</x:v>
      </x:c>
    </x:row>
    <x:row r="173">
      <x:c r="A173" s="85" t="n">
        <x:v>172</x:v>
      </x:c>
      <x:c r="B173" s="86" t="n">
        <x:v>280</x:v>
      </x:c>
      <x:c r="C173" s="86" t="n">
        <x:v>2024</x:v>
      </x:c>
      <x:c r="D173" s="86" t="n">
        <x:v>3.4</x:v>
      </x:c>
      <x:c r="E173" s="86" t="n">
        <x:v>4.3</x:v>
      </x:c>
      <x:c r="F173" s="86" t="n">
        <x:v>3.8</x:v>
      </x:c>
      <x:c r="G173" s="86" t="str">
        <x:v>Acima do esperado</x:v>
      </x:c>
      <x:c r="H173" s="86" t="str">
        <x:v>Alto</x:v>
      </x:c>
      <x:c r="I173" s="87" t="n">
        <x:v>1</x:v>
      </x:c>
    </x:row>
    <x:row r="174">
      <x:c r="A174" s="85" t="n">
        <x:v>173</x:v>
      </x:c>
      <x:c r="B174" s="86" t="n">
        <x:v>281</x:v>
      </x:c>
      <x:c r="C174" s="86" t="n">
        <x:v>2024</x:v>
      </x:c>
      <x:c r="D174" s="86" t="n">
        <x:v>4.9</x:v>
      </x:c>
      <x:c r="E174" s="86" t="n">
        <x:v>4.8</x:v>
      </x:c>
      <x:c r="F174" s="86" t="n">
        <x:v>4.9</x:v>
      </x:c>
      <x:c r="G174" s="86" t="str">
        <x:v>Excepcional</x:v>
      </x:c>
      <x:c r="H174" s="86" t="str">
        <x:v>Alto</x:v>
      </x:c>
      <x:c r="I174" s="87" t="n">
        <x:v>1</x:v>
      </x:c>
    </x:row>
    <x:row r="175">
      <x:c r="A175" s="85" t="n">
        <x:v>174</x:v>
      </x:c>
      <x:c r="B175" s="86" t="n">
        <x:v>282</x:v>
      </x:c>
      <x:c r="C175" s="86" t="n">
        <x:v>2024</x:v>
      </x:c>
      <x:c r="D175" s="86" t="n">
        <x:v>4.4</x:v>
      </x:c>
      <x:c r="E175" s="86" t="n">
        <x:v>4.2</x:v>
      </x:c>
      <x:c r="F175" s="86" t="n">
        <x:v>4.3</x:v>
      </x:c>
      <x:c r="G175" s="86" t="str">
        <x:v>Acima do esperado</x:v>
      </x:c>
      <x:c r="H175" s="86" t="str">
        <x:v>Médio</x:v>
      </x:c>
      <x:c r="I175" s="87" t="n">
        <x:v>0</x:v>
      </x:c>
    </x:row>
    <x:row r="176">
      <x:c r="A176" s="85" t="n">
        <x:v>175</x:v>
      </x:c>
      <x:c r="B176" s="86" t="n">
        <x:v>284</x:v>
      </x:c>
      <x:c r="C176" s="86" t="n">
        <x:v>2024</x:v>
      </x:c>
      <x:c r="D176" s="86" t="n">
        <x:v>4.6</x:v>
      </x:c>
      <x:c r="E176" s="86" t="n">
        <x:v>4.5</x:v>
      </x:c>
      <x:c r="F176" s="86" t="n">
        <x:v>4.6</x:v>
      </x:c>
      <x:c r="G176" s="86" t="str">
        <x:v>Excepcional</x:v>
      </x:c>
      <x:c r="H176" s="86" t="str">
        <x:v>Médio</x:v>
      </x:c>
      <x:c r="I176" s="87" t="n">
        <x:v>0</x:v>
      </x:c>
    </x:row>
    <x:row r="177">
      <x:c r="A177" s="85" t="n">
        <x:v>176</x:v>
      </x:c>
      <x:c r="B177" s="86" t="n">
        <x:v>286</x:v>
      </x:c>
      <x:c r="C177" s="86" t="n">
        <x:v>2024</x:v>
      </x:c>
      <x:c r="D177" s="86" t="n">
        <x:v>2.3</x:v>
      </x:c>
      <x:c r="E177" s="86" t="n">
        <x:v>3.1</x:v>
      </x:c>
      <x:c r="F177" s="86" t="n">
        <x:v>2.6</x:v>
      </x:c>
      <x:c r="G177" s="86" t="str">
        <x:v>Abaixo do esperado</x:v>
      </x:c>
      <x:c r="H177" s="86" t="str">
        <x:v>Médio</x:v>
      </x:c>
      <x:c r="I177" s="87" t="n">
        <x:v>1</x:v>
      </x:c>
    </x:row>
    <x:row r="178">
      <x:c r="A178" s="85" t="n">
        <x:v>177</x:v>
      </x:c>
      <x:c r="B178" s="86" t="n">
        <x:v>287</x:v>
      </x:c>
      <x:c r="C178" s="86" t="n">
        <x:v>2024</x:v>
      </x:c>
      <x:c r="D178" s="86" t="n">
        <x:v>4.4</x:v>
      </x:c>
      <x:c r="E178" s="86" t="n">
        <x:v>4.9</x:v>
      </x:c>
      <x:c r="F178" s="86" t="n">
        <x:v>4.6</x:v>
      </x:c>
      <x:c r="G178" s="86" t="str">
        <x:v>Excepcional</x:v>
      </x:c>
      <x:c r="H178" s="86" t="str">
        <x:v>Médio</x:v>
      </x:c>
      <x:c r="I178" s="87" t="n">
        <x:v>0</x:v>
      </x:c>
    </x:row>
    <x:row r="179">
      <x:c r="A179" s="85" t="n">
        <x:v>178</x:v>
      </x:c>
      <x:c r="B179" s="86" t="n">
        <x:v>288</x:v>
      </x:c>
      <x:c r="C179" s="86" t="n">
        <x:v>2024</x:v>
      </x:c>
      <x:c r="D179" s="86" t="n">
        <x:v>4.9</x:v>
      </x:c>
      <x:c r="E179" s="86" t="n">
        <x:v>3</x:v>
      </x:c>
      <x:c r="F179" s="86" t="n">
        <x:v>4.1</x:v>
      </x:c>
      <x:c r="G179" s="86" t="str">
        <x:v>Acima do esperado</x:v>
      </x:c>
      <x:c r="H179" s="86" t="str">
        <x:v>Médio</x:v>
      </x:c>
      <x:c r="I179" s="87" t="n">
        <x:v>0</x:v>
      </x:c>
    </x:row>
    <x:row r="180">
      <x:c r="A180" s="85" t="n">
        <x:v>179</x:v>
      </x:c>
      <x:c r="B180" s="86" t="n">
        <x:v>290</x:v>
      </x:c>
      <x:c r="C180" s="86" t="n">
        <x:v>2024</x:v>
      </x:c>
      <x:c r="D180" s="86" t="n">
        <x:v>2.9</x:v>
      </x:c>
      <x:c r="E180" s="86" t="n">
        <x:v>2.7</x:v>
      </x:c>
      <x:c r="F180" s="86" t="n">
        <x:v>2.8</x:v>
      </x:c>
      <x:c r="G180" s="86" t="str">
        <x:v>Abaixo do esperado</x:v>
      </x:c>
      <x:c r="H180" s="86" t="str">
        <x:v>Médio</x:v>
      </x:c>
      <x:c r="I180" s="87" t="n">
        <x:v>1</x:v>
      </x:c>
    </x:row>
    <x:row r="181">
      <x:c r="A181" s="85" t="n">
        <x:v>180</x:v>
      </x:c>
      <x:c r="B181" s="86" t="n">
        <x:v>292</x:v>
      </x:c>
      <x:c r="C181" s="86" t="n">
        <x:v>2024</x:v>
      </x:c>
      <x:c r="D181" s="86" t="n">
        <x:v>3.7</x:v>
      </x:c>
      <x:c r="E181" s="86" t="n">
        <x:v>4.8</x:v>
      </x:c>
      <x:c r="F181" s="86" t="n">
        <x:v>4.1</x:v>
      </x:c>
      <x:c r="G181" s="86" t="str">
        <x:v>Acima do esperado</x:v>
      </x:c>
      <x:c r="H181" s="86" t="str">
        <x:v>Médio</x:v>
      </x:c>
      <x:c r="I181" s="87" t="n">
        <x:v>0</x:v>
      </x:c>
    </x:row>
    <x:row r="182">
      <x:c r="A182" s="85" t="n">
        <x:v>181</x:v>
      </x:c>
      <x:c r="B182" s="86" t="n">
        <x:v>293</x:v>
      </x:c>
      <x:c r="C182" s="86" t="n">
        <x:v>2024</x:v>
      </x:c>
      <x:c r="D182" s="86" t="n">
        <x:v>2.8</x:v>
      </x:c>
      <x:c r="E182" s="86" t="n">
        <x:v>3.5</x:v>
      </x:c>
      <x:c r="F182" s="86" t="n">
        <x:v>3.1</x:v>
      </x:c>
      <x:c r="G182" s="86" t="str">
        <x:v>Dentro do esperado</x:v>
      </x:c>
      <x:c r="H182" s="86" t="str">
        <x:v>Médio</x:v>
      </x:c>
      <x:c r="I182" s="87" t="n">
        <x:v>1</x:v>
      </x:c>
    </x:row>
    <x:row r="183">
      <x:c r="A183" s="85" t="n">
        <x:v>182</x:v>
      </x:c>
      <x:c r="B183" s="86" t="n">
        <x:v>295</x:v>
      </x:c>
      <x:c r="C183" s="86" t="n">
        <x:v>2024</x:v>
      </x:c>
      <x:c r="D183" s="86" t="n">
        <x:v>3.5</x:v>
      </x:c>
      <x:c r="E183" s="86" t="n">
        <x:v>2.9</x:v>
      </x:c>
      <x:c r="F183" s="86" t="n">
        <x:v>3.3</x:v>
      </x:c>
      <x:c r="G183" s="86" t="str">
        <x:v>Dentro do esperado</x:v>
      </x:c>
      <x:c r="H183" s="86" t="str">
        <x:v>Médio</x:v>
      </x:c>
      <x:c r="I183" s="87" t="n">
        <x:v>0</x:v>
      </x:c>
    </x:row>
    <x:row r="184">
      <x:c r="A184" s="85" t="n">
        <x:v>183</x:v>
      </x:c>
      <x:c r="B184" s="86" t="n">
        <x:v>296</x:v>
      </x:c>
      <x:c r="C184" s="86" t="n">
        <x:v>2024</x:v>
      </x:c>
      <x:c r="D184" s="86" t="n">
        <x:v>2.9</x:v>
      </x:c>
      <x:c r="E184" s="86" t="n">
        <x:v>2.6</x:v>
      </x:c>
      <x:c r="F184" s="86" t="n">
        <x:v>2.8</x:v>
      </x:c>
      <x:c r="G184" s="86" t="str">
        <x:v>Abaixo do esperado</x:v>
      </x:c>
      <x:c r="H184" s="86" t="str">
        <x:v>Alto</x:v>
      </x:c>
      <x:c r="I184" s="87" t="n">
        <x:v>1</x:v>
      </x:c>
    </x:row>
    <x:row r="185">
      <x:c r="A185" s="85" t="n">
        <x:v>184</x:v>
      </x:c>
      <x:c r="B185" s="86" t="n">
        <x:v>298</x:v>
      </x:c>
      <x:c r="C185" s="86" t="n">
        <x:v>2024</x:v>
      </x:c>
      <x:c r="D185" s="86" t="n">
        <x:v>4.1</x:v>
      </x:c>
      <x:c r="E185" s="86" t="n">
        <x:v>4.4</x:v>
      </x:c>
      <x:c r="F185" s="86" t="n">
        <x:v>4.2</x:v>
      </x:c>
      <x:c r="G185" s="86" t="str">
        <x:v>Acima do esperado</x:v>
      </x:c>
      <x:c r="H185" s="86" t="str">
        <x:v>Médio</x:v>
      </x:c>
      <x:c r="I185" s="87" t="n">
        <x:v>0</x:v>
      </x:c>
    </x:row>
    <x:row r="186">
      <x:c r="A186" s="85" t="n">
        <x:v>185</x:v>
      </x:c>
      <x:c r="B186" s="86" t="n">
        <x:v>299</x:v>
      </x:c>
      <x:c r="C186" s="86" t="n">
        <x:v>2024</x:v>
      </x:c>
      <x:c r="D186" s="86" t="n">
        <x:v>2.8</x:v>
      </x:c>
      <x:c r="E186" s="86" t="n">
        <x:v>3.3</x:v>
      </x:c>
      <x:c r="F186" s="86" t="n">
        <x:v>3</x:v>
      </x:c>
      <x:c r="G186" s="86" t="str">
        <x:v>Dentro do esperado</x:v>
      </x:c>
      <x:c r="H186" s="86" t="str">
        <x:v>Médio</x:v>
      </x:c>
      <x:c r="I186" s="87" t="n">
        <x:v>1</x:v>
      </x:c>
    </x:row>
    <x:row r="187">
      <x:c r="A187" s="85" t="n">
        <x:v>186</x:v>
      </x:c>
      <x:c r="B187" s="86" t="n">
        <x:v>300</x:v>
      </x:c>
      <x:c r="C187" s="86" t="n">
        <x:v>2024</x:v>
      </x:c>
      <x:c r="D187" s="86" t="n">
        <x:v>3.4</x:v>
      </x:c>
      <x:c r="E187" s="86" t="n">
        <x:v>3.5</x:v>
      </x:c>
      <x:c r="F187" s="86" t="n">
        <x:v>3.4</x:v>
      </x:c>
      <x:c r="G187" s="86" t="str">
        <x:v>Dentro do esperado</x:v>
      </x:c>
      <x:c r="H187" s="86" t="str">
        <x:v>Médio</x:v>
      </x:c>
      <x:c r="I187" s="87" t="n">
        <x:v>0</x:v>
      </x:c>
    </x:row>
    <x:row r="188">
      <x:c r="A188" s="85" t="n">
        <x:v>187</x:v>
      </x:c>
      <x:c r="B188" s="86" t="n">
        <x:v>302</x:v>
      </x:c>
      <x:c r="C188" s="86" t="n">
        <x:v>2024</x:v>
      </x:c>
      <x:c r="D188" s="86" t="n">
        <x:v>3.2</x:v>
      </x:c>
      <x:c r="E188" s="86" t="n">
        <x:v>2.5</x:v>
      </x:c>
      <x:c r="F188" s="86" t="n">
        <x:v>2.9</x:v>
      </x:c>
      <x:c r="G188" s="86" t="str">
        <x:v>Abaixo do esperado</x:v>
      </x:c>
      <x:c r="H188" s="86" t="str">
        <x:v>Médio</x:v>
      </x:c>
      <x:c r="I188" s="87" t="n">
        <x:v>1</x:v>
      </x:c>
    </x:row>
    <x:row r="189">
      <x:c r="A189" s="85" t="n">
        <x:v>188</x:v>
      </x:c>
      <x:c r="B189" s="86" t="n">
        <x:v>303</x:v>
      </x:c>
      <x:c r="C189" s="86" t="n">
        <x:v>2024</x:v>
      </x:c>
      <x:c r="D189" s="86" t="n">
        <x:v>4</x:v>
      </x:c>
      <x:c r="E189" s="86" t="n">
        <x:v>4.3</x:v>
      </x:c>
      <x:c r="F189" s="86" t="n">
        <x:v>4.1</x:v>
      </x:c>
      <x:c r="G189" s="86" t="str">
        <x:v>Acima do esperado</x:v>
      </x:c>
      <x:c r="H189" s="86" t="str">
        <x:v>Alto</x:v>
      </x:c>
      <x:c r="I189" s="87" t="n">
        <x:v>1</x:v>
      </x:c>
    </x:row>
    <x:row r="190">
      <x:c r="A190" s="85" t="n">
        <x:v>189</x:v>
      </x:c>
      <x:c r="B190" s="86" t="n">
        <x:v>304</x:v>
      </x:c>
      <x:c r="C190" s="86" t="n">
        <x:v>2024</x:v>
      </x:c>
      <x:c r="D190" s="86" t="n">
        <x:v>3.5</x:v>
      </x:c>
      <x:c r="E190" s="86" t="n">
        <x:v>4</x:v>
      </x:c>
      <x:c r="F190" s="86" t="n">
        <x:v>3.7</x:v>
      </x:c>
      <x:c r="G190" s="86" t="str">
        <x:v>Dentro do esperado</x:v>
      </x:c>
      <x:c r="H190" s="86" t="str">
        <x:v>Médio</x:v>
      </x:c>
      <x:c r="I190" s="87" t="n">
        <x:v>0</x:v>
      </x:c>
    </x:row>
    <x:row r="191">
      <x:c r="A191" s="85" t="n">
        <x:v>190</x:v>
      </x:c>
      <x:c r="B191" s="86" t="n">
        <x:v>305</x:v>
      </x:c>
      <x:c r="C191" s="86" t="n">
        <x:v>2024</x:v>
      </x:c>
      <x:c r="D191" s="86" t="n">
        <x:v>2.7</x:v>
      </x:c>
      <x:c r="E191" s="86" t="n">
        <x:v>4.6</x:v>
      </x:c>
      <x:c r="F191" s="86" t="n">
        <x:v>3.5</x:v>
      </x:c>
      <x:c r="G191" s="86" t="str">
        <x:v>Dentro do esperado</x:v>
      </x:c>
      <x:c r="H191" s="86" t="str">
        <x:v>Alto</x:v>
      </x:c>
      <x:c r="I191" s="87" t="n">
        <x:v>1</x:v>
      </x:c>
    </x:row>
    <x:row r="192">
      <x:c r="A192" s="85" t="n">
        <x:v>191</x:v>
      </x:c>
      <x:c r="B192" s="86" t="n">
        <x:v>307</x:v>
      </x:c>
      <x:c r="C192" s="86" t="n">
        <x:v>2024</x:v>
      </x:c>
      <x:c r="D192" s="86" t="n">
        <x:v>4.3</x:v>
      </x:c>
      <x:c r="E192" s="86" t="n">
        <x:v>3.9</x:v>
      </x:c>
      <x:c r="F192" s="86" t="n">
        <x:v>4.1</x:v>
      </x:c>
      <x:c r="G192" s="86" t="str">
        <x:v>Acima do esperado</x:v>
      </x:c>
      <x:c r="H192" s="86" t="str">
        <x:v>Médio</x:v>
      </x:c>
      <x:c r="I192" s="87" t="n">
        <x:v>0</x:v>
      </x:c>
    </x:row>
    <x:row r="193">
      <x:c r="A193" s="85" t="n">
        <x:v>192</x:v>
      </x:c>
      <x:c r="B193" s="86" t="n">
        <x:v>311</x:v>
      </x:c>
      <x:c r="C193" s="86" t="n">
        <x:v>2024</x:v>
      </x:c>
      <x:c r="D193" s="86" t="n">
        <x:v>3.9</x:v>
      </x:c>
      <x:c r="E193" s="86" t="n">
        <x:v>4.7</x:v>
      </x:c>
      <x:c r="F193" s="86" t="n">
        <x:v>4.2</x:v>
      </x:c>
      <x:c r="G193" s="86" t="str">
        <x:v>Acima do esperado</x:v>
      </x:c>
      <x:c r="H193" s="86" t="str">
        <x:v>Médio</x:v>
      </x:c>
      <x:c r="I193" s="87" t="n">
        <x:v>0</x:v>
      </x:c>
    </x:row>
    <x:row r="194">
      <x:c r="A194" s="85" t="n">
        <x:v>193</x:v>
      </x:c>
      <x:c r="B194" s="86" t="n">
        <x:v>312</x:v>
      </x:c>
      <x:c r="C194" s="86" t="n">
        <x:v>2024</x:v>
      </x:c>
      <x:c r="D194" s="86" t="n">
        <x:v>4.1</x:v>
      </x:c>
      <x:c r="E194" s="86" t="n">
        <x:v>3.6</x:v>
      </x:c>
      <x:c r="F194" s="86" t="n">
        <x:v>3.9</x:v>
      </x:c>
      <x:c r="G194" s="86" t="str">
        <x:v>Acima do esperado</x:v>
      </x:c>
      <x:c r="H194" s="86" t="str">
        <x:v>Baixo</x:v>
      </x:c>
      <x:c r="I194" s="87" t="n">
        <x:v>0</x:v>
      </x:c>
    </x:row>
    <x:row r="195">
      <x:c r="A195" s="85" t="n">
        <x:v>194</x:v>
      </x:c>
      <x:c r="B195" s="86" t="n">
        <x:v>313</x:v>
      </x:c>
      <x:c r="C195" s="86" t="n">
        <x:v>2024</x:v>
      </x:c>
      <x:c r="D195" s="86" t="n">
        <x:v>3.1</x:v>
      </x:c>
      <x:c r="E195" s="86" t="n">
        <x:v>2.9</x:v>
      </x:c>
      <x:c r="F195" s="86" t="n">
        <x:v>3</x:v>
      </x:c>
      <x:c r="G195" s="86" t="str">
        <x:v>Dentro do esperado</x:v>
      </x:c>
      <x:c r="H195" s="86" t="str">
        <x:v>Alto</x:v>
      </x:c>
      <x:c r="I195" s="87" t="n">
        <x:v>1</x:v>
      </x:c>
    </x:row>
    <x:row r="196">
      <x:c r="A196" s="85" t="n">
        <x:v>195</x:v>
      </x:c>
      <x:c r="B196" s="86" t="n">
        <x:v>316</x:v>
      </x:c>
      <x:c r="C196" s="86" t="n">
        <x:v>2024</x:v>
      </x:c>
      <x:c r="D196" s="86" t="n">
        <x:v>2.9</x:v>
      </x:c>
      <x:c r="E196" s="86" t="n">
        <x:v>3.9</x:v>
      </x:c>
      <x:c r="F196" s="86" t="n">
        <x:v>3.3</x:v>
      </x:c>
      <x:c r="G196" s="86" t="str">
        <x:v>Dentro do esperado</x:v>
      </x:c>
      <x:c r="H196" s="86" t="str">
        <x:v>Médio</x:v>
      </x:c>
      <x:c r="I196" s="87" t="n">
        <x:v>0</x:v>
      </x:c>
    </x:row>
    <x:row r="197">
      <x:c r="A197" s="85" t="n">
        <x:v>196</x:v>
      </x:c>
      <x:c r="B197" s="86" t="n">
        <x:v>317</x:v>
      </x:c>
      <x:c r="C197" s="86" t="n">
        <x:v>2024</x:v>
      </x:c>
      <x:c r="D197" s="86" t="n">
        <x:v>2.9</x:v>
      </x:c>
      <x:c r="E197" s="86" t="n">
        <x:v>4.3</x:v>
      </x:c>
      <x:c r="F197" s="86" t="n">
        <x:v>3.5</x:v>
      </x:c>
      <x:c r="G197" s="86" t="str">
        <x:v>Dentro do esperado</x:v>
      </x:c>
      <x:c r="H197" s="86" t="str">
        <x:v>Médio</x:v>
      </x:c>
      <x:c r="I197" s="87" t="n">
        <x:v>0</x:v>
      </x:c>
    </x:row>
    <x:row r="198">
      <x:c r="A198" s="85" t="n">
        <x:v>197</x:v>
      </x:c>
      <x:c r="B198" s="86" t="n">
        <x:v>320</x:v>
      </x:c>
      <x:c r="C198" s="86" t="n">
        <x:v>2024</x:v>
      </x:c>
      <x:c r="D198" s="86" t="n">
        <x:v>3.3</x:v>
      </x:c>
      <x:c r="E198" s="86" t="n">
        <x:v>2.6</x:v>
      </x:c>
      <x:c r="F198" s="86" t="n">
        <x:v>3</x:v>
      </x:c>
      <x:c r="G198" s="86" t="str">
        <x:v>Dentro do esperado</x:v>
      </x:c>
      <x:c r="H198" s="86" t="str">
        <x:v>Médio</x:v>
      </x:c>
      <x:c r="I198" s="87" t="n">
        <x:v>1</x:v>
      </x:c>
    </x:row>
    <x:row r="199">
      <x:c r="A199" s="85" t="n">
        <x:v>198</x:v>
      </x:c>
      <x:c r="B199" s="86" t="n">
        <x:v>321</x:v>
      </x:c>
      <x:c r="C199" s="86" t="n">
        <x:v>2024</x:v>
      </x:c>
      <x:c r="D199" s="86" t="n">
        <x:v>3.7</x:v>
      </x:c>
      <x:c r="E199" s="86" t="n">
        <x:v>4.1</x:v>
      </x:c>
      <x:c r="F199" s="86" t="n">
        <x:v>3.9</x:v>
      </x:c>
      <x:c r="G199" s="86" t="str">
        <x:v>Acima do esperado</x:v>
      </x:c>
      <x:c r="H199" s="86" t="str">
        <x:v>Médio</x:v>
      </x:c>
      <x:c r="I199" s="87" t="n">
        <x:v>0</x:v>
      </x:c>
    </x:row>
    <x:row r="200">
      <x:c r="A200" s="85" t="n">
        <x:v>199</x:v>
      </x:c>
      <x:c r="B200" s="86" t="n">
        <x:v>322</x:v>
      </x:c>
      <x:c r="C200" s="86" t="n">
        <x:v>2024</x:v>
      </x:c>
      <x:c r="D200" s="86" t="n">
        <x:v>2.9</x:v>
      </x:c>
      <x:c r="E200" s="86" t="n">
        <x:v>4.3</x:v>
      </x:c>
      <x:c r="F200" s="86" t="n">
        <x:v>3.5</x:v>
      </x:c>
      <x:c r="G200" s="86" t="str">
        <x:v>Dentro do esperado</x:v>
      </x:c>
      <x:c r="H200" s="86" t="str">
        <x:v>Alto</x:v>
      </x:c>
      <x:c r="I200" s="87" t="n">
        <x:v>1</x:v>
      </x:c>
    </x:row>
    <x:row r="201">
      <x:c r="A201" s="85" t="n">
        <x:v>200</x:v>
      </x:c>
      <x:c r="B201" s="86" t="n">
        <x:v>325</x:v>
      </x:c>
      <x:c r="C201" s="86" t="n">
        <x:v>2024</x:v>
      </x:c>
      <x:c r="D201" s="86" t="n">
        <x:v>3.1</x:v>
      </x:c>
      <x:c r="E201" s="86" t="n">
        <x:v>3.7</x:v>
      </x:c>
      <x:c r="F201" s="86" t="n">
        <x:v>3.3</x:v>
      </x:c>
      <x:c r="G201" s="86" t="str">
        <x:v>Dentro do esperado</x:v>
      </x:c>
      <x:c r="H201" s="86" t="str">
        <x:v>Médio</x:v>
      </x:c>
      <x:c r="I201" s="87" t="n">
        <x:v>0</x:v>
      </x:c>
    </x:row>
    <x:row r="202">
      <x:c r="A202" s="85" t="n">
        <x:v>201</x:v>
      </x:c>
      <x:c r="B202" s="86" t="n">
        <x:v>327</x:v>
      </x:c>
      <x:c r="C202" s="86" t="n">
        <x:v>2024</x:v>
      </x:c>
      <x:c r="D202" s="86" t="n">
        <x:v>2.5</x:v>
      </x:c>
      <x:c r="E202" s="86" t="n">
        <x:v>2.6</x:v>
      </x:c>
      <x:c r="F202" s="86" t="n">
        <x:v>2.5</x:v>
      </x:c>
      <x:c r="G202" s="86" t="str">
        <x:v>Abaixo do esperado</x:v>
      </x:c>
      <x:c r="H202" s="86" t="str">
        <x:v>Médio</x:v>
      </x:c>
      <x:c r="I202" s="87" t="n">
        <x:v>1</x:v>
      </x:c>
    </x:row>
    <x:row r="203">
      <x:c r="A203" s="85" t="n">
        <x:v>202</x:v>
      </x:c>
      <x:c r="B203" s="86" t="n">
        <x:v>328</x:v>
      </x:c>
      <x:c r="C203" s="86" t="n">
        <x:v>2024</x:v>
      </x:c>
      <x:c r="D203" s="86" t="n">
        <x:v>3.9</x:v>
      </x:c>
      <x:c r="E203" s="86" t="n">
        <x:v>3.4</x:v>
      </x:c>
      <x:c r="F203" s="86" t="n">
        <x:v>3.7</x:v>
      </x:c>
      <x:c r="G203" s="86" t="str">
        <x:v>Dentro do esperado</x:v>
      </x:c>
      <x:c r="H203" s="86" t="str">
        <x:v>Médio</x:v>
      </x:c>
      <x:c r="I203" s="87" t="n">
        <x:v>0</x:v>
      </x:c>
    </x:row>
    <x:row r="204">
      <x:c r="A204" s="85" t="n">
        <x:v>203</x:v>
      </x:c>
      <x:c r="B204" s="86" t="n">
        <x:v>329</x:v>
      </x:c>
      <x:c r="C204" s="86" t="n">
        <x:v>2024</x:v>
      </x:c>
      <x:c r="D204" s="86" t="n">
        <x:v>4.3</x:v>
      </x:c>
      <x:c r="E204" s="86" t="n">
        <x:v>3.5</x:v>
      </x:c>
      <x:c r="F204" s="86" t="n">
        <x:v>4</x:v>
      </x:c>
      <x:c r="G204" s="86" t="str">
        <x:v>Acima do esperado</x:v>
      </x:c>
      <x:c r="H204" s="86" t="str">
        <x:v>Médio</x:v>
      </x:c>
      <x:c r="I204" s="87" t="n">
        <x:v>0</x:v>
      </x:c>
    </x:row>
    <x:row r="205">
      <x:c r="A205" s="85" t="n">
        <x:v>204</x:v>
      </x:c>
      <x:c r="B205" s="86" t="n">
        <x:v>330</x:v>
      </x:c>
      <x:c r="C205" s="86" t="n">
        <x:v>2024</x:v>
      </x:c>
      <x:c r="D205" s="86" t="n">
        <x:v>3.3</x:v>
      </x:c>
      <x:c r="E205" s="86" t="n">
        <x:v>3.7</x:v>
      </x:c>
      <x:c r="F205" s="86" t="n">
        <x:v>3.5</x:v>
      </x:c>
      <x:c r="G205" s="86" t="str">
        <x:v>Dentro do esperado</x:v>
      </x:c>
      <x:c r="H205" s="86" t="str">
        <x:v>Alto</x:v>
      </x:c>
      <x:c r="I205" s="87" t="n">
        <x:v>1</x:v>
      </x:c>
    </x:row>
    <x:row r="206">
      <x:c r="A206" s="85" t="n">
        <x:v>205</x:v>
      </x:c>
      <x:c r="B206" s="86" t="n">
        <x:v>333</x:v>
      </x:c>
      <x:c r="C206" s="86" t="n">
        <x:v>2024</x:v>
      </x:c>
      <x:c r="D206" s="86" t="n">
        <x:v>3.1</x:v>
      </x:c>
      <x:c r="E206" s="86" t="n">
        <x:v>3</x:v>
      </x:c>
      <x:c r="F206" s="86" t="n">
        <x:v>3.1</x:v>
      </x:c>
      <x:c r="G206" s="86" t="str">
        <x:v>Dentro do esperado</x:v>
      </x:c>
      <x:c r="H206" s="86" t="str">
        <x:v>Baixo</x:v>
      </x:c>
      <x:c r="I206" s="87" t="n">
        <x:v>1</x:v>
      </x:c>
    </x:row>
    <x:row r="207">
      <x:c r="A207" s="85" t="n">
        <x:v>206</x:v>
      </x:c>
      <x:c r="B207" s="86" t="n">
        <x:v>334</x:v>
      </x:c>
      <x:c r="C207" s="86" t="n">
        <x:v>2024</x:v>
      </x:c>
      <x:c r="D207" s="86" t="n">
        <x:v>4.6</x:v>
      </x:c>
      <x:c r="E207" s="86" t="n">
        <x:v>3.3</x:v>
      </x:c>
      <x:c r="F207" s="86" t="n">
        <x:v>4.1</x:v>
      </x:c>
      <x:c r="G207" s="86" t="str">
        <x:v>Acima do esperado</x:v>
      </x:c>
      <x:c r="H207" s="86" t="str">
        <x:v>Médio</x:v>
      </x:c>
      <x:c r="I207" s="87" t="n">
        <x:v>0</x:v>
      </x:c>
    </x:row>
    <x:row r="208">
      <x:c r="A208" s="85" t="n">
        <x:v>207</x:v>
      </x:c>
      <x:c r="B208" s="86" t="n">
        <x:v>337</x:v>
      </x:c>
      <x:c r="C208" s="86" t="n">
        <x:v>2024</x:v>
      </x:c>
      <x:c r="D208" s="86" t="n">
        <x:v>3.3</x:v>
      </x:c>
      <x:c r="E208" s="86" t="n">
        <x:v>2.8</x:v>
      </x:c>
      <x:c r="F208" s="86" t="n">
        <x:v>3.1</x:v>
      </x:c>
      <x:c r="G208" s="86" t="str">
        <x:v>Dentro do esperado</x:v>
      </x:c>
      <x:c r="H208" s="86" t="str">
        <x:v>Alto</x:v>
      </x:c>
      <x:c r="I208" s="87" t="n">
        <x:v>1</x:v>
      </x:c>
    </x:row>
    <x:row r="209">
      <x:c r="A209" s="85" t="n">
        <x:v>208</x:v>
      </x:c>
      <x:c r="B209" s="86" t="n">
        <x:v>338</x:v>
      </x:c>
      <x:c r="C209" s="86" t="n">
        <x:v>2024</x:v>
      </x:c>
      <x:c r="D209" s="86" t="n">
        <x:v>4.5</x:v>
      </x:c>
      <x:c r="E209" s="86" t="n">
        <x:v>4.3</x:v>
      </x:c>
      <x:c r="F209" s="86" t="n">
        <x:v>4.4</x:v>
      </x:c>
      <x:c r="G209" s="86" t="str">
        <x:v>Acima do esperado</x:v>
      </x:c>
      <x:c r="H209" s="86" t="str">
        <x:v>Alto</x:v>
      </x:c>
      <x:c r="I209" s="87" t="n">
        <x:v>1</x:v>
      </x:c>
    </x:row>
    <x:row r="210">
      <x:c r="A210" s="85" t="n">
        <x:v>209</x:v>
      </x:c>
      <x:c r="B210" s="86" t="n">
        <x:v>339</x:v>
      </x:c>
      <x:c r="C210" s="86" t="n">
        <x:v>2024</x:v>
      </x:c>
      <x:c r="D210" s="86" t="n">
        <x:v>4</x:v>
      </x:c>
      <x:c r="E210" s="86" t="n">
        <x:v>2.9</x:v>
      </x:c>
      <x:c r="F210" s="86" t="n">
        <x:v>3.6</x:v>
      </x:c>
      <x:c r="G210" s="86" t="str">
        <x:v>Dentro do esperado</x:v>
      </x:c>
      <x:c r="H210" s="86" t="str">
        <x:v>Médio</x:v>
      </x:c>
      <x:c r="I210" s="87" t="n">
        <x:v>0</x:v>
      </x:c>
    </x:row>
    <x:row r="211">
      <x:c r="A211" s="85" t="n">
        <x:v>210</x:v>
      </x:c>
      <x:c r="B211" s="86" t="n">
        <x:v>340</x:v>
      </x:c>
      <x:c r="C211" s="86" t="n">
        <x:v>2024</x:v>
      </x:c>
      <x:c r="D211" s="86" t="n">
        <x:v>4.8</x:v>
      </x:c>
      <x:c r="E211" s="86" t="n">
        <x:v>3</x:v>
      </x:c>
      <x:c r="F211" s="86" t="n">
        <x:v>4.1</x:v>
      </x:c>
      <x:c r="G211" s="86" t="str">
        <x:v>Acima do esperado</x:v>
      </x:c>
      <x:c r="H211" s="86" t="str">
        <x:v>Baixo</x:v>
      </x:c>
      <x:c r="I211" s="87" t="n">
        <x:v>0</x:v>
      </x:c>
    </x:row>
    <x:row r="212">
      <x:c r="A212" s="85" t="n">
        <x:v>211</x:v>
      </x:c>
      <x:c r="B212" s="86" t="n">
        <x:v>341</x:v>
      </x:c>
      <x:c r="C212" s="86" t="n">
        <x:v>2024</x:v>
      </x:c>
      <x:c r="D212" s="86" t="n">
        <x:v>3.2</x:v>
      </x:c>
      <x:c r="E212" s="86" t="n">
        <x:v>4.5</x:v>
      </x:c>
      <x:c r="F212" s="86" t="n">
        <x:v>3.7</x:v>
      </x:c>
      <x:c r="G212" s="86" t="str">
        <x:v>Dentro do esperado</x:v>
      </x:c>
      <x:c r="H212" s="86" t="str">
        <x:v>Médio</x:v>
      </x:c>
      <x:c r="I212" s="87" t="n">
        <x:v>0</x:v>
      </x:c>
    </x:row>
    <x:row r="213">
      <x:c r="A213" s="85" t="n">
        <x:v>212</x:v>
      </x:c>
      <x:c r="B213" s="86" t="n">
        <x:v>345</x:v>
      </x:c>
      <x:c r="C213" s="86" t="n">
        <x:v>2024</x:v>
      </x:c>
      <x:c r="D213" s="86" t="n">
        <x:v>4</x:v>
      </x:c>
      <x:c r="E213" s="86" t="n">
        <x:v>4.4</x:v>
      </x:c>
      <x:c r="F213" s="86" t="n">
        <x:v>4.2</x:v>
      </x:c>
      <x:c r="G213" s="86" t="str">
        <x:v>Acima do esperado</x:v>
      </x:c>
      <x:c r="H213" s="86" t="str">
        <x:v>Alto</x:v>
      </x:c>
      <x:c r="I213" s="87" t="n">
        <x:v>1</x:v>
      </x:c>
    </x:row>
    <x:row r="214">
      <x:c r="A214" s="85" t="n">
        <x:v>213</x:v>
      </x:c>
      <x:c r="B214" s="86" t="n">
        <x:v>346</x:v>
      </x:c>
      <x:c r="C214" s="86" t="n">
        <x:v>2024</x:v>
      </x:c>
      <x:c r="D214" s="86" t="n">
        <x:v>2.8</x:v>
      </x:c>
      <x:c r="E214" s="86" t="n">
        <x:v>3.1</x:v>
      </x:c>
      <x:c r="F214" s="86" t="n">
        <x:v>2.9</x:v>
      </x:c>
      <x:c r="G214" s="86" t="str">
        <x:v>Abaixo do esperado</x:v>
      </x:c>
      <x:c r="H214" s="86" t="str">
        <x:v>Baixo</x:v>
      </x:c>
      <x:c r="I214" s="87" t="n">
        <x:v>1</x:v>
      </x:c>
    </x:row>
    <x:row r="215">
      <x:c r="A215" s="85" t="n">
        <x:v>214</x:v>
      </x:c>
      <x:c r="B215" s="86" t="n">
        <x:v>348</x:v>
      </x:c>
      <x:c r="C215" s="86" t="n">
        <x:v>2024</x:v>
      </x:c>
      <x:c r="D215" s="86" t="n">
        <x:v>3.6</x:v>
      </x:c>
      <x:c r="E215" s="86" t="n">
        <x:v>4.7</x:v>
      </x:c>
      <x:c r="F215" s="86" t="n">
        <x:v>4</x:v>
      </x:c>
      <x:c r="G215" s="86" t="str">
        <x:v>Acima do esperado</x:v>
      </x:c>
      <x:c r="H215" s="86" t="str">
        <x:v>Alto</x:v>
      </x:c>
      <x:c r="I215" s="87" t="n">
        <x:v>1</x:v>
      </x:c>
    </x:row>
    <x:row r="216">
      <x:c r="A216" s="85" t="n">
        <x:v>215</x:v>
      </x:c>
      <x:c r="B216" s="86" t="n">
        <x:v>349</x:v>
      </x:c>
      <x:c r="C216" s="86" t="n">
        <x:v>2024</x:v>
      </x:c>
      <x:c r="D216" s="86" t="n">
        <x:v>4.2</x:v>
      </x:c>
      <x:c r="E216" s="86" t="n">
        <x:v>4.4</x:v>
      </x:c>
      <x:c r="F216" s="86" t="n">
        <x:v>4.3</x:v>
      </x:c>
      <x:c r="G216" s="86" t="str">
        <x:v>Acima do esperado</x:v>
      </x:c>
      <x:c r="H216" s="86" t="str">
        <x:v>Médio</x:v>
      </x:c>
      <x:c r="I216" s="87" t="n">
        <x:v>0</x:v>
      </x:c>
    </x:row>
    <x:row r="217">
      <x:c r="A217" s="85" t="n">
        <x:v>216</x:v>
      </x:c>
      <x:c r="B217" s="86" t="n">
        <x:v>353</x:v>
      </x:c>
      <x:c r="C217" s="86" t="n">
        <x:v>2024</x:v>
      </x:c>
      <x:c r="D217" s="86" t="n">
        <x:v>3.3</x:v>
      </x:c>
      <x:c r="E217" s="86" t="n">
        <x:v>2.4</x:v>
      </x:c>
      <x:c r="F217" s="86" t="n">
        <x:v>2.9</x:v>
      </x:c>
      <x:c r="G217" s="86" t="str">
        <x:v>Abaixo do esperado</x:v>
      </x:c>
      <x:c r="H217" s="86" t="str">
        <x:v>Baixo</x:v>
      </x:c>
      <x:c r="I217" s="87" t="n">
        <x:v>1</x:v>
      </x:c>
    </x:row>
    <x:row r="218">
      <x:c r="A218" s="85" t="n">
        <x:v>217</x:v>
      </x:c>
      <x:c r="B218" s="86" t="n">
        <x:v>354</x:v>
      </x:c>
      <x:c r="C218" s="86" t="n">
        <x:v>2024</x:v>
      </x:c>
      <x:c r="D218" s="86" t="n">
        <x:v>4.5</x:v>
      </x:c>
      <x:c r="E218" s="86" t="n">
        <x:v>4.7</x:v>
      </x:c>
      <x:c r="F218" s="86" t="n">
        <x:v>4.6</x:v>
      </x:c>
      <x:c r="G218" s="86" t="str">
        <x:v>Excepcional</x:v>
      </x:c>
      <x:c r="H218" s="86" t="str">
        <x:v>Alto</x:v>
      </x:c>
      <x:c r="I218" s="87" t="n">
        <x:v>1</x:v>
      </x:c>
    </x:row>
    <x:row r="219">
      <x:c r="A219" s="85" t="n">
        <x:v>218</x:v>
      </x:c>
      <x:c r="B219" s="86" t="n">
        <x:v>355</x:v>
      </x:c>
      <x:c r="C219" s="86" t="n">
        <x:v>2024</x:v>
      </x:c>
      <x:c r="D219" s="86" t="n">
        <x:v>3.9</x:v>
      </x:c>
      <x:c r="E219" s="86" t="n">
        <x:v>3.2</x:v>
      </x:c>
      <x:c r="F219" s="86" t="n">
        <x:v>3.6</x:v>
      </x:c>
      <x:c r="G219" s="86" t="str">
        <x:v>Dentro do esperado</x:v>
      </x:c>
      <x:c r="H219" s="86" t="str">
        <x:v>Baixo</x:v>
      </x:c>
      <x:c r="I219" s="87" t="n">
        <x:v>0</x:v>
      </x:c>
    </x:row>
    <x:row r="220">
      <x:c r="A220" s="85" t="n">
        <x:v>219</x:v>
      </x:c>
      <x:c r="B220" s="86" t="n">
        <x:v>356</x:v>
      </x:c>
      <x:c r="C220" s="86" t="n">
        <x:v>2024</x:v>
      </x:c>
      <x:c r="D220" s="86" t="n">
        <x:v>3.2</x:v>
      </x:c>
      <x:c r="E220" s="86" t="n">
        <x:v>3.7</x:v>
      </x:c>
      <x:c r="F220" s="86" t="n">
        <x:v>3.4</x:v>
      </x:c>
      <x:c r="G220" s="86" t="str">
        <x:v>Dentro do esperado</x:v>
      </x:c>
      <x:c r="H220" s="86" t="str">
        <x:v>Baixo</x:v>
      </x:c>
      <x:c r="I220" s="87" t="n">
        <x:v>0</x:v>
      </x:c>
    </x:row>
    <x:row r="221">
      <x:c r="A221" s="85" t="n">
        <x:v>220</x:v>
      </x:c>
      <x:c r="B221" s="86" t="n">
        <x:v>359</x:v>
      </x:c>
      <x:c r="C221" s="86" t="n">
        <x:v>2024</x:v>
      </x:c>
      <x:c r="D221" s="86" t="n">
        <x:v>4.3</x:v>
      </x:c>
      <x:c r="E221" s="86" t="n">
        <x:v>4.1</x:v>
      </x:c>
      <x:c r="F221" s="86" t="n">
        <x:v>4.2</x:v>
      </x:c>
      <x:c r="G221" s="86" t="str">
        <x:v>Acima do esperado</x:v>
      </x:c>
      <x:c r="H221" s="86" t="str">
        <x:v>Médio</x:v>
      </x:c>
      <x:c r="I221" s="87" t="n">
        <x:v>0</x:v>
      </x:c>
    </x:row>
    <x:row r="222">
      <x:c r="A222" s="85" t="n">
        <x:v>221</x:v>
      </x:c>
      <x:c r="B222" s="86" t="n">
        <x:v>360</x:v>
      </x:c>
      <x:c r="C222" s="86" t="n">
        <x:v>2024</x:v>
      </x:c>
      <x:c r="D222" s="86" t="n">
        <x:v>3.1</x:v>
      </x:c>
      <x:c r="E222" s="86" t="n">
        <x:v>3.5</x:v>
      </x:c>
      <x:c r="F222" s="86" t="n">
        <x:v>3.3</x:v>
      </x:c>
      <x:c r="G222" s="86" t="str">
        <x:v>Dentro do esperado</x:v>
      </x:c>
      <x:c r="H222" s="86" t="str">
        <x:v>Médio</x:v>
      </x:c>
      <x:c r="I222" s="87" t="n">
        <x:v>0</x:v>
      </x:c>
    </x:row>
    <x:row r="223">
      <x:c r="A223" s="85" t="n">
        <x:v>222</x:v>
      </x:c>
      <x:c r="B223" s="86" t="n">
        <x:v>361</x:v>
      </x:c>
      <x:c r="C223" s="86" t="n">
        <x:v>2024</x:v>
      </x:c>
      <x:c r="D223" s="86" t="n">
        <x:v>4.5</x:v>
      </x:c>
      <x:c r="E223" s="86" t="n">
        <x:v>2.8</x:v>
      </x:c>
      <x:c r="F223" s="86" t="n">
        <x:v>3.8</x:v>
      </x:c>
      <x:c r="G223" s="86" t="str">
        <x:v>Acima do esperado</x:v>
      </x:c>
      <x:c r="H223" s="86" t="str">
        <x:v>Médio</x:v>
      </x:c>
      <x:c r="I223" s="87" t="n">
        <x:v>0</x:v>
      </x:c>
    </x:row>
    <x:row r="224">
      <x:c r="A224" s="85" t="n">
        <x:v>223</x:v>
      </x:c>
      <x:c r="B224" s="86" t="n">
        <x:v>362</x:v>
      </x:c>
      <x:c r="C224" s="86" t="n">
        <x:v>2024</x:v>
      </x:c>
      <x:c r="D224" s="86" t="n">
        <x:v>2.4</x:v>
      </x:c>
      <x:c r="E224" s="86" t="n">
        <x:v>3.5</x:v>
      </x:c>
      <x:c r="F224" s="86" t="n">
        <x:v>2.8</x:v>
      </x:c>
      <x:c r="G224" s="86" t="str">
        <x:v>Abaixo do esperado</x:v>
      </x:c>
      <x:c r="H224" s="86" t="str">
        <x:v>Médio</x:v>
      </x:c>
      <x:c r="I224" s="87" t="n">
        <x:v>1</x:v>
      </x:c>
    </x:row>
    <x:row r="225">
      <x:c r="A225" s="85" t="n">
        <x:v>224</x:v>
      </x:c>
      <x:c r="B225" s="86" t="n">
        <x:v>364</x:v>
      </x:c>
      <x:c r="C225" s="86" t="n">
        <x:v>2024</x:v>
      </x:c>
      <x:c r="D225" s="86" t="n">
        <x:v>3</x:v>
      </x:c>
      <x:c r="E225" s="86" t="n">
        <x:v>2.6</x:v>
      </x:c>
      <x:c r="F225" s="86" t="n">
        <x:v>2.8</x:v>
      </x:c>
      <x:c r="G225" s="86" t="str">
        <x:v>Abaixo do esperado</x:v>
      </x:c>
      <x:c r="H225" s="86" t="str">
        <x:v>Baixo</x:v>
      </x:c>
      <x:c r="I225" s="87" t="n">
        <x:v>1</x:v>
      </x:c>
    </x:row>
    <x:row r="226">
      <x:c r="A226" s="85" t="n">
        <x:v>225</x:v>
      </x:c>
      <x:c r="B226" s="86" t="n">
        <x:v>366</x:v>
      </x:c>
      <x:c r="C226" s="86" t="n">
        <x:v>2024</x:v>
      </x:c>
      <x:c r="D226" s="86" t="n">
        <x:v>2.7</x:v>
      </x:c>
      <x:c r="E226" s="86" t="n">
        <x:v>4.3</x:v>
      </x:c>
      <x:c r="F226" s="86" t="n">
        <x:v>3.3</x:v>
      </x:c>
      <x:c r="G226" s="86" t="str">
        <x:v>Dentro do esperado</x:v>
      </x:c>
      <x:c r="H226" s="86" t="str">
        <x:v>Médio</x:v>
      </x:c>
      <x:c r="I226" s="87" t="n">
        <x:v>0</x:v>
      </x:c>
    </x:row>
    <x:row r="227">
      <x:c r="A227" s="85" t="n">
        <x:v>226</x:v>
      </x:c>
      <x:c r="B227" s="86" t="n">
        <x:v>368</x:v>
      </x:c>
      <x:c r="C227" s="86" t="n">
        <x:v>2024</x:v>
      </x:c>
      <x:c r="D227" s="86" t="n">
        <x:v>4.3</x:v>
      </x:c>
      <x:c r="E227" s="86" t="n">
        <x:v>2.7</x:v>
      </x:c>
      <x:c r="F227" s="86" t="n">
        <x:v>3.7</x:v>
      </x:c>
      <x:c r="G227" s="86" t="str">
        <x:v>Dentro do esperado</x:v>
      </x:c>
      <x:c r="H227" s="86" t="str">
        <x:v>Médio</x:v>
      </x:c>
      <x:c r="I227" s="87" t="n">
        <x:v>0</x:v>
      </x:c>
    </x:row>
    <x:row r="228">
      <x:c r="A228" s="85" t="n">
        <x:v>227</x:v>
      </x:c>
      <x:c r="B228" s="86" t="n">
        <x:v>369</x:v>
      </x:c>
      <x:c r="C228" s="86" t="n">
        <x:v>2024</x:v>
      </x:c>
      <x:c r="D228" s="86" t="n">
        <x:v>3.4</x:v>
      </x:c>
      <x:c r="E228" s="86" t="n">
        <x:v>3.9</x:v>
      </x:c>
      <x:c r="F228" s="86" t="n">
        <x:v>3.6</x:v>
      </x:c>
      <x:c r="G228" s="86" t="str">
        <x:v>Dentro do esperado</x:v>
      </x:c>
      <x:c r="H228" s="86" t="str">
        <x:v>Alto</x:v>
      </x:c>
      <x:c r="I228" s="87" t="n">
        <x:v>1</x:v>
      </x:c>
    </x:row>
    <x:row r="229">
      <x:c r="A229" s="85" t="n">
        <x:v>228</x:v>
      </x:c>
      <x:c r="B229" s="86" t="n">
        <x:v>371</x:v>
      </x:c>
      <x:c r="C229" s="86" t="n">
        <x:v>2024</x:v>
      </x:c>
      <x:c r="D229" s="86" t="n">
        <x:v>4.2</x:v>
      </x:c>
      <x:c r="E229" s="86" t="n">
        <x:v>4.7</x:v>
      </x:c>
      <x:c r="F229" s="86" t="n">
        <x:v>4.4</x:v>
      </x:c>
      <x:c r="G229" s="86" t="str">
        <x:v>Acima do esperado</x:v>
      </x:c>
      <x:c r="H229" s="86" t="str">
        <x:v>Baixo</x:v>
      </x:c>
      <x:c r="I229" s="87" t="n">
        <x:v>0</x:v>
      </x:c>
    </x:row>
    <x:row r="230">
      <x:c r="A230" s="85" t="n">
        <x:v>229</x:v>
      </x:c>
      <x:c r="B230" s="86" t="n">
        <x:v>372</x:v>
      </x:c>
      <x:c r="C230" s="86" t="n">
        <x:v>2024</x:v>
      </x:c>
      <x:c r="D230" s="86" t="n">
        <x:v>3.4</x:v>
      </x:c>
      <x:c r="E230" s="86" t="n">
        <x:v>3</x:v>
      </x:c>
      <x:c r="F230" s="86" t="n">
        <x:v>3.2</x:v>
      </x:c>
      <x:c r="G230" s="86" t="str">
        <x:v>Dentro do esperado</x:v>
      </x:c>
      <x:c r="H230" s="86" t="str">
        <x:v>Médio</x:v>
      </x:c>
      <x:c r="I230" s="87" t="n">
        <x:v>0</x:v>
      </x:c>
    </x:row>
    <x:row r="231">
      <x:c r="A231" s="85" t="n">
        <x:v>230</x:v>
      </x:c>
      <x:c r="B231" s="86" t="n">
        <x:v>374</x:v>
      </x:c>
      <x:c r="C231" s="86" t="n">
        <x:v>2024</x:v>
      </x:c>
      <x:c r="D231" s="86" t="n">
        <x:v>3.7</x:v>
      </x:c>
      <x:c r="E231" s="86" t="n">
        <x:v>4.4</x:v>
      </x:c>
      <x:c r="F231" s="86" t="n">
        <x:v>4</x:v>
      </x:c>
      <x:c r="G231" s="86" t="str">
        <x:v>Acima do esperado</x:v>
      </x:c>
      <x:c r="H231" s="86" t="str">
        <x:v>Médio</x:v>
      </x:c>
      <x:c r="I231" s="87" t="n">
        <x:v>0</x:v>
      </x:c>
    </x:row>
    <x:row r="232">
      <x:c r="A232" s="85" t="n">
        <x:v>231</x:v>
      </x:c>
      <x:c r="B232" s="86" t="n">
        <x:v>375</x:v>
      </x:c>
      <x:c r="C232" s="86" t="n">
        <x:v>2024</x:v>
      </x:c>
      <x:c r="D232" s="86" t="n">
        <x:v>3.3</x:v>
      </x:c>
      <x:c r="E232" s="86" t="n">
        <x:v>3.7</x:v>
      </x:c>
      <x:c r="F232" s="86" t="n">
        <x:v>3.5</x:v>
      </x:c>
      <x:c r="G232" s="86" t="str">
        <x:v>Dentro do esperado</x:v>
      </x:c>
      <x:c r="H232" s="86" t="str">
        <x:v>Médio</x:v>
      </x:c>
      <x:c r="I232" s="87" t="n">
        <x:v>0</x:v>
      </x:c>
    </x:row>
    <x:row r="233">
      <x:c r="A233" s="85" t="n">
        <x:v>232</x:v>
      </x:c>
      <x:c r="B233" s="86" t="n">
        <x:v>378</x:v>
      </x:c>
      <x:c r="C233" s="86" t="n">
        <x:v>2024</x:v>
      </x:c>
      <x:c r="D233" s="86" t="n">
        <x:v>3.8</x:v>
      </x:c>
      <x:c r="E233" s="86" t="n">
        <x:v>3</x:v>
      </x:c>
      <x:c r="F233" s="86" t="n">
        <x:v>3.5</x:v>
      </x:c>
      <x:c r="G233" s="86" t="str">
        <x:v>Dentro do esperado</x:v>
      </x:c>
      <x:c r="H233" s="86" t="str">
        <x:v>Médio</x:v>
      </x:c>
      <x:c r="I233" s="87" t="n">
        <x:v>0</x:v>
      </x:c>
    </x:row>
    <x:row r="234">
      <x:c r="A234" s="85" t="n">
        <x:v>233</x:v>
      </x:c>
      <x:c r="B234" s="86" t="n">
        <x:v>379</x:v>
      </x:c>
      <x:c r="C234" s="86" t="n">
        <x:v>2024</x:v>
      </x:c>
      <x:c r="D234" s="86" t="n">
        <x:v>2.4</x:v>
      </x:c>
      <x:c r="E234" s="86" t="n">
        <x:v>4.7</x:v>
      </x:c>
      <x:c r="F234" s="86" t="n">
        <x:v>3.3</x:v>
      </x:c>
      <x:c r="G234" s="86" t="str">
        <x:v>Dentro do esperado</x:v>
      </x:c>
      <x:c r="H234" s="86" t="str">
        <x:v>Alto</x:v>
      </x:c>
      <x:c r="I234" s="87" t="n">
        <x:v>1</x:v>
      </x:c>
    </x:row>
    <x:row r="235">
      <x:c r="A235" s="85" t="n">
        <x:v>234</x:v>
      </x:c>
      <x:c r="B235" s="86" t="n">
        <x:v>380</x:v>
      </x:c>
      <x:c r="C235" s="86" t="n">
        <x:v>2024</x:v>
      </x:c>
      <x:c r="D235" s="86" t="n">
        <x:v>4.5</x:v>
      </x:c>
      <x:c r="E235" s="86" t="n">
        <x:v>4.6</x:v>
      </x:c>
      <x:c r="F235" s="86" t="n">
        <x:v>4.5</x:v>
      </x:c>
      <x:c r="G235" s="86" t="str">
        <x:v>Excepcional</x:v>
      </x:c>
      <x:c r="H235" s="86" t="str">
        <x:v>Médio</x:v>
      </x:c>
      <x:c r="I235" s="87" t="n">
        <x:v>0</x:v>
      </x:c>
    </x:row>
    <x:row r="236">
      <x:c r="A236" s="85" t="n">
        <x:v>235</x:v>
      </x:c>
      <x:c r="B236" s="86" t="n">
        <x:v>381</x:v>
      </x:c>
      <x:c r="C236" s="86" t="n">
        <x:v>2024</x:v>
      </x:c>
      <x:c r="D236" s="86" t="n">
        <x:v>4.2</x:v>
      </x:c>
      <x:c r="E236" s="86" t="n">
        <x:v>3</x:v>
      </x:c>
      <x:c r="F236" s="86" t="n">
        <x:v>3.7</x:v>
      </x:c>
      <x:c r="G236" s="86" t="str">
        <x:v>Dentro do esperado</x:v>
      </x:c>
      <x:c r="H236" s="86" t="str">
        <x:v>Médio</x:v>
      </x:c>
      <x:c r="I236" s="87" t="n">
        <x:v>0</x:v>
      </x:c>
    </x:row>
    <x:row r="237">
      <x:c r="A237" s="85" t="n">
        <x:v>236</x:v>
      </x:c>
      <x:c r="B237" s="86" t="n">
        <x:v>382</x:v>
      </x:c>
      <x:c r="C237" s="86" t="n">
        <x:v>2024</x:v>
      </x:c>
      <x:c r="D237" s="86" t="n">
        <x:v>4.6</x:v>
      </x:c>
      <x:c r="E237" s="86" t="n">
        <x:v>2.5</x:v>
      </x:c>
      <x:c r="F237" s="86" t="n">
        <x:v>3.8</x:v>
      </x:c>
      <x:c r="G237" s="86" t="str">
        <x:v>Acima do esperado</x:v>
      </x:c>
      <x:c r="H237" s="86" t="str">
        <x:v>Médio</x:v>
      </x:c>
      <x:c r="I237" s="87" t="n">
        <x:v>0</x:v>
      </x:c>
    </x:row>
    <x:row r="238">
      <x:c r="A238" s="85" t="n">
        <x:v>237</x:v>
      </x:c>
      <x:c r="B238" s="86" t="n">
        <x:v>386</x:v>
      </x:c>
      <x:c r="C238" s="86" t="n">
        <x:v>2024</x:v>
      </x:c>
      <x:c r="D238" s="86" t="n">
        <x:v>4.4</x:v>
      </x:c>
      <x:c r="E238" s="86" t="n">
        <x:v>3.3</x:v>
      </x:c>
      <x:c r="F238" s="86" t="n">
        <x:v>4</x:v>
      </x:c>
      <x:c r="G238" s="86" t="str">
        <x:v>Acima do esperado</x:v>
      </x:c>
      <x:c r="H238" s="86" t="str">
        <x:v>Baixo</x:v>
      </x:c>
      <x:c r="I238" s="87" t="n">
        <x:v>0</x:v>
      </x:c>
    </x:row>
    <x:row r="239">
      <x:c r="A239" s="85" t="n">
        <x:v>238</x:v>
      </x:c>
      <x:c r="B239" s="86" t="n">
        <x:v>387</x:v>
      </x:c>
      <x:c r="C239" s="86" t="n">
        <x:v>2024</x:v>
      </x:c>
      <x:c r="D239" s="86" t="n">
        <x:v>2.9</x:v>
      </x:c>
      <x:c r="E239" s="86" t="n">
        <x:v>4.1</x:v>
      </x:c>
      <x:c r="F239" s="86" t="n">
        <x:v>3.4</x:v>
      </x:c>
      <x:c r="G239" s="86" t="str">
        <x:v>Dentro do esperado</x:v>
      </x:c>
      <x:c r="H239" s="86" t="str">
        <x:v>Médio</x:v>
      </x:c>
      <x:c r="I239" s="87" t="n">
        <x:v>0</x:v>
      </x:c>
    </x:row>
    <x:row r="240">
      <x:c r="A240" s="85" t="n">
        <x:v>239</x:v>
      </x:c>
      <x:c r="B240" s="86" t="n">
        <x:v>389</x:v>
      </x:c>
      <x:c r="C240" s="86" t="n">
        <x:v>2024</x:v>
      </x:c>
      <x:c r="D240" s="86" t="n">
        <x:v>3.4</x:v>
      </x:c>
      <x:c r="E240" s="86" t="n">
        <x:v>3.4</x:v>
      </x:c>
      <x:c r="F240" s="86" t="n">
        <x:v>3.4</x:v>
      </x:c>
      <x:c r="G240" s="86" t="str">
        <x:v>Dentro do esperado</x:v>
      </x:c>
      <x:c r="H240" s="86" t="str">
        <x:v>Baixo</x:v>
      </x:c>
      <x:c r="I240" s="87" t="n">
        <x:v>0</x:v>
      </x:c>
    </x:row>
    <x:row r="241">
      <x:c r="A241" s="85" t="n">
        <x:v>240</x:v>
      </x:c>
      <x:c r="B241" s="86" t="n">
        <x:v>390</x:v>
      </x:c>
      <x:c r="C241" s="86" t="n">
        <x:v>2024</x:v>
      </x:c>
      <x:c r="D241" s="86" t="n">
        <x:v>4.4</x:v>
      </x:c>
      <x:c r="E241" s="86" t="n">
        <x:v>4</x:v>
      </x:c>
      <x:c r="F241" s="86" t="n">
        <x:v>4.2</x:v>
      </x:c>
      <x:c r="G241" s="86" t="str">
        <x:v>Acima do esperado</x:v>
      </x:c>
      <x:c r="H241" s="86" t="str">
        <x:v>Médio</x:v>
      </x:c>
      <x:c r="I241" s="87" t="n">
        <x:v>0</x:v>
      </x:c>
    </x:row>
    <x:row r="242">
      <x:c r="A242" s="85" t="n">
        <x:v>241</x:v>
      </x:c>
      <x:c r="B242" s="86" t="n">
        <x:v>392</x:v>
      </x:c>
      <x:c r="C242" s="86" t="n">
        <x:v>2024</x:v>
      </x:c>
      <x:c r="D242" s="86" t="n">
        <x:v>2.4</x:v>
      </x:c>
      <x:c r="E242" s="86" t="n">
        <x:v>2.4</x:v>
      </x:c>
      <x:c r="F242" s="86" t="n">
        <x:v>2.4</x:v>
      </x:c>
      <x:c r="G242" s="86" t="str">
        <x:v>Abaixo do esperado</x:v>
      </x:c>
      <x:c r="H242" s="86" t="str">
        <x:v>Alto</x:v>
      </x:c>
      <x:c r="I242" s="87" t="n">
        <x:v>1</x:v>
      </x:c>
    </x:row>
    <x:row r="243">
      <x:c r="A243" s="85" t="n">
        <x:v>242</x:v>
      </x:c>
      <x:c r="B243" s="86" t="n">
        <x:v>393</x:v>
      </x:c>
      <x:c r="C243" s="86" t="n">
        <x:v>2024</x:v>
      </x:c>
      <x:c r="D243" s="86" t="n">
        <x:v>3.1</x:v>
      </x:c>
      <x:c r="E243" s="86" t="n">
        <x:v>3.7</x:v>
      </x:c>
      <x:c r="F243" s="86" t="n">
        <x:v>3.3</x:v>
      </x:c>
      <x:c r="G243" s="86" t="str">
        <x:v>Dentro do esperado</x:v>
      </x:c>
      <x:c r="H243" s="86" t="str">
        <x:v>Médio</x:v>
      </x:c>
      <x:c r="I243" s="87" t="n">
        <x:v>0</x:v>
      </x:c>
    </x:row>
    <x:row r="244">
      <x:c r="A244" s="85" t="n">
        <x:v>243</x:v>
      </x:c>
      <x:c r="B244" s="86" t="n">
        <x:v>396</x:v>
      </x:c>
      <x:c r="C244" s="86" t="n">
        <x:v>2024</x:v>
      </x:c>
      <x:c r="D244" s="86" t="n">
        <x:v>2.6</x:v>
      </x:c>
      <x:c r="E244" s="86" t="n">
        <x:v>3.9</x:v>
      </x:c>
      <x:c r="F244" s="86" t="n">
        <x:v>3.1</x:v>
      </x:c>
      <x:c r="G244" s="86" t="str">
        <x:v>Dentro do esperado</x:v>
      </x:c>
      <x:c r="H244" s="86" t="str">
        <x:v>Alto</x:v>
      </x:c>
      <x:c r="I244" s="87" t="n">
        <x:v>1</x:v>
      </x:c>
    </x:row>
    <x:row r="245">
      <x:c r="A245" s="85" t="n">
        <x:v>244</x:v>
      </x:c>
      <x:c r="B245" s="86" t="n">
        <x:v>397</x:v>
      </x:c>
      <x:c r="C245" s="86" t="n">
        <x:v>2024</x:v>
      </x:c>
      <x:c r="D245" s="86" t="n">
        <x:v>3.7</x:v>
      </x:c>
      <x:c r="E245" s="86" t="n">
        <x:v>2.6</x:v>
      </x:c>
      <x:c r="F245" s="86" t="n">
        <x:v>3.3</x:v>
      </x:c>
      <x:c r="G245" s="86" t="str">
        <x:v>Dentro do esperado</x:v>
      </x:c>
      <x:c r="H245" s="86" t="str">
        <x:v>Alto</x:v>
      </x:c>
      <x:c r="I245" s="87" t="n">
        <x:v>1</x:v>
      </x:c>
    </x:row>
    <x:row r="246">
      <x:c r="A246" s="85" t="n">
        <x:v>245</x:v>
      </x:c>
      <x:c r="B246" s="86" t="n">
        <x:v>399</x:v>
      </x:c>
      <x:c r="C246" s="86" t="n">
        <x:v>2024</x:v>
      </x:c>
      <x:c r="D246" s="86" t="n">
        <x:v>4.5</x:v>
      </x:c>
      <x:c r="E246" s="86" t="n">
        <x:v>3.5</x:v>
      </x:c>
      <x:c r="F246" s="86" t="n">
        <x:v>4.1</x:v>
      </x:c>
      <x:c r="G246" s="86" t="str">
        <x:v>Acima do esperado</x:v>
      </x:c>
      <x:c r="H246" s="86" t="str">
        <x:v>Médio</x:v>
      </x:c>
      <x:c r="I246" s="87" t="n">
        <x:v>0</x:v>
      </x:c>
    </x:row>
    <x:row r="247">
      <x:c r="A247" s="85" t="n">
        <x:v>246</x:v>
      </x:c>
      <x:c r="B247" s="86" t="n">
        <x:v>400</x:v>
      </x:c>
      <x:c r="C247" s="86" t="n">
        <x:v>2024</x:v>
      </x:c>
      <x:c r="D247" s="86" t="n">
        <x:v>4.8</x:v>
      </x:c>
      <x:c r="E247" s="86" t="n">
        <x:v>2.8</x:v>
      </x:c>
      <x:c r="F247" s="86" t="n">
        <x:v>4</x:v>
      </x:c>
      <x:c r="G247" s="86" t="str">
        <x:v>Acima do esperado</x:v>
      </x:c>
      <x:c r="H247" s="86" t="str">
        <x:v>Médio</x:v>
      </x:c>
      <x:c r="I247" s="87" t="n">
        <x:v>0</x:v>
      </x:c>
    </x:row>
    <x:row r="248">
      <x:c r="A248" s="85" t="n">
        <x:v>247</x:v>
      </x:c>
      <x:c r="B248" s="86" t="n">
        <x:v>401</x:v>
      </x:c>
      <x:c r="C248" s="86" t="n">
        <x:v>2024</x:v>
      </x:c>
      <x:c r="D248" s="86" t="n">
        <x:v>2.8</x:v>
      </x:c>
      <x:c r="E248" s="86" t="n">
        <x:v>4.1</x:v>
      </x:c>
      <x:c r="F248" s="86" t="n">
        <x:v>3.3</x:v>
      </x:c>
      <x:c r="G248" s="86" t="str">
        <x:v>Dentro do esperado</x:v>
      </x:c>
      <x:c r="H248" s="86" t="str">
        <x:v>Alto</x:v>
      </x:c>
      <x:c r="I248" s="87" t="n">
        <x:v>1</x:v>
      </x:c>
    </x:row>
    <x:row r="249">
      <x:c r="A249" s="85" t="n">
        <x:v>248</x:v>
      </x:c>
      <x:c r="B249" s="86" t="n">
        <x:v>402</x:v>
      </x:c>
      <x:c r="C249" s="86" t="n">
        <x:v>2024</x:v>
      </x:c>
      <x:c r="D249" s="86" t="n">
        <x:v>2.9</x:v>
      </x:c>
      <x:c r="E249" s="86" t="n">
        <x:v>4.6</x:v>
      </x:c>
      <x:c r="F249" s="86" t="n">
        <x:v>3.6</x:v>
      </x:c>
      <x:c r="G249" s="86" t="str">
        <x:v>Dentro do esperado</x:v>
      </x:c>
      <x:c r="H249" s="86" t="str">
        <x:v>Alto</x:v>
      </x:c>
      <x:c r="I249" s="87" t="n">
        <x:v>1</x:v>
      </x:c>
    </x:row>
    <x:row r="250">
      <x:c r="A250" s="85" t="n">
        <x:v>249</x:v>
      </x:c>
      <x:c r="B250" s="86" t="n">
        <x:v>403</x:v>
      </x:c>
      <x:c r="C250" s="86" t="n">
        <x:v>2024</x:v>
      </x:c>
      <x:c r="D250" s="86" t="n">
        <x:v>3.8</x:v>
      </x:c>
      <x:c r="E250" s="86" t="n">
        <x:v>3.9</x:v>
      </x:c>
      <x:c r="F250" s="86" t="n">
        <x:v>3.8</x:v>
      </x:c>
      <x:c r="G250" s="86" t="str">
        <x:v>Acima do esperado</x:v>
      </x:c>
      <x:c r="H250" s="86" t="str">
        <x:v>Médio</x:v>
      </x:c>
      <x:c r="I250" s="87" t="n">
        <x:v>0</x:v>
      </x:c>
    </x:row>
    <x:row r="251">
      <x:c r="A251" s="85" t="n">
        <x:v>250</x:v>
      </x:c>
      <x:c r="B251" s="86" t="n">
        <x:v>405</x:v>
      </x:c>
      <x:c r="C251" s="86" t="n">
        <x:v>2024</x:v>
      </x:c>
      <x:c r="D251" s="86" t="n">
        <x:v>3.7</x:v>
      </x:c>
      <x:c r="E251" s="86" t="n">
        <x:v>2.8</x:v>
      </x:c>
      <x:c r="F251" s="86" t="n">
        <x:v>3.3</x:v>
      </x:c>
      <x:c r="G251" s="86" t="str">
        <x:v>Dentro do esperado</x:v>
      </x:c>
      <x:c r="H251" s="86" t="str">
        <x:v>Médio</x:v>
      </x:c>
      <x:c r="I251" s="87" t="n">
        <x:v>0</x:v>
      </x:c>
    </x:row>
    <x:row r="252">
      <x:c r="A252" s="85" t="n">
        <x:v>251</x:v>
      </x:c>
      <x:c r="B252" s="86" t="n">
        <x:v>407</x:v>
      </x:c>
      <x:c r="C252" s="86" t="n">
        <x:v>2024</x:v>
      </x:c>
      <x:c r="D252" s="86" t="n">
        <x:v>3.1</x:v>
      </x:c>
      <x:c r="E252" s="86" t="n">
        <x:v>2.6</x:v>
      </x:c>
      <x:c r="F252" s="86" t="n">
        <x:v>2.9</x:v>
      </x:c>
      <x:c r="G252" s="86" t="str">
        <x:v>Abaixo do esperado</x:v>
      </x:c>
      <x:c r="H252" s="86" t="str">
        <x:v>Alto</x:v>
      </x:c>
      <x:c r="I252" s="87" t="n">
        <x:v>1</x:v>
      </x:c>
    </x:row>
    <x:row r="253">
      <x:c r="A253" s="85" t="n">
        <x:v>252</x:v>
      </x:c>
      <x:c r="B253" s="86" t="n">
        <x:v>408</x:v>
      </x:c>
      <x:c r="C253" s="86" t="n">
        <x:v>2024</x:v>
      </x:c>
      <x:c r="D253" s="86" t="n">
        <x:v>4.7</x:v>
      </x:c>
      <x:c r="E253" s="86" t="n">
        <x:v>2.8</x:v>
      </x:c>
      <x:c r="F253" s="86" t="n">
        <x:v>3.9</x:v>
      </x:c>
      <x:c r="G253" s="86" t="str">
        <x:v>Acima do esperado</x:v>
      </x:c>
      <x:c r="H253" s="86" t="str">
        <x:v>Médio</x:v>
      </x:c>
      <x:c r="I253" s="87" t="n">
        <x:v>0</x:v>
      </x:c>
    </x:row>
    <x:row r="254">
      <x:c r="A254" s="85" t="n">
        <x:v>253</x:v>
      </x:c>
      <x:c r="B254" s="86" t="n">
        <x:v>409</x:v>
      </x:c>
      <x:c r="C254" s="86" t="n">
        <x:v>2024</x:v>
      </x:c>
      <x:c r="D254" s="86" t="n">
        <x:v>3.8</x:v>
      </x:c>
      <x:c r="E254" s="86" t="n">
        <x:v>2.5</x:v>
      </x:c>
      <x:c r="F254" s="86" t="n">
        <x:v>3.3</x:v>
      </x:c>
      <x:c r="G254" s="86" t="str">
        <x:v>Dentro do esperado</x:v>
      </x:c>
      <x:c r="H254" s="86" t="str">
        <x:v>Médio</x:v>
      </x:c>
      <x:c r="I254" s="87" t="n">
        <x:v>0</x:v>
      </x:c>
    </x:row>
    <x:row r="255">
      <x:c r="A255" s="85" t="n">
        <x:v>254</x:v>
      </x:c>
      <x:c r="B255" s="86" t="n">
        <x:v>410</x:v>
      </x:c>
      <x:c r="C255" s="86" t="n">
        <x:v>2024</x:v>
      </x:c>
      <x:c r="D255" s="86" t="n">
        <x:v>4.8</x:v>
      </x:c>
      <x:c r="E255" s="86" t="n">
        <x:v>3.4</x:v>
      </x:c>
      <x:c r="F255" s="86" t="n">
        <x:v>4.2</x:v>
      </x:c>
      <x:c r="G255" s="86" t="str">
        <x:v>Acima do esperado</x:v>
      </x:c>
      <x:c r="H255" s="86" t="str">
        <x:v>Médio</x:v>
      </x:c>
      <x:c r="I255" s="87" t="n">
        <x:v>0</x:v>
      </x:c>
    </x:row>
    <x:row r="256">
      <x:c r="A256" s="85" t="n">
        <x:v>255</x:v>
      </x:c>
      <x:c r="B256" s="86" t="n">
        <x:v>411</x:v>
      </x:c>
      <x:c r="C256" s="86" t="n">
        <x:v>2024</x:v>
      </x:c>
      <x:c r="D256" s="86" t="n">
        <x:v>2.4</x:v>
      </x:c>
      <x:c r="E256" s="86" t="n">
        <x:v>2.4</x:v>
      </x:c>
      <x:c r="F256" s="86" t="n">
        <x:v>2.4</x:v>
      </x:c>
      <x:c r="G256" s="86" t="str">
        <x:v>Abaixo do esperado</x:v>
      </x:c>
      <x:c r="H256" s="86" t="str">
        <x:v>Médio</x:v>
      </x:c>
      <x:c r="I256" s="87" t="n">
        <x:v>1</x:v>
      </x:c>
    </x:row>
    <x:row r="257">
      <x:c r="A257" s="85" t="n">
        <x:v>256</x:v>
      </x:c>
      <x:c r="B257" s="86" t="n">
        <x:v>412</x:v>
      </x:c>
      <x:c r="C257" s="86" t="n">
        <x:v>2024</x:v>
      </x:c>
      <x:c r="D257" s="86" t="n">
        <x:v>3.5</x:v>
      </x:c>
      <x:c r="E257" s="86" t="n">
        <x:v>3.4</x:v>
      </x:c>
      <x:c r="F257" s="86" t="n">
        <x:v>3.5</x:v>
      </x:c>
      <x:c r="G257" s="86" t="str">
        <x:v>Dentro do esperado</x:v>
      </x:c>
      <x:c r="H257" s="86" t="str">
        <x:v>Médio</x:v>
      </x:c>
      <x:c r="I257" s="87" t="n">
        <x:v>0</x:v>
      </x:c>
    </x:row>
    <x:row r="258">
      <x:c r="A258" s="85" t="n">
        <x:v>257</x:v>
      </x:c>
      <x:c r="B258" s="86" t="n">
        <x:v>414</x:v>
      </x:c>
      <x:c r="C258" s="86" t="n">
        <x:v>2024</x:v>
      </x:c>
      <x:c r="D258" s="86" t="n">
        <x:v>3.8</x:v>
      </x:c>
      <x:c r="E258" s="86" t="n">
        <x:v>3.5</x:v>
      </x:c>
      <x:c r="F258" s="86" t="n">
        <x:v>3.7</x:v>
      </x:c>
      <x:c r="G258" s="86" t="str">
        <x:v>Dentro do esperado</x:v>
      </x:c>
      <x:c r="H258" s="86" t="str">
        <x:v>Médio</x:v>
      </x:c>
      <x:c r="I258" s="87" t="n">
        <x:v>0</x:v>
      </x:c>
    </x:row>
    <x:row r="259">
      <x:c r="A259" s="85" t="n">
        <x:v>258</x:v>
      </x:c>
      <x:c r="B259" s="86" t="n">
        <x:v>419</x:v>
      </x:c>
      <x:c r="C259" s="86" t="n">
        <x:v>2024</x:v>
      </x:c>
      <x:c r="D259" s="86" t="n">
        <x:v>4.1</x:v>
      </x:c>
      <x:c r="E259" s="86" t="n">
        <x:v>3.1</x:v>
      </x:c>
      <x:c r="F259" s="86" t="n">
        <x:v>3.7</x:v>
      </x:c>
      <x:c r="G259" s="86" t="str">
        <x:v>Dentro do esperado</x:v>
      </x:c>
      <x:c r="H259" s="86" t="str">
        <x:v>Baixo</x:v>
      </x:c>
      <x:c r="I259" s="87" t="n">
        <x:v>0</x:v>
      </x:c>
    </x:row>
    <x:row r="260">
      <x:c r="A260" s="85" t="n">
        <x:v>259</x:v>
      </x:c>
      <x:c r="B260" s="86" t="n">
        <x:v>1</x:v>
      </x:c>
      <x:c r="C260" s="86" t="n">
        <x:v>2025</x:v>
      </x:c>
      <x:c r="D260" s="86" t="n">
        <x:v>2.6</x:v>
      </x:c>
      <x:c r="E260" s="86" t="n">
        <x:v>3</x:v>
      </x:c>
      <x:c r="F260" s="86" t="n">
        <x:v>2.8</x:v>
      </x:c>
      <x:c r="G260" s="86" t="str">
        <x:v>Abaixo do esperado</x:v>
      </x:c>
      <x:c r="H260" s="86" t="str">
        <x:v>Alto</x:v>
      </x:c>
      <x:c r="I260" s="87" t="n">
        <x:v>1</x:v>
      </x:c>
    </x:row>
    <x:row r="261">
      <x:c r="A261" s="85" t="n">
        <x:v>260</x:v>
      </x:c>
      <x:c r="B261" s="86" t="n">
        <x:v>2</x:v>
      </x:c>
      <x:c r="C261" s="86" t="n">
        <x:v>2025</x:v>
      </x:c>
      <x:c r="D261" s="86" t="n">
        <x:v>4.2</x:v>
      </x:c>
      <x:c r="E261" s="86" t="n">
        <x:v>2.5</x:v>
      </x:c>
      <x:c r="F261" s="86" t="n">
        <x:v>3.5</x:v>
      </x:c>
      <x:c r="G261" s="86" t="str">
        <x:v>Dentro do esperado</x:v>
      </x:c>
      <x:c r="H261" s="86" t="str">
        <x:v>Alto</x:v>
      </x:c>
      <x:c r="I261" s="87" t="n">
        <x:v>1</x:v>
      </x:c>
    </x:row>
    <x:row r="262">
      <x:c r="A262" s="85" t="n">
        <x:v>261</x:v>
      </x:c>
      <x:c r="B262" s="86" t="n">
        <x:v>3</x:v>
      </x:c>
      <x:c r="C262" s="86" t="n">
        <x:v>2025</x:v>
      </x:c>
      <x:c r="D262" s="86" t="n">
        <x:v>4.6</x:v>
      </x:c>
      <x:c r="E262" s="86" t="n">
        <x:v>2.9</x:v>
      </x:c>
      <x:c r="F262" s="86" t="n">
        <x:v>3.9</x:v>
      </x:c>
      <x:c r="G262" s="86" t="str">
        <x:v>Acima do esperado</x:v>
      </x:c>
      <x:c r="H262" s="86" t="str">
        <x:v>Médio</x:v>
      </x:c>
      <x:c r="I262" s="87" t="n">
        <x:v>0</x:v>
      </x:c>
    </x:row>
    <x:row r="263">
      <x:c r="A263" s="85" t="n">
        <x:v>262</x:v>
      </x:c>
      <x:c r="B263" s="86" t="n">
        <x:v>5</x:v>
      </x:c>
      <x:c r="C263" s="86" t="n">
        <x:v>2025</x:v>
      </x:c>
      <x:c r="D263" s="86" t="n">
        <x:v>4.1</x:v>
      </x:c>
      <x:c r="E263" s="86" t="n">
        <x:v>4.1</x:v>
      </x:c>
      <x:c r="F263" s="86" t="n">
        <x:v>4.1</x:v>
      </x:c>
      <x:c r="G263" s="86" t="str">
        <x:v>Acima do esperado</x:v>
      </x:c>
      <x:c r="H263" s="86" t="str">
        <x:v>Médio</x:v>
      </x:c>
      <x:c r="I263" s="87" t="n">
        <x:v>0</x:v>
      </x:c>
    </x:row>
    <x:row r="264">
      <x:c r="A264" s="85" t="n">
        <x:v>263</x:v>
      </x:c>
      <x:c r="B264" s="86" t="n">
        <x:v>6</x:v>
      </x:c>
      <x:c r="C264" s="86" t="n">
        <x:v>2025</x:v>
      </x:c>
      <x:c r="D264" s="86" t="n">
        <x:v>4.6</x:v>
      </x:c>
      <x:c r="E264" s="86" t="n">
        <x:v>2.7</x:v>
      </x:c>
      <x:c r="F264" s="86" t="n">
        <x:v>3.8</x:v>
      </x:c>
      <x:c r="G264" s="86" t="str">
        <x:v>Acima do esperado</x:v>
      </x:c>
      <x:c r="H264" s="86" t="str">
        <x:v>Médio</x:v>
      </x:c>
      <x:c r="I264" s="87" t="n">
        <x:v>0</x:v>
      </x:c>
    </x:row>
    <x:row r="265">
      <x:c r="A265" s="85" t="n">
        <x:v>264</x:v>
      </x:c>
      <x:c r="B265" s="86" t="n">
        <x:v>7</x:v>
      </x:c>
      <x:c r="C265" s="86" t="n">
        <x:v>2025</x:v>
      </x:c>
      <x:c r="D265" s="86" t="n">
        <x:v>4.6</x:v>
      </x:c>
      <x:c r="E265" s="86" t="n">
        <x:v>4.2</x:v>
      </x:c>
      <x:c r="F265" s="86" t="n">
        <x:v>4.4</x:v>
      </x:c>
      <x:c r="G265" s="86" t="str">
        <x:v>Acima do esperado</x:v>
      </x:c>
      <x:c r="H265" s="86" t="str">
        <x:v>Médio</x:v>
      </x:c>
      <x:c r="I265" s="87" t="n">
        <x:v>0</x:v>
      </x:c>
    </x:row>
    <x:row r="266">
      <x:c r="A266" s="85" t="n">
        <x:v>265</x:v>
      </x:c>
      <x:c r="B266" s="86" t="n">
        <x:v>8</x:v>
      </x:c>
      <x:c r="C266" s="86" t="n">
        <x:v>2025</x:v>
      </x:c>
      <x:c r="D266" s="86" t="n">
        <x:v>3.1</x:v>
      </x:c>
      <x:c r="E266" s="86" t="n">
        <x:v>3</x:v>
      </x:c>
      <x:c r="F266" s="86" t="n">
        <x:v>3.1</x:v>
      </x:c>
      <x:c r="G266" s="86" t="str">
        <x:v>Dentro do esperado</x:v>
      </x:c>
      <x:c r="H266" s="86" t="str">
        <x:v>Baixo</x:v>
      </x:c>
      <x:c r="I266" s="87" t="n">
        <x:v>1</x:v>
      </x:c>
    </x:row>
    <x:row r="267">
      <x:c r="A267" s="85" t="n">
        <x:v>266</x:v>
      </x:c>
      <x:c r="B267" s="86" t="n">
        <x:v>9</x:v>
      </x:c>
      <x:c r="C267" s="86" t="n">
        <x:v>2025</x:v>
      </x:c>
      <x:c r="D267" s="86" t="n">
        <x:v>2.8</x:v>
      </x:c>
      <x:c r="E267" s="86" t="n">
        <x:v>2.6</x:v>
      </x:c>
      <x:c r="F267" s="86" t="n">
        <x:v>2.7</x:v>
      </x:c>
      <x:c r="G267" s="86" t="str">
        <x:v>Abaixo do esperado</x:v>
      </x:c>
      <x:c r="H267" s="86" t="str">
        <x:v>Médio</x:v>
      </x:c>
      <x:c r="I267" s="87" t="n">
        <x:v>1</x:v>
      </x:c>
    </x:row>
    <x:row r="268">
      <x:c r="A268" s="85" t="n">
        <x:v>267</x:v>
      </x:c>
      <x:c r="B268" s="86" t="n">
        <x:v>11</x:v>
      </x:c>
      <x:c r="C268" s="86" t="n">
        <x:v>2025</x:v>
      </x:c>
      <x:c r="D268" s="86" t="n">
        <x:v>3.9</x:v>
      </x:c>
      <x:c r="E268" s="86" t="n">
        <x:v>2.8</x:v>
      </x:c>
      <x:c r="F268" s="86" t="n">
        <x:v>3.5</x:v>
      </x:c>
      <x:c r="G268" s="86" t="str">
        <x:v>Dentro do esperado</x:v>
      </x:c>
      <x:c r="H268" s="86" t="str">
        <x:v>Médio</x:v>
      </x:c>
      <x:c r="I268" s="87" t="n">
        <x:v>0</x:v>
      </x:c>
    </x:row>
    <x:row r="269">
      <x:c r="A269" s="85" t="n">
        <x:v>268</x:v>
      </x:c>
      <x:c r="B269" s="86" t="n">
        <x:v>12</x:v>
      </x:c>
      <x:c r="C269" s="86" t="n">
        <x:v>2025</x:v>
      </x:c>
      <x:c r="D269" s="86" t="n">
        <x:v>4.9</x:v>
      </x:c>
      <x:c r="E269" s="86" t="n">
        <x:v>2.7</x:v>
      </x:c>
      <x:c r="F269" s="86" t="n">
        <x:v>4</x:v>
      </x:c>
      <x:c r="G269" s="86" t="str">
        <x:v>Acima do esperado</x:v>
      </x:c>
      <x:c r="H269" s="86" t="str">
        <x:v>Médio</x:v>
      </x:c>
      <x:c r="I269" s="87" t="n">
        <x:v>0</x:v>
      </x:c>
    </x:row>
    <x:row r="270">
      <x:c r="A270" s="85" t="n">
        <x:v>269</x:v>
      </x:c>
      <x:c r="B270" s="86" t="n">
        <x:v>13</x:v>
      </x:c>
      <x:c r="C270" s="86" t="n">
        <x:v>2025</x:v>
      </x:c>
      <x:c r="D270" s="86" t="n">
        <x:v>3.9</x:v>
      </x:c>
      <x:c r="E270" s="86" t="n">
        <x:v>4.6</x:v>
      </x:c>
      <x:c r="F270" s="86" t="n">
        <x:v>4.2</x:v>
      </x:c>
      <x:c r="G270" s="86" t="str">
        <x:v>Acima do esperado</x:v>
      </x:c>
      <x:c r="H270" s="86" t="str">
        <x:v>Alto</x:v>
      </x:c>
      <x:c r="I270" s="87" t="n">
        <x:v>1</x:v>
      </x:c>
    </x:row>
    <x:row r="271">
      <x:c r="A271" s="85" t="n">
        <x:v>270</x:v>
      </x:c>
      <x:c r="B271" s="86" t="n">
        <x:v>14</x:v>
      </x:c>
      <x:c r="C271" s="86" t="n">
        <x:v>2025</x:v>
      </x:c>
      <x:c r="D271" s="86" t="n">
        <x:v>3.8</x:v>
      </x:c>
      <x:c r="E271" s="86" t="n">
        <x:v>4.1</x:v>
      </x:c>
      <x:c r="F271" s="86" t="n">
        <x:v>3.9</x:v>
      </x:c>
      <x:c r="G271" s="86" t="str">
        <x:v>Acima do esperado</x:v>
      </x:c>
      <x:c r="H271" s="86" t="str">
        <x:v>Médio</x:v>
      </x:c>
      <x:c r="I271" s="87" t="n">
        <x:v>0</x:v>
      </x:c>
    </x:row>
    <x:row r="272">
      <x:c r="A272" s="85" t="n">
        <x:v>271</x:v>
      </x:c>
      <x:c r="B272" s="86" t="n">
        <x:v>15</x:v>
      </x:c>
      <x:c r="C272" s="86" t="n">
        <x:v>2025</x:v>
      </x:c>
      <x:c r="D272" s="86" t="n">
        <x:v>2.5</x:v>
      </x:c>
      <x:c r="E272" s="86" t="n">
        <x:v>4.4</x:v>
      </x:c>
      <x:c r="F272" s="86" t="n">
        <x:v>3.3</x:v>
      </x:c>
      <x:c r="G272" s="86" t="str">
        <x:v>Dentro do esperado</x:v>
      </x:c>
      <x:c r="H272" s="86" t="str">
        <x:v>Médio</x:v>
      </x:c>
      <x:c r="I272" s="87" t="n">
        <x:v>0</x:v>
      </x:c>
    </x:row>
    <x:row r="273">
      <x:c r="A273" s="85" t="n">
        <x:v>272</x:v>
      </x:c>
      <x:c r="B273" s="86" t="n">
        <x:v>16</x:v>
      </x:c>
      <x:c r="C273" s="86" t="n">
        <x:v>2025</x:v>
      </x:c>
      <x:c r="D273" s="86" t="n">
        <x:v>3.1</x:v>
      </x:c>
      <x:c r="E273" s="86" t="n">
        <x:v>4.6</x:v>
      </x:c>
      <x:c r="F273" s="86" t="n">
        <x:v>3.7</x:v>
      </x:c>
      <x:c r="G273" s="86" t="str">
        <x:v>Dentro do esperado</x:v>
      </x:c>
      <x:c r="H273" s="86" t="str">
        <x:v>Baixo</x:v>
      </x:c>
      <x:c r="I273" s="87" t="n">
        <x:v>0</x:v>
      </x:c>
    </x:row>
    <x:row r="274">
      <x:c r="A274" s="85" t="n">
        <x:v>273</x:v>
      </x:c>
      <x:c r="B274" s="86" t="n">
        <x:v>17</x:v>
      </x:c>
      <x:c r="C274" s="86" t="n">
        <x:v>2025</x:v>
      </x:c>
      <x:c r="D274" s="86" t="n">
        <x:v>4.3</x:v>
      </x:c>
      <x:c r="E274" s="86" t="n">
        <x:v>3.4</x:v>
      </x:c>
      <x:c r="F274" s="86" t="n">
        <x:v>3.9</x:v>
      </x:c>
      <x:c r="G274" s="86" t="str">
        <x:v>Acima do esperado</x:v>
      </x:c>
      <x:c r="H274" s="86" t="str">
        <x:v>Médio</x:v>
      </x:c>
      <x:c r="I274" s="87" t="n">
        <x:v>0</x:v>
      </x:c>
    </x:row>
    <x:row r="275">
      <x:c r="A275" s="85" t="n">
        <x:v>274</x:v>
      </x:c>
      <x:c r="B275" s="86" t="n">
        <x:v>18</x:v>
      </x:c>
      <x:c r="C275" s="86" t="n">
        <x:v>2025</x:v>
      </x:c>
      <x:c r="D275" s="86" t="n">
        <x:v>4.5</x:v>
      </x:c>
      <x:c r="E275" s="86" t="n">
        <x:v>4.8</x:v>
      </x:c>
      <x:c r="F275" s="86" t="n">
        <x:v>4.6</x:v>
      </x:c>
      <x:c r="G275" s="86" t="str">
        <x:v>Excepcional</x:v>
      </x:c>
      <x:c r="H275" s="86" t="str">
        <x:v>Médio</x:v>
      </x:c>
      <x:c r="I275" s="87" t="n">
        <x:v>0</x:v>
      </x:c>
    </x:row>
    <x:row r="276">
      <x:c r="A276" s="85" t="n">
        <x:v>275</x:v>
      </x:c>
      <x:c r="B276" s="86" t="n">
        <x:v>19</x:v>
      </x:c>
      <x:c r="C276" s="86" t="n">
        <x:v>2025</x:v>
      </x:c>
      <x:c r="D276" s="86" t="n">
        <x:v>3.6</x:v>
      </x:c>
      <x:c r="E276" s="86" t="n">
        <x:v>4.7</x:v>
      </x:c>
      <x:c r="F276" s="86" t="n">
        <x:v>4</x:v>
      </x:c>
      <x:c r="G276" s="86" t="str">
        <x:v>Acima do esperado</x:v>
      </x:c>
      <x:c r="H276" s="86" t="str">
        <x:v>Baixo</x:v>
      </x:c>
      <x:c r="I276" s="87" t="n">
        <x:v>0</x:v>
      </x:c>
    </x:row>
    <x:row r="277">
      <x:c r="A277" s="85" t="n">
        <x:v>276</x:v>
      </x:c>
      <x:c r="B277" s="86" t="n">
        <x:v>20</x:v>
      </x:c>
      <x:c r="C277" s="86" t="n">
        <x:v>2025</x:v>
      </x:c>
      <x:c r="D277" s="86" t="n">
        <x:v>4.8</x:v>
      </x:c>
      <x:c r="E277" s="86" t="n">
        <x:v>2.8</x:v>
      </x:c>
      <x:c r="F277" s="86" t="n">
        <x:v>4</x:v>
      </x:c>
      <x:c r="G277" s="86" t="str">
        <x:v>Acima do esperado</x:v>
      </x:c>
      <x:c r="H277" s="86" t="str">
        <x:v>Baixo</x:v>
      </x:c>
      <x:c r="I277" s="87" t="n">
        <x:v>0</x:v>
      </x:c>
    </x:row>
    <x:row r="278">
      <x:c r="A278" s="85" t="n">
        <x:v>277</x:v>
      </x:c>
      <x:c r="B278" s="86" t="n">
        <x:v>21</x:v>
      </x:c>
      <x:c r="C278" s="86" t="n">
        <x:v>2025</x:v>
      </x:c>
      <x:c r="D278" s="86" t="n">
        <x:v>3.1</x:v>
      </x:c>
      <x:c r="E278" s="86" t="n">
        <x:v>4</x:v>
      </x:c>
      <x:c r="F278" s="86" t="n">
        <x:v>3.5</x:v>
      </x:c>
      <x:c r="G278" s="86" t="str">
        <x:v>Dentro do esperado</x:v>
      </x:c>
      <x:c r="H278" s="86" t="str">
        <x:v>Médio</x:v>
      </x:c>
      <x:c r="I278" s="87" t="n">
        <x:v>0</x:v>
      </x:c>
    </x:row>
    <x:row r="279">
      <x:c r="A279" s="85" t="n">
        <x:v>278</x:v>
      </x:c>
      <x:c r="B279" s="86" t="n">
        <x:v>22</x:v>
      </x:c>
      <x:c r="C279" s="86" t="n">
        <x:v>2025</x:v>
      </x:c>
      <x:c r="D279" s="86" t="n">
        <x:v>2.4</x:v>
      </x:c>
      <x:c r="E279" s="86" t="n">
        <x:v>2.7</x:v>
      </x:c>
      <x:c r="F279" s="86" t="n">
        <x:v>2.5</x:v>
      </x:c>
      <x:c r="G279" s="86" t="str">
        <x:v>Abaixo do esperado</x:v>
      </x:c>
      <x:c r="H279" s="86" t="str">
        <x:v>Médio</x:v>
      </x:c>
      <x:c r="I279" s="87" t="n">
        <x:v>1</x:v>
      </x:c>
    </x:row>
    <x:row r="280">
      <x:c r="A280" s="85" t="n">
        <x:v>279</x:v>
      </x:c>
      <x:c r="B280" s="86" t="n">
        <x:v>23</x:v>
      </x:c>
      <x:c r="C280" s="86" t="n">
        <x:v>2025</x:v>
      </x:c>
      <x:c r="D280" s="86" t="n">
        <x:v>4.6</x:v>
      </x:c>
      <x:c r="E280" s="86" t="n">
        <x:v>2.5</x:v>
      </x:c>
      <x:c r="F280" s="86" t="n">
        <x:v>3.8</x:v>
      </x:c>
      <x:c r="G280" s="86" t="str">
        <x:v>Acima do esperado</x:v>
      </x:c>
      <x:c r="H280" s="86" t="str">
        <x:v>Baixo</x:v>
      </x:c>
      <x:c r="I280" s="87" t="n">
        <x:v>0</x:v>
      </x:c>
    </x:row>
    <x:row r="281">
      <x:c r="A281" s="85" t="n">
        <x:v>280</x:v>
      </x:c>
      <x:c r="B281" s="86" t="n">
        <x:v>24</x:v>
      </x:c>
      <x:c r="C281" s="86" t="n">
        <x:v>2025</x:v>
      </x:c>
      <x:c r="D281" s="86" t="n">
        <x:v>2.9</x:v>
      </x:c>
      <x:c r="E281" s="86" t="n">
        <x:v>4.6</x:v>
      </x:c>
      <x:c r="F281" s="86" t="n">
        <x:v>3.6</x:v>
      </x:c>
      <x:c r="G281" s="86" t="str">
        <x:v>Dentro do esperado</x:v>
      </x:c>
      <x:c r="H281" s="86" t="str">
        <x:v>Médio</x:v>
      </x:c>
      <x:c r="I281" s="87" t="n">
        <x:v>0</x:v>
      </x:c>
    </x:row>
    <x:row r="282">
      <x:c r="A282" s="85" t="n">
        <x:v>281</x:v>
      </x:c>
      <x:c r="B282" s="86" t="n">
        <x:v>25</x:v>
      </x:c>
      <x:c r="C282" s="86" t="n">
        <x:v>2025</x:v>
      </x:c>
      <x:c r="D282" s="86" t="n">
        <x:v>3.2</x:v>
      </x:c>
      <x:c r="E282" s="86" t="n">
        <x:v>3.9</x:v>
      </x:c>
      <x:c r="F282" s="86" t="n">
        <x:v>3.5</x:v>
      </x:c>
      <x:c r="G282" s="86" t="str">
        <x:v>Dentro do esperado</x:v>
      </x:c>
      <x:c r="H282" s="86" t="str">
        <x:v>Médio</x:v>
      </x:c>
      <x:c r="I282" s="87" t="n">
        <x:v>0</x:v>
      </x:c>
    </x:row>
    <x:row r="283">
      <x:c r="A283" s="85" t="n">
        <x:v>282</x:v>
      </x:c>
      <x:c r="B283" s="86" t="n">
        <x:v>26</x:v>
      </x:c>
      <x:c r="C283" s="86" t="n">
        <x:v>2025</x:v>
      </x:c>
      <x:c r="D283" s="86" t="n">
        <x:v>3</x:v>
      </x:c>
      <x:c r="E283" s="86" t="n">
        <x:v>2.7</x:v>
      </x:c>
      <x:c r="F283" s="86" t="n">
        <x:v>2.9</x:v>
      </x:c>
      <x:c r="G283" s="86" t="str">
        <x:v>Abaixo do esperado</x:v>
      </x:c>
      <x:c r="H283" s="86" t="str">
        <x:v>Baixo</x:v>
      </x:c>
      <x:c r="I283" s="87" t="n">
        <x:v>1</x:v>
      </x:c>
    </x:row>
    <x:row r="284">
      <x:c r="A284" s="85" t="n">
        <x:v>283</x:v>
      </x:c>
      <x:c r="B284" s="86" t="n">
        <x:v>27</x:v>
      </x:c>
      <x:c r="C284" s="86" t="n">
        <x:v>2025</x:v>
      </x:c>
      <x:c r="D284" s="86" t="n">
        <x:v>4.2</x:v>
      </x:c>
      <x:c r="E284" s="86" t="n">
        <x:v>3</x:v>
      </x:c>
      <x:c r="F284" s="86" t="n">
        <x:v>3.7</x:v>
      </x:c>
      <x:c r="G284" s="86" t="str">
        <x:v>Dentro do esperado</x:v>
      </x:c>
      <x:c r="H284" s="86" t="str">
        <x:v>Médio</x:v>
      </x:c>
      <x:c r="I284" s="87" t="n">
        <x:v>0</x:v>
      </x:c>
    </x:row>
    <x:row r="285">
      <x:c r="A285" s="85" t="n">
        <x:v>284</x:v>
      </x:c>
      <x:c r="B285" s="86" t="n">
        <x:v>28</x:v>
      </x:c>
      <x:c r="C285" s="86" t="n">
        <x:v>2025</x:v>
      </x:c>
      <x:c r="D285" s="86" t="n">
        <x:v>4.6</x:v>
      </x:c>
      <x:c r="E285" s="86" t="n">
        <x:v>2.9</x:v>
      </x:c>
      <x:c r="F285" s="86" t="n">
        <x:v>3.9</x:v>
      </x:c>
      <x:c r="G285" s="86" t="str">
        <x:v>Acima do esperado</x:v>
      </x:c>
      <x:c r="H285" s="86" t="str">
        <x:v>Médio</x:v>
      </x:c>
      <x:c r="I285" s="87" t="n">
        <x:v>0</x:v>
      </x:c>
    </x:row>
    <x:row r="286">
      <x:c r="A286" s="85" t="n">
        <x:v>285</x:v>
      </x:c>
      <x:c r="B286" s="86" t="n">
        <x:v>29</x:v>
      </x:c>
      <x:c r="C286" s="86" t="n">
        <x:v>2025</x:v>
      </x:c>
      <x:c r="D286" s="86" t="n">
        <x:v>4.1</x:v>
      </x:c>
      <x:c r="E286" s="86" t="n">
        <x:v>3.4</x:v>
      </x:c>
      <x:c r="F286" s="86" t="n">
        <x:v>3.8</x:v>
      </x:c>
      <x:c r="G286" s="86" t="str">
        <x:v>Acima do esperado</x:v>
      </x:c>
      <x:c r="H286" s="86" t="str">
        <x:v>Baixo</x:v>
      </x:c>
      <x:c r="I286" s="87" t="n">
        <x:v>0</x:v>
      </x:c>
    </x:row>
    <x:row r="287">
      <x:c r="A287" s="85" t="n">
        <x:v>286</x:v>
      </x:c>
      <x:c r="B287" s="86" t="n">
        <x:v>30</x:v>
      </x:c>
      <x:c r="C287" s="86" t="n">
        <x:v>2025</x:v>
      </x:c>
      <x:c r="D287" s="86" t="n">
        <x:v>4.3</x:v>
      </x:c>
      <x:c r="E287" s="86" t="n">
        <x:v>2.7</x:v>
      </x:c>
      <x:c r="F287" s="86" t="n">
        <x:v>3.7</x:v>
      </x:c>
      <x:c r="G287" s="86" t="str">
        <x:v>Dentro do esperado</x:v>
      </x:c>
      <x:c r="H287" s="86" t="str">
        <x:v>Médio</x:v>
      </x:c>
      <x:c r="I287" s="87" t="n">
        <x:v>0</x:v>
      </x:c>
    </x:row>
    <x:row r="288">
      <x:c r="A288" s="85" t="n">
        <x:v>287</x:v>
      </x:c>
      <x:c r="B288" s="86" t="n">
        <x:v>31</x:v>
      </x:c>
      <x:c r="C288" s="86" t="n">
        <x:v>2025</x:v>
      </x:c>
      <x:c r="D288" s="86" t="n">
        <x:v>4.9</x:v>
      </x:c>
      <x:c r="E288" s="86" t="n">
        <x:v>2.8</x:v>
      </x:c>
      <x:c r="F288" s="86" t="n">
        <x:v>4.1</x:v>
      </x:c>
      <x:c r="G288" s="86" t="str">
        <x:v>Acima do esperado</x:v>
      </x:c>
      <x:c r="H288" s="86" t="str">
        <x:v>Médio</x:v>
      </x:c>
      <x:c r="I288" s="87" t="n">
        <x:v>0</x:v>
      </x:c>
    </x:row>
    <x:row r="289">
      <x:c r="A289" s="85" t="n">
        <x:v>288</x:v>
      </x:c>
      <x:c r="B289" s="86" t="n">
        <x:v>32</x:v>
      </x:c>
      <x:c r="C289" s="86" t="n">
        <x:v>2025</x:v>
      </x:c>
      <x:c r="D289" s="86" t="n">
        <x:v>3.5</x:v>
      </x:c>
      <x:c r="E289" s="86" t="n">
        <x:v>3.3</x:v>
      </x:c>
      <x:c r="F289" s="86" t="n">
        <x:v>3.4</x:v>
      </x:c>
      <x:c r="G289" s="86" t="str">
        <x:v>Dentro do esperado</x:v>
      </x:c>
      <x:c r="H289" s="86" t="str">
        <x:v>Médio</x:v>
      </x:c>
      <x:c r="I289" s="87" t="n">
        <x:v>0</x:v>
      </x:c>
    </x:row>
    <x:row r="290">
      <x:c r="A290" s="85" t="n">
        <x:v>289</x:v>
      </x:c>
      <x:c r="B290" s="86" t="n">
        <x:v>33</x:v>
      </x:c>
      <x:c r="C290" s="86" t="n">
        <x:v>2025</x:v>
      </x:c>
      <x:c r="D290" s="86" t="n">
        <x:v>4.4</x:v>
      </x:c>
      <x:c r="E290" s="86" t="n">
        <x:v>3.6</x:v>
      </x:c>
      <x:c r="F290" s="86" t="n">
        <x:v>4.1</x:v>
      </x:c>
      <x:c r="G290" s="86" t="str">
        <x:v>Acima do esperado</x:v>
      </x:c>
      <x:c r="H290" s="86" t="str">
        <x:v>Alto</x:v>
      </x:c>
      <x:c r="I290" s="87" t="n">
        <x:v>1</x:v>
      </x:c>
    </x:row>
    <x:row r="291">
      <x:c r="A291" s="85" t="n">
        <x:v>290</x:v>
      </x:c>
      <x:c r="B291" s="86" t="n">
        <x:v>34</x:v>
      </x:c>
      <x:c r="C291" s="86" t="n">
        <x:v>2025</x:v>
      </x:c>
      <x:c r="D291" s="86" t="n">
        <x:v>3.4</x:v>
      </x:c>
      <x:c r="E291" s="86" t="n">
        <x:v>4.4</x:v>
      </x:c>
      <x:c r="F291" s="86" t="n">
        <x:v>3.8</x:v>
      </x:c>
      <x:c r="G291" s="86" t="str">
        <x:v>Acima do esperado</x:v>
      </x:c>
      <x:c r="H291" s="86" t="str">
        <x:v>Médio</x:v>
      </x:c>
      <x:c r="I291" s="87" t="n">
        <x:v>0</x:v>
      </x:c>
    </x:row>
    <x:row r="292">
      <x:c r="A292" s="85" t="n">
        <x:v>291</x:v>
      </x:c>
      <x:c r="B292" s="86" t="n">
        <x:v>35</x:v>
      </x:c>
      <x:c r="C292" s="86" t="n">
        <x:v>2025</x:v>
      </x:c>
      <x:c r="D292" s="86" t="n">
        <x:v>2.6</x:v>
      </x:c>
      <x:c r="E292" s="86" t="n">
        <x:v>4.2</x:v>
      </x:c>
      <x:c r="F292" s="86" t="n">
        <x:v>3.2</x:v>
      </x:c>
      <x:c r="G292" s="86" t="str">
        <x:v>Dentro do esperado</x:v>
      </x:c>
      <x:c r="H292" s="86" t="str">
        <x:v>Médio</x:v>
      </x:c>
      <x:c r="I292" s="87" t="n">
        <x:v>0</x:v>
      </x:c>
    </x:row>
    <x:row r="293">
      <x:c r="A293" s="85" t="n">
        <x:v>292</x:v>
      </x:c>
      <x:c r="B293" s="86" t="n">
        <x:v>36</x:v>
      </x:c>
      <x:c r="C293" s="86" t="n">
        <x:v>2025</x:v>
      </x:c>
      <x:c r="D293" s="86" t="n">
        <x:v>3.5</x:v>
      </x:c>
      <x:c r="E293" s="86" t="n">
        <x:v>3.3</x:v>
      </x:c>
      <x:c r="F293" s="86" t="n">
        <x:v>3.4</x:v>
      </x:c>
      <x:c r="G293" s="86" t="str">
        <x:v>Dentro do esperado</x:v>
      </x:c>
      <x:c r="H293" s="86" t="str">
        <x:v>Médio</x:v>
      </x:c>
      <x:c r="I293" s="87" t="n">
        <x:v>0</x:v>
      </x:c>
    </x:row>
    <x:row r="294">
      <x:c r="A294" s="85" t="n">
        <x:v>293</x:v>
      </x:c>
      <x:c r="B294" s="86" t="n">
        <x:v>37</x:v>
      </x:c>
      <x:c r="C294" s="86" t="n">
        <x:v>2025</x:v>
      </x:c>
      <x:c r="D294" s="86" t="n">
        <x:v>2.7</x:v>
      </x:c>
      <x:c r="E294" s="86" t="n">
        <x:v>2.5</x:v>
      </x:c>
      <x:c r="F294" s="86" t="n">
        <x:v>2.6</x:v>
      </x:c>
      <x:c r="G294" s="86" t="str">
        <x:v>Abaixo do esperado</x:v>
      </x:c>
      <x:c r="H294" s="86" t="str">
        <x:v>Médio</x:v>
      </x:c>
      <x:c r="I294" s="87" t="n">
        <x:v>1</x:v>
      </x:c>
    </x:row>
    <x:row r="295">
      <x:c r="A295" s="85" t="n">
        <x:v>294</x:v>
      </x:c>
      <x:c r="B295" s="86" t="n">
        <x:v>38</x:v>
      </x:c>
      <x:c r="C295" s="86" t="n">
        <x:v>2025</x:v>
      </x:c>
      <x:c r="D295" s="86" t="n">
        <x:v>4.2</x:v>
      </x:c>
      <x:c r="E295" s="86" t="n">
        <x:v>4.3</x:v>
      </x:c>
      <x:c r="F295" s="86" t="n">
        <x:v>4.2</x:v>
      </x:c>
      <x:c r="G295" s="86" t="str">
        <x:v>Acima do esperado</x:v>
      </x:c>
      <x:c r="H295" s="86" t="str">
        <x:v>Médio</x:v>
      </x:c>
      <x:c r="I295" s="87" t="n">
        <x:v>0</x:v>
      </x:c>
    </x:row>
    <x:row r="296">
      <x:c r="A296" s="85" t="n">
        <x:v>295</x:v>
      </x:c>
      <x:c r="B296" s="86" t="n">
        <x:v>39</x:v>
      </x:c>
      <x:c r="C296" s="86" t="n">
        <x:v>2025</x:v>
      </x:c>
      <x:c r="D296" s="86" t="n">
        <x:v>2.3</x:v>
      </x:c>
      <x:c r="E296" s="86" t="n">
        <x:v>3.5</x:v>
      </x:c>
      <x:c r="F296" s="86" t="n">
        <x:v>2.8</x:v>
      </x:c>
      <x:c r="G296" s="86" t="str">
        <x:v>Abaixo do esperado</x:v>
      </x:c>
      <x:c r="H296" s="86" t="str">
        <x:v>Baixo</x:v>
      </x:c>
      <x:c r="I296" s="87" t="n">
        <x:v>1</x:v>
      </x:c>
    </x:row>
    <x:row r="297">
      <x:c r="A297" s="85" t="n">
        <x:v>296</x:v>
      </x:c>
      <x:c r="B297" s="86" t="n">
        <x:v>40</x:v>
      </x:c>
      <x:c r="C297" s="86" t="n">
        <x:v>2025</x:v>
      </x:c>
      <x:c r="D297" s="86" t="n">
        <x:v>3.5</x:v>
      </x:c>
      <x:c r="E297" s="86" t="n">
        <x:v>4.6</x:v>
      </x:c>
      <x:c r="F297" s="86" t="n">
        <x:v>3.9</x:v>
      </x:c>
      <x:c r="G297" s="86" t="str">
        <x:v>Acima do esperado</x:v>
      </x:c>
      <x:c r="H297" s="86" t="str">
        <x:v>Médio</x:v>
      </x:c>
      <x:c r="I297" s="87" t="n">
        <x:v>0</x:v>
      </x:c>
    </x:row>
    <x:row r="298">
      <x:c r="A298" s="85" t="n">
        <x:v>297</x:v>
      </x:c>
      <x:c r="B298" s="86" t="n">
        <x:v>41</x:v>
      </x:c>
      <x:c r="C298" s="86" t="n">
        <x:v>2025</x:v>
      </x:c>
      <x:c r="D298" s="86" t="n">
        <x:v>3.8</x:v>
      </x:c>
      <x:c r="E298" s="86" t="n">
        <x:v>3.9</x:v>
      </x:c>
      <x:c r="F298" s="86" t="n">
        <x:v>3.8</x:v>
      </x:c>
      <x:c r="G298" s="86" t="str">
        <x:v>Acima do esperado</x:v>
      </x:c>
      <x:c r="H298" s="86" t="str">
        <x:v>Médio</x:v>
      </x:c>
      <x:c r="I298" s="87" t="n">
        <x:v>0</x:v>
      </x:c>
    </x:row>
    <x:row r="299">
      <x:c r="A299" s="85" t="n">
        <x:v>298</x:v>
      </x:c>
      <x:c r="B299" s="86" t="n">
        <x:v>42</x:v>
      </x:c>
      <x:c r="C299" s="86" t="n">
        <x:v>2025</x:v>
      </x:c>
      <x:c r="D299" s="86" t="n">
        <x:v>2.7</x:v>
      </x:c>
      <x:c r="E299" s="86" t="n">
        <x:v>3.3</x:v>
      </x:c>
      <x:c r="F299" s="86" t="n">
        <x:v>2.9</x:v>
      </x:c>
      <x:c r="G299" s="86" t="str">
        <x:v>Abaixo do esperado</x:v>
      </x:c>
      <x:c r="H299" s="86" t="str">
        <x:v>Médio</x:v>
      </x:c>
      <x:c r="I299" s="87" t="n">
        <x:v>1</x:v>
      </x:c>
    </x:row>
    <x:row r="300">
      <x:c r="A300" s="85" t="n">
        <x:v>299</x:v>
      </x:c>
      <x:c r="B300" s="86" t="n">
        <x:v>43</x:v>
      </x:c>
      <x:c r="C300" s="86" t="n">
        <x:v>2025</x:v>
      </x:c>
      <x:c r="D300" s="86" t="n">
        <x:v>3</x:v>
      </x:c>
      <x:c r="E300" s="86" t="n">
        <x:v>4.5</x:v>
      </x:c>
      <x:c r="F300" s="86" t="n">
        <x:v>3.6</x:v>
      </x:c>
      <x:c r="G300" s="86" t="str">
        <x:v>Dentro do esperado</x:v>
      </x:c>
      <x:c r="H300" s="86" t="str">
        <x:v>Baixo</x:v>
      </x:c>
      <x:c r="I300" s="87" t="n">
        <x:v>0</x:v>
      </x:c>
    </x:row>
    <x:row r="301">
      <x:c r="A301" s="85" t="n">
        <x:v>300</x:v>
      </x:c>
      <x:c r="B301" s="86" t="n">
        <x:v>44</x:v>
      </x:c>
      <x:c r="C301" s="86" t="n">
        <x:v>2025</x:v>
      </x:c>
      <x:c r="D301" s="86" t="n">
        <x:v>3.5</x:v>
      </x:c>
      <x:c r="E301" s="86" t="n">
        <x:v>3.4</x:v>
      </x:c>
      <x:c r="F301" s="86" t="n">
        <x:v>3.5</x:v>
      </x:c>
      <x:c r="G301" s="86" t="str">
        <x:v>Dentro do esperado</x:v>
      </x:c>
      <x:c r="H301" s="86" t="str">
        <x:v>Alto</x:v>
      </x:c>
      <x:c r="I301" s="87" t="n">
        <x:v>1</x:v>
      </x:c>
    </x:row>
    <x:row r="302">
      <x:c r="A302" s="85" t="n">
        <x:v>301</x:v>
      </x:c>
      <x:c r="B302" s="86" t="n">
        <x:v>45</x:v>
      </x:c>
      <x:c r="C302" s="86" t="n">
        <x:v>2025</x:v>
      </x:c>
      <x:c r="D302" s="86" t="n">
        <x:v>2.7</x:v>
      </x:c>
      <x:c r="E302" s="86" t="n">
        <x:v>4.7</x:v>
      </x:c>
      <x:c r="F302" s="86" t="n">
        <x:v>3.5</x:v>
      </x:c>
      <x:c r="G302" s="86" t="str">
        <x:v>Dentro do esperado</x:v>
      </x:c>
      <x:c r="H302" s="86" t="str">
        <x:v>Médio</x:v>
      </x:c>
      <x:c r="I302" s="87" t="n">
        <x:v>0</x:v>
      </x:c>
    </x:row>
    <x:row r="303">
      <x:c r="A303" s="85" t="n">
        <x:v>302</x:v>
      </x:c>
      <x:c r="B303" s="86" t="n">
        <x:v>46</x:v>
      </x:c>
      <x:c r="C303" s="86" t="n">
        <x:v>2025</x:v>
      </x:c>
      <x:c r="D303" s="86" t="n">
        <x:v>2.7</x:v>
      </x:c>
      <x:c r="E303" s="86" t="n">
        <x:v>4.7</x:v>
      </x:c>
      <x:c r="F303" s="86" t="n">
        <x:v>3.5</x:v>
      </x:c>
      <x:c r="G303" s="86" t="str">
        <x:v>Dentro do esperado</x:v>
      </x:c>
      <x:c r="H303" s="86" t="str">
        <x:v>Médio</x:v>
      </x:c>
      <x:c r="I303" s="87" t="n">
        <x:v>0</x:v>
      </x:c>
    </x:row>
    <x:row r="304">
      <x:c r="A304" s="85" t="n">
        <x:v>303</x:v>
      </x:c>
      <x:c r="B304" s="86" t="n">
        <x:v>47</x:v>
      </x:c>
      <x:c r="C304" s="86" t="n">
        <x:v>2025</x:v>
      </x:c>
      <x:c r="D304" s="86" t="n">
        <x:v>2.9</x:v>
      </x:c>
      <x:c r="E304" s="86" t="n">
        <x:v>3.6</x:v>
      </x:c>
      <x:c r="F304" s="86" t="n">
        <x:v>3.2</x:v>
      </x:c>
      <x:c r="G304" s="86" t="str">
        <x:v>Dentro do esperado</x:v>
      </x:c>
      <x:c r="H304" s="86" t="str">
        <x:v>Médio</x:v>
      </x:c>
      <x:c r="I304" s="87" t="n">
        <x:v>0</x:v>
      </x:c>
    </x:row>
    <x:row r="305">
      <x:c r="A305" s="85" t="n">
        <x:v>304</x:v>
      </x:c>
      <x:c r="B305" s="86" t="n">
        <x:v>48</x:v>
      </x:c>
      <x:c r="C305" s="86" t="n">
        <x:v>2025</x:v>
      </x:c>
      <x:c r="D305" s="86" t="n">
        <x:v>2.6</x:v>
      </x:c>
      <x:c r="E305" s="86" t="n">
        <x:v>4.3</x:v>
      </x:c>
      <x:c r="F305" s="86" t="n">
        <x:v>3.3</x:v>
      </x:c>
      <x:c r="G305" s="86" t="str">
        <x:v>Dentro do esperado</x:v>
      </x:c>
      <x:c r="H305" s="86" t="str">
        <x:v>Médio</x:v>
      </x:c>
      <x:c r="I305" s="87" t="n">
        <x:v>0</x:v>
      </x:c>
    </x:row>
    <x:row r="306">
      <x:c r="A306" s="85" t="n">
        <x:v>305</x:v>
      </x:c>
      <x:c r="B306" s="86" t="n">
        <x:v>49</x:v>
      </x:c>
      <x:c r="C306" s="86" t="n">
        <x:v>2025</x:v>
      </x:c>
      <x:c r="D306" s="86" t="n">
        <x:v>4.2</x:v>
      </x:c>
      <x:c r="E306" s="86" t="n">
        <x:v>3.9</x:v>
      </x:c>
      <x:c r="F306" s="86" t="n">
        <x:v>4.1</x:v>
      </x:c>
      <x:c r="G306" s="86" t="str">
        <x:v>Acima do esperado</x:v>
      </x:c>
      <x:c r="H306" s="86" t="str">
        <x:v>Médio</x:v>
      </x:c>
      <x:c r="I306" s="87" t="n">
        <x:v>0</x:v>
      </x:c>
    </x:row>
    <x:row r="307">
      <x:c r="A307" s="85" t="n">
        <x:v>306</x:v>
      </x:c>
      <x:c r="B307" s="86" t="n">
        <x:v>50</x:v>
      </x:c>
      <x:c r="C307" s="86" t="n">
        <x:v>2025</x:v>
      </x:c>
      <x:c r="D307" s="86" t="n">
        <x:v>3.2</x:v>
      </x:c>
      <x:c r="E307" s="86" t="n">
        <x:v>3.6</x:v>
      </x:c>
      <x:c r="F307" s="86" t="n">
        <x:v>3.4</x:v>
      </x:c>
      <x:c r="G307" s="86" t="str">
        <x:v>Dentro do esperado</x:v>
      </x:c>
      <x:c r="H307" s="86" t="str">
        <x:v>Médio</x:v>
      </x:c>
      <x:c r="I307" s="87" t="n">
        <x:v>0</x:v>
      </x:c>
    </x:row>
    <x:row r="308">
      <x:c r="A308" s="85" t="n">
        <x:v>307</x:v>
      </x:c>
      <x:c r="B308" s="86" t="n">
        <x:v>51</x:v>
      </x:c>
      <x:c r="C308" s="86" t="n">
        <x:v>2025</x:v>
      </x:c>
      <x:c r="D308" s="86" t="n">
        <x:v>3.3</x:v>
      </x:c>
      <x:c r="E308" s="86" t="n">
        <x:v>4.5</x:v>
      </x:c>
      <x:c r="F308" s="86" t="n">
        <x:v>3.8</x:v>
      </x:c>
      <x:c r="G308" s="86" t="str">
        <x:v>Acima do esperado</x:v>
      </x:c>
      <x:c r="H308" s="86" t="str">
        <x:v>Médio</x:v>
      </x:c>
      <x:c r="I308" s="87" t="n">
        <x:v>0</x:v>
      </x:c>
    </x:row>
    <x:row r="309">
      <x:c r="A309" s="85" t="n">
        <x:v>308</x:v>
      </x:c>
      <x:c r="B309" s="86" t="n">
        <x:v>52</x:v>
      </x:c>
      <x:c r="C309" s="86" t="n">
        <x:v>2025</x:v>
      </x:c>
      <x:c r="D309" s="86" t="n">
        <x:v>2.8</x:v>
      </x:c>
      <x:c r="E309" s="86" t="n">
        <x:v>3.1</x:v>
      </x:c>
      <x:c r="F309" s="86" t="n">
        <x:v>2.9</x:v>
      </x:c>
      <x:c r="G309" s="86" t="str">
        <x:v>Abaixo do esperado</x:v>
      </x:c>
      <x:c r="H309" s="86" t="str">
        <x:v>Médio</x:v>
      </x:c>
      <x:c r="I309" s="87" t="n">
        <x:v>1</x:v>
      </x:c>
    </x:row>
    <x:row r="310">
      <x:c r="A310" s="85" t="n">
        <x:v>309</x:v>
      </x:c>
      <x:c r="B310" s="86" t="n">
        <x:v>53</x:v>
      </x:c>
      <x:c r="C310" s="86" t="n">
        <x:v>2025</x:v>
      </x:c>
      <x:c r="D310" s="86" t="n">
        <x:v>4.6</x:v>
      </x:c>
      <x:c r="E310" s="86" t="n">
        <x:v>3</x:v>
      </x:c>
      <x:c r="F310" s="86" t="n">
        <x:v>4</x:v>
      </x:c>
      <x:c r="G310" s="86" t="str">
        <x:v>Acima do esperado</x:v>
      </x:c>
      <x:c r="H310" s="86" t="str">
        <x:v>Baixo</x:v>
      </x:c>
      <x:c r="I310" s="87" t="n">
        <x:v>0</x:v>
      </x:c>
    </x:row>
    <x:row r="311">
      <x:c r="A311" s="85" t="n">
        <x:v>310</x:v>
      </x:c>
      <x:c r="B311" s="86" t="n">
        <x:v>55</x:v>
      </x:c>
      <x:c r="C311" s="86" t="n">
        <x:v>2025</x:v>
      </x:c>
      <x:c r="D311" s="86" t="n">
        <x:v>2.4</x:v>
      </x:c>
      <x:c r="E311" s="86" t="n">
        <x:v>3.5</x:v>
      </x:c>
      <x:c r="F311" s="86" t="n">
        <x:v>2.8</x:v>
      </x:c>
      <x:c r="G311" s="86" t="str">
        <x:v>Abaixo do esperado</x:v>
      </x:c>
      <x:c r="H311" s="86" t="str">
        <x:v>Baixo</x:v>
      </x:c>
      <x:c r="I311" s="87" t="n">
        <x:v>1</x:v>
      </x:c>
    </x:row>
    <x:row r="312">
      <x:c r="A312" s="85" t="n">
        <x:v>311</x:v>
      </x:c>
      <x:c r="B312" s="86" t="n">
        <x:v>56</x:v>
      </x:c>
      <x:c r="C312" s="86" t="n">
        <x:v>2025</x:v>
      </x:c>
      <x:c r="D312" s="86" t="n">
        <x:v>3.8</x:v>
      </x:c>
      <x:c r="E312" s="86" t="n">
        <x:v>3.3</x:v>
      </x:c>
      <x:c r="F312" s="86" t="n">
        <x:v>3.6</x:v>
      </x:c>
      <x:c r="G312" s="86" t="str">
        <x:v>Dentro do esperado</x:v>
      </x:c>
      <x:c r="H312" s="86" t="str">
        <x:v>Alto</x:v>
      </x:c>
      <x:c r="I312" s="87" t="n">
        <x:v>1</x:v>
      </x:c>
    </x:row>
    <x:row r="313">
      <x:c r="A313" s="85" t="n">
        <x:v>312</x:v>
      </x:c>
      <x:c r="B313" s="86" t="n">
        <x:v>57</x:v>
      </x:c>
      <x:c r="C313" s="86" t="n">
        <x:v>2025</x:v>
      </x:c>
      <x:c r="D313" s="86" t="n">
        <x:v>4.2</x:v>
      </x:c>
      <x:c r="E313" s="86" t="n">
        <x:v>3.1</x:v>
      </x:c>
      <x:c r="F313" s="86" t="n">
        <x:v>3.8</x:v>
      </x:c>
      <x:c r="G313" s="86" t="str">
        <x:v>Acima do esperado</x:v>
      </x:c>
      <x:c r="H313" s="86" t="str">
        <x:v>Médio</x:v>
      </x:c>
      <x:c r="I313" s="87" t="n">
        <x:v>0</x:v>
      </x:c>
    </x:row>
    <x:row r="314">
      <x:c r="A314" s="85" t="n">
        <x:v>313</x:v>
      </x:c>
      <x:c r="B314" s="86" t="n">
        <x:v>58</x:v>
      </x:c>
      <x:c r="C314" s="86" t="n">
        <x:v>2025</x:v>
      </x:c>
      <x:c r="D314" s="86" t="n">
        <x:v>3</x:v>
      </x:c>
      <x:c r="E314" s="86" t="n">
        <x:v>2.5</x:v>
      </x:c>
      <x:c r="F314" s="86" t="n">
        <x:v>2.8</x:v>
      </x:c>
      <x:c r="G314" s="86" t="str">
        <x:v>Abaixo do esperado</x:v>
      </x:c>
      <x:c r="H314" s="86" t="str">
        <x:v>Médio</x:v>
      </x:c>
      <x:c r="I314" s="87" t="n">
        <x:v>1</x:v>
      </x:c>
    </x:row>
    <x:row r="315">
      <x:c r="A315" s="85" t="n">
        <x:v>314</x:v>
      </x:c>
      <x:c r="B315" s="86" t="n">
        <x:v>59</x:v>
      </x:c>
      <x:c r="C315" s="86" t="n">
        <x:v>2025</x:v>
      </x:c>
      <x:c r="D315" s="86" t="n">
        <x:v>4.6</x:v>
      </x:c>
      <x:c r="E315" s="86" t="n">
        <x:v>2.5</x:v>
      </x:c>
      <x:c r="F315" s="86" t="n">
        <x:v>3.8</x:v>
      </x:c>
      <x:c r="G315" s="86" t="str">
        <x:v>Acima do esperado</x:v>
      </x:c>
      <x:c r="H315" s="86" t="str">
        <x:v>Médio</x:v>
      </x:c>
      <x:c r="I315" s="87" t="n">
        <x:v>0</x:v>
      </x:c>
    </x:row>
    <x:row r="316">
      <x:c r="A316" s="85" t="n">
        <x:v>315</x:v>
      </x:c>
      <x:c r="B316" s="86" t="n">
        <x:v>60</x:v>
      </x:c>
      <x:c r="C316" s="86" t="n">
        <x:v>2025</x:v>
      </x:c>
      <x:c r="D316" s="86" t="n">
        <x:v>4.8</x:v>
      </x:c>
      <x:c r="E316" s="86" t="n">
        <x:v>4.7</x:v>
      </x:c>
      <x:c r="F316" s="86" t="n">
        <x:v>4.8</x:v>
      </x:c>
      <x:c r="G316" s="86" t="str">
        <x:v>Excepcional</x:v>
      </x:c>
      <x:c r="H316" s="86" t="str">
        <x:v>Médio</x:v>
      </x:c>
      <x:c r="I316" s="87" t="n">
        <x:v>0</x:v>
      </x:c>
    </x:row>
    <x:row r="317">
      <x:c r="A317" s="85" t="n">
        <x:v>316</x:v>
      </x:c>
      <x:c r="B317" s="86" t="n">
        <x:v>62</x:v>
      </x:c>
      <x:c r="C317" s="86" t="n">
        <x:v>2025</x:v>
      </x:c>
      <x:c r="D317" s="86" t="n">
        <x:v>2.4</x:v>
      </x:c>
      <x:c r="E317" s="86" t="n">
        <x:v>4.2</x:v>
      </x:c>
      <x:c r="F317" s="86" t="n">
        <x:v>3.1</x:v>
      </x:c>
      <x:c r="G317" s="86" t="str">
        <x:v>Dentro do esperado</x:v>
      </x:c>
      <x:c r="H317" s="86" t="str">
        <x:v>Médio</x:v>
      </x:c>
      <x:c r="I317" s="87" t="n">
        <x:v>1</x:v>
      </x:c>
    </x:row>
    <x:row r="318">
      <x:c r="A318" s="85" t="n">
        <x:v>317</x:v>
      </x:c>
      <x:c r="B318" s="86" t="n">
        <x:v>63</x:v>
      </x:c>
      <x:c r="C318" s="86" t="n">
        <x:v>2025</x:v>
      </x:c>
      <x:c r="D318" s="86" t="n">
        <x:v>3.7</x:v>
      </x:c>
      <x:c r="E318" s="86" t="n">
        <x:v>4.9</x:v>
      </x:c>
      <x:c r="F318" s="86" t="n">
        <x:v>4.2</x:v>
      </x:c>
      <x:c r="G318" s="86" t="str">
        <x:v>Acima do esperado</x:v>
      </x:c>
      <x:c r="H318" s="86" t="str">
        <x:v>Baixo</x:v>
      </x:c>
      <x:c r="I318" s="87" t="n">
        <x:v>0</x:v>
      </x:c>
    </x:row>
    <x:row r="319">
      <x:c r="A319" s="85" t="n">
        <x:v>318</x:v>
      </x:c>
      <x:c r="B319" s="86" t="n">
        <x:v>64</x:v>
      </x:c>
      <x:c r="C319" s="86" t="n">
        <x:v>2025</x:v>
      </x:c>
      <x:c r="D319" s="86" t="n">
        <x:v>4.2</x:v>
      </x:c>
      <x:c r="E319" s="86" t="n">
        <x:v>3.2</x:v>
      </x:c>
      <x:c r="F319" s="86" t="n">
        <x:v>3.8</x:v>
      </x:c>
      <x:c r="G319" s="86" t="str">
        <x:v>Acima do esperado</x:v>
      </x:c>
      <x:c r="H319" s="86" t="str">
        <x:v>Médio</x:v>
      </x:c>
      <x:c r="I319" s="87" t="n">
        <x:v>0</x:v>
      </x:c>
    </x:row>
    <x:row r="320">
      <x:c r="A320" s="85" t="n">
        <x:v>319</x:v>
      </x:c>
      <x:c r="B320" s="86" t="n">
        <x:v>66</x:v>
      </x:c>
      <x:c r="C320" s="86" t="n">
        <x:v>2025</x:v>
      </x:c>
      <x:c r="D320" s="86" t="n">
        <x:v>3.4</x:v>
      </x:c>
      <x:c r="E320" s="86" t="n">
        <x:v>3.2</x:v>
      </x:c>
      <x:c r="F320" s="86" t="n">
        <x:v>3.3</x:v>
      </x:c>
      <x:c r="G320" s="86" t="str">
        <x:v>Dentro do esperado</x:v>
      </x:c>
      <x:c r="H320" s="86" t="str">
        <x:v>Médio</x:v>
      </x:c>
      <x:c r="I320" s="87" t="n">
        <x:v>0</x:v>
      </x:c>
    </x:row>
    <x:row r="321">
      <x:c r="A321" s="85" t="n">
        <x:v>320</x:v>
      </x:c>
      <x:c r="B321" s="86" t="n">
        <x:v>67</x:v>
      </x:c>
      <x:c r="C321" s="86" t="n">
        <x:v>2025</x:v>
      </x:c>
      <x:c r="D321" s="86" t="n">
        <x:v>3.2</x:v>
      </x:c>
      <x:c r="E321" s="86" t="n">
        <x:v>3.7</x:v>
      </x:c>
      <x:c r="F321" s="86" t="n">
        <x:v>3.4</x:v>
      </x:c>
      <x:c r="G321" s="86" t="str">
        <x:v>Dentro do esperado</x:v>
      </x:c>
      <x:c r="H321" s="86" t="str">
        <x:v>Médio</x:v>
      </x:c>
      <x:c r="I321" s="87" t="n">
        <x:v>0</x:v>
      </x:c>
    </x:row>
    <x:row r="322">
      <x:c r="A322" s="85" t="n">
        <x:v>321</x:v>
      </x:c>
      <x:c r="B322" s="86" t="n">
        <x:v>68</x:v>
      </x:c>
      <x:c r="C322" s="86" t="n">
        <x:v>2025</x:v>
      </x:c>
      <x:c r="D322" s="86" t="n">
        <x:v>4.7</x:v>
      </x:c>
      <x:c r="E322" s="86" t="n">
        <x:v>4.7</x:v>
      </x:c>
      <x:c r="F322" s="86" t="n">
        <x:v>4.7</x:v>
      </x:c>
      <x:c r="G322" s="86" t="str">
        <x:v>Excepcional</x:v>
      </x:c>
      <x:c r="H322" s="86" t="str">
        <x:v>Médio</x:v>
      </x:c>
      <x:c r="I322" s="87" t="n">
        <x:v>0</x:v>
      </x:c>
    </x:row>
    <x:row r="323">
      <x:c r="A323" s="85" t="n">
        <x:v>322</x:v>
      </x:c>
      <x:c r="B323" s="86" t="n">
        <x:v>69</x:v>
      </x:c>
      <x:c r="C323" s="86" t="n">
        <x:v>2025</x:v>
      </x:c>
      <x:c r="D323" s="86" t="n">
        <x:v>3.8</x:v>
      </x:c>
      <x:c r="E323" s="86" t="n">
        <x:v>4.7</x:v>
      </x:c>
      <x:c r="F323" s="86" t="n">
        <x:v>4.2</x:v>
      </x:c>
      <x:c r="G323" s="86" t="str">
        <x:v>Acima do esperado</x:v>
      </x:c>
      <x:c r="H323" s="86" t="str">
        <x:v>Médio</x:v>
      </x:c>
      <x:c r="I323" s="87" t="n">
        <x:v>0</x:v>
      </x:c>
    </x:row>
    <x:row r="324">
      <x:c r="A324" s="85" t="n">
        <x:v>323</x:v>
      </x:c>
      <x:c r="B324" s="86" t="n">
        <x:v>70</x:v>
      </x:c>
      <x:c r="C324" s="86" t="n">
        <x:v>2025</x:v>
      </x:c>
      <x:c r="D324" s="86" t="n">
        <x:v>4.5</x:v>
      </x:c>
      <x:c r="E324" s="86" t="n">
        <x:v>3.8</x:v>
      </x:c>
      <x:c r="F324" s="86" t="n">
        <x:v>4.2</x:v>
      </x:c>
      <x:c r="G324" s="86" t="str">
        <x:v>Acima do esperado</x:v>
      </x:c>
      <x:c r="H324" s="86" t="str">
        <x:v>Médio</x:v>
      </x:c>
      <x:c r="I324" s="87" t="n">
        <x:v>0</x:v>
      </x:c>
    </x:row>
    <x:row r="325">
      <x:c r="A325" s="85" t="n">
        <x:v>324</x:v>
      </x:c>
      <x:c r="B325" s="86" t="n">
        <x:v>71</x:v>
      </x:c>
      <x:c r="C325" s="86" t="n">
        <x:v>2025</x:v>
      </x:c>
      <x:c r="D325" s="86" t="n">
        <x:v>2.4</x:v>
      </x:c>
      <x:c r="E325" s="86" t="n">
        <x:v>4.1</x:v>
      </x:c>
      <x:c r="F325" s="86" t="n">
        <x:v>3.1</x:v>
      </x:c>
      <x:c r="G325" s="86" t="str">
        <x:v>Dentro do esperado</x:v>
      </x:c>
      <x:c r="H325" s="86" t="str">
        <x:v>Alto</x:v>
      </x:c>
      <x:c r="I325" s="87" t="n">
        <x:v>1</x:v>
      </x:c>
    </x:row>
    <x:row r="326">
      <x:c r="A326" s="85" t="n">
        <x:v>325</x:v>
      </x:c>
      <x:c r="B326" s="86" t="n">
        <x:v>72</x:v>
      </x:c>
      <x:c r="C326" s="86" t="n">
        <x:v>2025</x:v>
      </x:c>
      <x:c r="D326" s="86" t="n">
        <x:v>2.5</x:v>
      </x:c>
      <x:c r="E326" s="86" t="n">
        <x:v>2.4</x:v>
      </x:c>
      <x:c r="F326" s="86" t="n">
        <x:v>2.5</x:v>
      </x:c>
      <x:c r="G326" s="86" t="str">
        <x:v>Abaixo do esperado</x:v>
      </x:c>
      <x:c r="H326" s="86" t="str">
        <x:v>Médio</x:v>
      </x:c>
      <x:c r="I326" s="87" t="n">
        <x:v>1</x:v>
      </x:c>
    </x:row>
    <x:row r="327">
      <x:c r="A327" s="85" t="n">
        <x:v>326</x:v>
      </x:c>
      <x:c r="B327" s="86" t="n">
        <x:v>73</x:v>
      </x:c>
      <x:c r="C327" s="86" t="n">
        <x:v>2025</x:v>
      </x:c>
      <x:c r="D327" s="86" t="n">
        <x:v>2.6</x:v>
      </x:c>
      <x:c r="E327" s="86" t="n">
        <x:v>4.2</x:v>
      </x:c>
      <x:c r="F327" s="86" t="n">
        <x:v>3.2</x:v>
      </x:c>
      <x:c r="G327" s="86" t="str">
        <x:v>Dentro do esperado</x:v>
      </x:c>
      <x:c r="H327" s="86" t="str">
        <x:v>Médio</x:v>
      </x:c>
      <x:c r="I327" s="87" t="n">
        <x:v>0</x:v>
      </x:c>
    </x:row>
    <x:row r="328">
      <x:c r="A328" s="85" t="n">
        <x:v>327</x:v>
      </x:c>
      <x:c r="B328" s="86" t="n">
        <x:v>74</x:v>
      </x:c>
      <x:c r="C328" s="86" t="n">
        <x:v>2025</x:v>
      </x:c>
      <x:c r="D328" s="86" t="n">
        <x:v>4.7</x:v>
      </x:c>
      <x:c r="E328" s="86" t="n">
        <x:v>3.7</x:v>
      </x:c>
      <x:c r="F328" s="86" t="n">
        <x:v>4.3</x:v>
      </x:c>
      <x:c r="G328" s="86" t="str">
        <x:v>Acima do esperado</x:v>
      </x:c>
      <x:c r="H328" s="86" t="str">
        <x:v>Baixo</x:v>
      </x:c>
      <x:c r="I328" s="87" t="n">
        <x:v>0</x:v>
      </x:c>
    </x:row>
    <x:row r="329">
      <x:c r="A329" s="85" t="n">
        <x:v>328</x:v>
      </x:c>
      <x:c r="B329" s="86" t="n">
        <x:v>75</x:v>
      </x:c>
      <x:c r="C329" s="86" t="n">
        <x:v>2025</x:v>
      </x:c>
      <x:c r="D329" s="86" t="n">
        <x:v>3</x:v>
      </x:c>
      <x:c r="E329" s="86" t="n">
        <x:v>4.1</x:v>
      </x:c>
      <x:c r="F329" s="86" t="n">
        <x:v>3.4</x:v>
      </x:c>
      <x:c r="G329" s="86" t="str">
        <x:v>Dentro do esperado</x:v>
      </x:c>
      <x:c r="H329" s="86" t="str">
        <x:v>Médio</x:v>
      </x:c>
      <x:c r="I329" s="87" t="n">
        <x:v>0</x:v>
      </x:c>
    </x:row>
    <x:row r="330">
      <x:c r="A330" s="85" t="n">
        <x:v>329</x:v>
      </x:c>
      <x:c r="B330" s="86" t="n">
        <x:v>76</x:v>
      </x:c>
      <x:c r="C330" s="86" t="n">
        <x:v>2025</x:v>
      </x:c>
      <x:c r="D330" s="86" t="n">
        <x:v>4.4</x:v>
      </x:c>
      <x:c r="E330" s="86" t="n">
        <x:v>4.1</x:v>
      </x:c>
      <x:c r="F330" s="86" t="n">
        <x:v>4.3</x:v>
      </x:c>
      <x:c r="G330" s="86" t="str">
        <x:v>Acima do esperado</x:v>
      </x:c>
      <x:c r="H330" s="86" t="str">
        <x:v>Médio</x:v>
      </x:c>
      <x:c r="I330" s="87" t="n">
        <x:v>0</x:v>
      </x:c>
    </x:row>
    <x:row r="331">
      <x:c r="A331" s="85" t="n">
        <x:v>330</x:v>
      </x:c>
      <x:c r="B331" s="86" t="n">
        <x:v>77</x:v>
      </x:c>
      <x:c r="C331" s="86" t="n">
        <x:v>2025</x:v>
      </x:c>
      <x:c r="D331" s="86" t="n">
        <x:v>3.6</x:v>
      </x:c>
      <x:c r="E331" s="86" t="n">
        <x:v>4.4</x:v>
      </x:c>
      <x:c r="F331" s="86" t="n">
        <x:v>3.9</x:v>
      </x:c>
      <x:c r="G331" s="86" t="str">
        <x:v>Acima do esperado</x:v>
      </x:c>
      <x:c r="H331" s="86" t="str">
        <x:v>Médio</x:v>
      </x:c>
      <x:c r="I331" s="87" t="n">
        <x:v>0</x:v>
      </x:c>
    </x:row>
    <x:row r="332">
      <x:c r="A332" s="85" t="n">
        <x:v>331</x:v>
      </x:c>
      <x:c r="B332" s="86" t="n">
        <x:v>78</x:v>
      </x:c>
      <x:c r="C332" s="86" t="n">
        <x:v>2025</x:v>
      </x:c>
      <x:c r="D332" s="86" t="n">
        <x:v>4.6</x:v>
      </x:c>
      <x:c r="E332" s="86" t="n">
        <x:v>3.4</x:v>
      </x:c>
      <x:c r="F332" s="86" t="n">
        <x:v>4.1</x:v>
      </x:c>
      <x:c r="G332" s="86" t="str">
        <x:v>Acima do esperado</x:v>
      </x:c>
      <x:c r="H332" s="86" t="str">
        <x:v>Baixo</x:v>
      </x:c>
      <x:c r="I332" s="87" t="n">
        <x:v>0</x:v>
      </x:c>
    </x:row>
    <x:row r="333">
      <x:c r="A333" s="85" t="n">
        <x:v>332</x:v>
      </x:c>
      <x:c r="B333" s="86" t="n">
        <x:v>79</x:v>
      </x:c>
      <x:c r="C333" s="86" t="n">
        <x:v>2025</x:v>
      </x:c>
      <x:c r="D333" s="86" t="n">
        <x:v>4.3</x:v>
      </x:c>
      <x:c r="E333" s="86" t="n">
        <x:v>3</x:v>
      </x:c>
      <x:c r="F333" s="86" t="n">
        <x:v>3.8</x:v>
      </x:c>
      <x:c r="G333" s="86" t="str">
        <x:v>Acima do esperado</x:v>
      </x:c>
      <x:c r="H333" s="86" t="str">
        <x:v>Médio</x:v>
      </x:c>
      <x:c r="I333" s="87" t="n">
        <x:v>0</x:v>
      </x:c>
    </x:row>
    <x:row r="334">
      <x:c r="A334" s="85" t="n">
        <x:v>333</x:v>
      </x:c>
      <x:c r="B334" s="86" t="n">
        <x:v>81</x:v>
      </x:c>
      <x:c r="C334" s="86" t="n">
        <x:v>2025</x:v>
      </x:c>
      <x:c r="D334" s="86" t="n">
        <x:v>4.4</x:v>
      </x:c>
      <x:c r="E334" s="86" t="n">
        <x:v>3</x:v>
      </x:c>
      <x:c r="F334" s="86" t="n">
        <x:v>3.8</x:v>
      </x:c>
      <x:c r="G334" s="86" t="str">
        <x:v>Acima do esperado</x:v>
      </x:c>
      <x:c r="H334" s="86" t="str">
        <x:v>Médio</x:v>
      </x:c>
      <x:c r="I334" s="87" t="n">
        <x:v>0</x:v>
      </x:c>
    </x:row>
    <x:row r="335">
      <x:c r="A335" s="85" t="n">
        <x:v>334</x:v>
      </x:c>
      <x:c r="B335" s="86" t="n">
        <x:v>82</x:v>
      </x:c>
      <x:c r="C335" s="86" t="n">
        <x:v>2025</x:v>
      </x:c>
      <x:c r="D335" s="86" t="n">
        <x:v>2.8</x:v>
      </x:c>
      <x:c r="E335" s="86" t="n">
        <x:v>4.2</x:v>
      </x:c>
      <x:c r="F335" s="86" t="n">
        <x:v>3.4</x:v>
      </x:c>
      <x:c r="G335" s="86" t="str">
        <x:v>Dentro do esperado</x:v>
      </x:c>
      <x:c r="H335" s="86" t="str">
        <x:v>Médio</x:v>
      </x:c>
      <x:c r="I335" s="87" t="n">
        <x:v>0</x:v>
      </x:c>
    </x:row>
    <x:row r="336">
      <x:c r="A336" s="85" t="n">
        <x:v>335</x:v>
      </x:c>
      <x:c r="B336" s="86" t="n">
        <x:v>83</x:v>
      </x:c>
      <x:c r="C336" s="86" t="n">
        <x:v>2025</x:v>
      </x:c>
      <x:c r="D336" s="86" t="n">
        <x:v>3</x:v>
      </x:c>
      <x:c r="E336" s="86" t="n">
        <x:v>4.8</x:v>
      </x:c>
      <x:c r="F336" s="86" t="n">
        <x:v>3.7</x:v>
      </x:c>
      <x:c r="G336" s="86" t="str">
        <x:v>Dentro do esperado</x:v>
      </x:c>
      <x:c r="H336" s="86" t="str">
        <x:v>Médio</x:v>
      </x:c>
      <x:c r="I336" s="87" t="n">
        <x:v>0</x:v>
      </x:c>
    </x:row>
    <x:row r="337">
      <x:c r="A337" s="85" t="n">
        <x:v>336</x:v>
      </x:c>
      <x:c r="B337" s="86" t="n">
        <x:v>84</x:v>
      </x:c>
      <x:c r="C337" s="86" t="n">
        <x:v>2025</x:v>
      </x:c>
      <x:c r="D337" s="86" t="n">
        <x:v>4.9</x:v>
      </x:c>
      <x:c r="E337" s="86" t="n">
        <x:v>4.7</x:v>
      </x:c>
      <x:c r="F337" s="86" t="n">
        <x:v>4.8</x:v>
      </x:c>
      <x:c r="G337" s="86" t="str">
        <x:v>Excepcional</x:v>
      </x:c>
      <x:c r="H337" s="86" t="str">
        <x:v>Alto</x:v>
      </x:c>
      <x:c r="I337" s="87" t="n">
        <x:v>1</x:v>
      </x:c>
    </x:row>
    <x:row r="338">
      <x:c r="A338" s="85" t="n">
        <x:v>337</x:v>
      </x:c>
      <x:c r="B338" s="86" t="n">
        <x:v>85</x:v>
      </x:c>
      <x:c r="C338" s="86" t="n">
        <x:v>2025</x:v>
      </x:c>
      <x:c r="D338" s="86" t="n">
        <x:v>3.2</x:v>
      </x:c>
      <x:c r="E338" s="86" t="n">
        <x:v>3.6</x:v>
      </x:c>
      <x:c r="F338" s="86" t="n">
        <x:v>3.4</x:v>
      </x:c>
      <x:c r="G338" s="86" t="str">
        <x:v>Dentro do esperado</x:v>
      </x:c>
      <x:c r="H338" s="86" t="str">
        <x:v>Baixo</x:v>
      </x:c>
      <x:c r="I338" s="87" t="n">
        <x:v>0</x:v>
      </x:c>
    </x:row>
    <x:row r="339">
      <x:c r="A339" s="85" t="n">
        <x:v>338</x:v>
      </x:c>
      <x:c r="B339" s="86" t="n">
        <x:v>86</x:v>
      </x:c>
      <x:c r="C339" s="86" t="n">
        <x:v>2025</x:v>
      </x:c>
      <x:c r="D339" s="86" t="n">
        <x:v>2.7</x:v>
      </x:c>
      <x:c r="E339" s="86" t="n">
        <x:v>2.4</x:v>
      </x:c>
      <x:c r="F339" s="86" t="n">
        <x:v>2.6</x:v>
      </x:c>
      <x:c r="G339" s="86" t="str">
        <x:v>Abaixo do esperado</x:v>
      </x:c>
      <x:c r="H339" s="86" t="str">
        <x:v>Alto</x:v>
      </x:c>
      <x:c r="I339" s="87" t="n">
        <x:v>1</x:v>
      </x:c>
    </x:row>
    <x:row r="340">
      <x:c r="A340" s="85" t="n">
        <x:v>339</x:v>
      </x:c>
      <x:c r="B340" s="86" t="n">
        <x:v>87</x:v>
      </x:c>
      <x:c r="C340" s="86" t="n">
        <x:v>2025</x:v>
      </x:c>
      <x:c r="D340" s="86" t="n">
        <x:v>2.3</x:v>
      </x:c>
      <x:c r="E340" s="86" t="n">
        <x:v>4.7</x:v>
      </x:c>
      <x:c r="F340" s="86" t="n">
        <x:v>3.3</x:v>
      </x:c>
      <x:c r="G340" s="86" t="str">
        <x:v>Dentro do esperado</x:v>
      </x:c>
      <x:c r="H340" s="86" t="str">
        <x:v>Alto</x:v>
      </x:c>
      <x:c r="I340" s="87" t="n">
        <x:v>1</x:v>
      </x:c>
    </x:row>
    <x:row r="341">
      <x:c r="A341" s="85" t="n">
        <x:v>340</x:v>
      </x:c>
      <x:c r="B341" s="86" t="n">
        <x:v>88</x:v>
      </x:c>
      <x:c r="C341" s="86" t="n">
        <x:v>2025</x:v>
      </x:c>
      <x:c r="D341" s="86" t="n">
        <x:v>4.4</x:v>
      </x:c>
      <x:c r="E341" s="86" t="n">
        <x:v>4.5</x:v>
      </x:c>
      <x:c r="F341" s="86" t="n">
        <x:v>4.4</x:v>
      </x:c>
      <x:c r="G341" s="86" t="str">
        <x:v>Acima do esperado</x:v>
      </x:c>
      <x:c r="H341" s="86" t="str">
        <x:v>Baixo</x:v>
      </x:c>
      <x:c r="I341" s="87" t="n">
        <x:v>0</x:v>
      </x:c>
    </x:row>
    <x:row r="342">
      <x:c r="A342" s="85" t="n">
        <x:v>341</x:v>
      </x:c>
      <x:c r="B342" s="86" t="n">
        <x:v>89</x:v>
      </x:c>
      <x:c r="C342" s="86" t="n">
        <x:v>2025</x:v>
      </x:c>
      <x:c r="D342" s="86" t="n">
        <x:v>4</x:v>
      </x:c>
      <x:c r="E342" s="86" t="n">
        <x:v>4</x:v>
      </x:c>
      <x:c r="F342" s="86" t="n">
        <x:v>4</x:v>
      </x:c>
      <x:c r="G342" s="86" t="str">
        <x:v>Acima do esperado</x:v>
      </x:c>
      <x:c r="H342" s="86" t="str">
        <x:v>Médio</x:v>
      </x:c>
      <x:c r="I342" s="87" t="n">
        <x:v>0</x:v>
      </x:c>
    </x:row>
    <x:row r="343">
      <x:c r="A343" s="85" t="n">
        <x:v>342</x:v>
      </x:c>
      <x:c r="B343" s="86" t="n">
        <x:v>90</x:v>
      </x:c>
      <x:c r="C343" s="86" t="n">
        <x:v>2025</x:v>
      </x:c>
      <x:c r="D343" s="86" t="n">
        <x:v>4.8</x:v>
      </x:c>
      <x:c r="E343" s="86" t="n">
        <x:v>4.8</x:v>
      </x:c>
      <x:c r="F343" s="86" t="n">
        <x:v>4.8</x:v>
      </x:c>
      <x:c r="G343" s="86" t="str">
        <x:v>Excepcional</x:v>
      </x:c>
      <x:c r="H343" s="86" t="str">
        <x:v>Médio</x:v>
      </x:c>
      <x:c r="I343" s="87" t="n">
        <x:v>0</x:v>
      </x:c>
    </x:row>
    <x:row r="344">
      <x:c r="A344" s="85" t="n">
        <x:v>343</x:v>
      </x:c>
      <x:c r="B344" s="86" t="n">
        <x:v>91</x:v>
      </x:c>
      <x:c r="C344" s="86" t="n">
        <x:v>2025</x:v>
      </x:c>
      <x:c r="D344" s="86" t="n">
        <x:v>2.9</x:v>
      </x:c>
      <x:c r="E344" s="86" t="n">
        <x:v>3.8</x:v>
      </x:c>
      <x:c r="F344" s="86" t="n">
        <x:v>3.3</x:v>
      </x:c>
      <x:c r="G344" s="86" t="str">
        <x:v>Dentro do esperado</x:v>
      </x:c>
      <x:c r="H344" s="86" t="str">
        <x:v>Baixo</x:v>
      </x:c>
      <x:c r="I344" s="87" t="n">
        <x:v>0</x:v>
      </x:c>
    </x:row>
    <x:row r="345">
      <x:c r="A345" s="85" t="n">
        <x:v>344</x:v>
      </x:c>
      <x:c r="B345" s="86" t="n">
        <x:v>92</x:v>
      </x:c>
      <x:c r="C345" s="86" t="n">
        <x:v>2025</x:v>
      </x:c>
      <x:c r="D345" s="86" t="n">
        <x:v>4.8</x:v>
      </x:c>
      <x:c r="E345" s="86" t="n">
        <x:v>4.1</x:v>
      </x:c>
      <x:c r="F345" s="86" t="n">
        <x:v>4.5</x:v>
      </x:c>
      <x:c r="G345" s="86" t="str">
        <x:v>Excepcional</x:v>
      </x:c>
      <x:c r="H345" s="86" t="str">
        <x:v>Alto</x:v>
      </x:c>
      <x:c r="I345" s="87" t="n">
        <x:v>1</x:v>
      </x:c>
    </x:row>
    <x:row r="346">
      <x:c r="A346" s="85" t="n">
        <x:v>345</x:v>
      </x:c>
      <x:c r="B346" s="86" t="n">
        <x:v>93</x:v>
      </x:c>
      <x:c r="C346" s="86" t="n">
        <x:v>2025</x:v>
      </x:c>
      <x:c r="D346" s="86" t="n">
        <x:v>4.5</x:v>
      </x:c>
      <x:c r="E346" s="86" t="n">
        <x:v>4.4</x:v>
      </x:c>
      <x:c r="F346" s="86" t="n">
        <x:v>4.5</x:v>
      </x:c>
      <x:c r="G346" s="86" t="str">
        <x:v>Excepcional</x:v>
      </x:c>
      <x:c r="H346" s="86" t="str">
        <x:v>Médio</x:v>
      </x:c>
      <x:c r="I346" s="87" t="n">
        <x:v>0</x:v>
      </x:c>
    </x:row>
    <x:row r="347">
      <x:c r="A347" s="85" t="n">
        <x:v>346</x:v>
      </x:c>
      <x:c r="B347" s="86" t="n">
        <x:v>94</x:v>
      </x:c>
      <x:c r="C347" s="86" t="n">
        <x:v>2025</x:v>
      </x:c>
      <x:c r="D347" s="86" t="n">
        <x:v>2.4</x:v>
      </x:c>
      <x:c r="E347" s="86" t="n">
        <x:v>3.6</x:v>
      </x:c>
      <x:c r="F347" s="86" t="n">
        <x:v>2.9</x:v>
      </x:c>
      <x:c r="G347" s="86" t="str">
        <x:v>Abaixo do esperado</x:v>
      </x:c>
      <x:c r="H347" s="86" t="str">
        <x:v>Baixo</x:v>
      </x:c>
      <x:c r="I347" s="87" t="n">
        <x:v>1</x:v>
      </x:c>
    </x:row>
    <x:row r="348">
      <x:c r="A348" s="85" t="n">
        <x:v>347</x:v>
      </x:c>
      <x:c r="B348" s="86" t="n">
        <x:v>95</x:v>
      </x:c>
      <x:c r="C348" s="86" t="n">
        <x:v>2025</x:v>
      </x:c>
      <x:c r="D348" s="86" t="n">
        <x:v>4</x:v>
      </x:c>
      <x:c r="E348" s="86" t="n">
        <x:v>2.7</x:v>
      </x:c>
      <x:c r="F348" s="86" t="n">
        <x:v>3.5</x:v>
      </x:c>
      <x:c r="G348" s="86" t="str">
        <x:v>Dentro do esperado</x:v>
      </x:c>
      <x:c r="H348" s="86" t="str">
        <x:v>Médio</x:v>
      </x:c>
      <x:c r="I348" s="87" t="n">
        <x:v>0</x:v>
      </x:c>
    </x:row>
    <x:row r="349">
      <x:c r="A349" s="85" t="n">
        <x:v>348</x:v>
      </x:c>
      <x:c r="B349" s="86" t="n">
        <x:v>96</x:v>
      </x:c>
      <x:c r="C349" s="86" t="n">
        <x:v>2025</x:v>
      </x:c>
      <x:c r="D349" s="86" t="n">
        <x:v>3.8</x:v>
      </x:c>
      <x:c r="E349" s="86" t="n">
        <x:v>4.6</x:v>
      </x:c>
      <x:c r="F349" s="86" t="n">
        <x:v>4.1</x:v>
      </x:c>
      <x:c r="G349" s="86" t="str">
        <x:v>Acima do esperado</x:v>
      </x:c>
      <x:c r="H349" s="86" t="str">
        <x:v>Médio</x:v>
      </x:c>
      <x:c r="I349" s="87" t="n">
        <x:v>0</x:v>
      </x:c>
    </x:row>
    <x:row r="350">
      <x:c r="A350" s="85" t="n">
        <x:v>349</x:v>
      </x:c>
      <x:c r="B350" s="86" t="n">
        <x:v>97</x:v>
      </x:c>
      <x:c r="C350" s="86" t="n">
        <x:v>2025</x:v>
      </x:c>
      <x:c r="D350" s="86" t="n">
        <x:v>4.1</x:v>
      </x:c>
      <x:c r="E350" s="86" t="n">
        <x:v>4.7</x:v>
      </x:c>
      <x:c r="F350" s="86" t="n">
        <x:v>4.3</x:v>
      </x:c>
      <x:c r="G350" s="86" t="str">
        <x:v>Acima do esperado</x:v>
      </x:c>
      <x:c r="H350" s="86" t="str">
        <x:v>Médio</x:v>
      </x:c>
      <x:c r="I350" s="87" t="n">
        <x:v>0</x:v>
      </x:c>
    </x:row>
    <x:row r="351">
      <x:c r="A351" s="85" t="n">
        <x:v>350</x:v>
      </x:c>
      <x:c r="B351" s="86" t="n">
        <x:v>98</x:v>
      </x:c>
      <x:c r="C351" s="86" t="n">
        <x:v>2025</x:v>
      </x:c>
      <x:c r="D351" s="86" t="n">
        <x:v>4.4</x:v>
      </x:c>
      <x:c r="E351" s="86" t="n">
        <x:v>4.4</x:v>
      </x:c>
      <x:c r="F351" s="86" t="n">
        <x:v>4.4</x:v>
      </x:c>
      <x:c r="G351" s="86" t="str">
        <x:v>Acima do esperado</x:v>
      </x:c>
      <x:c r="H351" s="86" t="str">
        <x:v>Médio</x:v>
      </x:c>
      <x:c r="I351" s="87" t="n">
        <x:v>0</x:v>
      </x:c>
    </x:row>
    <x:row r="352">
      <x:c r="A352" s="85" t="n">
        <x:v>351</x:v>
      </x:c>
      <x:c r="B352" s="86" t="n">
        <x:v>99</x:v>
      </x:c>
      <x:c r="C352" s="86" t="n">
        <x:v>2025</x:v>
      </x:c>
      <x:c r="D352" s="86" t="n">
        <x:v>4.9</x:v>
      </x:c>
      <x:c r="E352" s="86" t="n">
        <x:v>4.4</x:v>
      </x:c>
      <x:c r="F352" s="86" t="n">
        <x:v>4.7</x:v>
      </x:c>
      <x:c r="G352" s="86" t="str">
        <x:v>Excepcional</x:v>
      </x:c>
      <x:c r="H352" s="86" t="str">
        <x:v>Médio</x:v>
      </x:c>
      <x:c r="I352" s="87" t="n">
        <x:v>0</x:v>
      </x:c>
    </x:row>
    <x:row r="353">
      <x:c r="A353" s="85" t="n">
        <x:v>352</x:v>
      </x:c>
      <x:c r="B353" s="86" t="n">
        <x:v>100</x:v>
      </x:c>
      <x:c r="C353" s="86" t="n">
        <x:v>2025</x:v>
      </x:c>
      <x:c r="D353" s="86" t="n">
        <x:v>2.9</x:v>
      </x:c>
      <x:c r="E353" s="86" t="n">
        <x:v>3.3</x:v>
      </x:c>
      <x:c r="F353" s="86" t="n">
        <x:v>3.1</x:v>
      </x:c>
      <x:c r="G353" s="86" t="str">
        <x:v>Dentro do esperado</x:v>
      </x:c>
      <x:c r="H353" s="86" t="str">
        <x:v>Alto</x:v>
      </x:c>
      <x:c r="I353" s="87" t="n">
        <x:v>1</x:v>
      </x:c>
    </x:row>
    <x:row r="354">
      <x:c r="A354" s="85" t="n">
        <x:v>353</x:v>
      </x:c>
      <x:c r="B354" s="86" t="n">
        <x:v>101</x:v>
      </x:c>
      <x:c r="C354" s="86" t="n">
        <x:v>2025</x:v>
      </x:c>
      <x:c r="D354" s="86" t="n">
        <x:v>3</x:v>
      </x:c>
      <x:c r="E354" s="86" t="n">
        <x:v>4.8</x:v>
      </x:c>
      <x:c r="F354" s="86" t="n">
        <x:v>3.7</x:v>
      </x:c>
      <x:c r="G354" s="86" t="str">
        <x:v>Dentro do esperado</x:v>
      </x:c>
      <x:c r="H354" s="86" t="str">
        <x:v>Médio</x:v>
      </x:c>
      <x:c r="I354" s="87" t="n">
        <x:v>0</x:v>
      </x:c>
    </x:row>
    <x:row r="355">
      <x:c r="A355" s="85" t="n">
        <x:v>354</x:v>
      </x:c>
      <x:c r="B355" s="86" t="n">
        <x:v>102</x:v>
      </x:c>
      <x:c r="C355" s="86" t="n">
        <x:v>2025</x:v>
      </x:c>
      <x:c r="D355" s="86" t="n">
        <x:v>3.3</x:v>
      </x:c>
      <x:c r="E355" s="86" t="n">
        <x:v>4.8</x:v>
      </x:c>
      <x:c r="F355" s="86" t="n">
        <x:v>3.9</x:v>
      </x:c>
      <x:c r="G355" s="86" t="str">
        <x:v>Acima do esperado</x:v>
      </x:c>
      <x:c r="H355" s="86" t="str">
        <x:v>Médio</x:v>
      </x:c>
      <x:c r="I355" s="87" t="n">
        <x:v>0</x:v>
      </x:c>
    </x:row>
    <x:row r="356">
      <x:c r="A356" s="85" t="n">
        <x:v>355</x:v>
      </x:c>
      <x:c r="B356" s="86" t="n">
        <x:v>103</x:v>
      </x:c>
      <x:c r="C356" s="86" t="n">
        <x:v>2025</x:v>
      </x:c>
      <x:c r="D356" s="86" t="n">
        <x:v>2.6</x:v>
      </x:c>
      <x:c r="E356" s="86" t="n">
        <x:v>2.4</x:v>
      </x:c>
      <x:c r="F356" s="86" t="n">
        <x:v>2.5</x:v>
      </x:c>
      <x:c r="G356" s="86" t="str">
        <x:v>Abaixo do esperado</x:v>
      </x:c>
      <x:c r="H356" s="86" t="str">
        <x:v>Baixo</x:v>
      </x:c>
      <x:c r="I356" s="87" t="n">
        <x:v>1</x:v>
      </x:c>
    </x:row>
    <x:row r="357">
      <x:c r="A357" s="85" t="n">
        <x:v>356</x:v>
      </x:c>
      <x:c r="B357" s="86" t="n">
        <x:v>104</x:v>
      </x:c>
      <x:c r="C357" s="86" t="n">
        <x:v>2025</x:v>
      </x:c>
      <x:c r="D357" s="86" t="n">
        <x:v>2.8</x:v>
      </x:c>
      <x:c r="E357" s="86" t="n">
        <x:v>2.6</x:v>
      </x:c>
      <x:c r="F357" s="86" t="n">
        <x:v>2.7</x:v>
      </x:c>
      <x:c r="G357" s="86" t="str">
        <x:v>Abaixo do esperado</x:v>
      </x:c>
      <x:c r="H357" s="86" t="str">
        <x:v>Médio</x:v>
      </x:c>
      <x:c r="I357" s="87" t="n">
        <x:v>1</x:v>
      </x:c>
    </x:row>
    <x:row r="358">
      <x:c r="A358" s="85" t="n">
        <x:v>357</x:v>
      </x:c>
      <x:c r="B358" s="86" t="n">
        <x:v>107</x:v>
      </x:c>
      <x:c r="C358" s="86" t="n">
        <x:v>2025</x:v>
      </x:c>
      <x:c r="D358" s="86" t="n">
        <x:v>3.9</x:v>
      </x:c>
      <x:c r="E358" s="86" t="n">
        <x:v>2.8</x:v>
      </x:c>
      <x:c r="F358" s="86" t="n">
        <x:v>3.5</x:v>
      </x:c>
      <x:c r="G358" s="86" t="str">
        <x:v>Dentro do esperado</x:v>
      </x:c>
      <x:c r="H358" s="86" t="str">
        <x:v>Baixo</x:v>
      </x:c>
      <x:c r="I358" s="87" t="n">
        <x:v>0</x:v>
      </x:c>
    </x:row>
    <x:row r="359">
      <x:c r="A359" s="85" t="n">
        <x:v>358</x:v>
      </x:c>
      <x:c r="B359" s="86" t="n">
        <x:v>108</x:v>
      </x:c>
      <x:c r="C359" s="86" t="n">
        <x:v>2025</x:v>
      </x:c>
      <x:c r="D359" s="86" t="n">
        <x:v>3.9</x:v>
      </x:c>
      <x:c r="E359" s="86" t="n">
        <x:v>4.7</x:v>
      </x:c>
      <x:c r="F359" s="86" t="n">
        <x:v>4.2</x:v>
      </x:c>
      <x:c r="G359" s="86" t="str">
        <x:v>Acima do esperado</x:v>
      </x:c>
      <x:c r="H359" s="86" t="str">
        <x:v>Baixo</x:v>
      </x:c>
      <x:c r="I359" s="87" t="n">
        <x:v>0</x:v>
      </x:c>
    </x:row>
    <x:row r="360">
      <x:c r="A360" s="85" t="n">
        <x:v>359</x:v>
      </x:c>
      <x:c r="B360" s="86" t="n">
        <x:v>109</x:v>
      </x:c>
      <x:c r="C360" s="86" t="n">
        <x:v>2025</x:v>
      </x:c>
      <x:c r="D360" s="86" t="n">
        <x:v>4.9</x:v>
      </x:c>
      <x:c r="E360" s="86" t="n">
        <x:v>3.1</x:v>
      </x:c>
      <x:c r="F360" s="86" t="n">
        <x:v>4.2</x:v>
      </x:c>
      <x:c r="G360" s="86" t="str">
        <x:v>Acima do esperado</x:v>
      </x:c>
      <x:c r="H360" s="86" t="str">
        <x:v>Médio</x:v>
      </x:c>
      <x:c r="I360" s="87" t="n">
        <x:v>0</x:v>
      </x:c>
    </x:row>
    <x:row r="361">
      <x:c r="A361" s="85" t="n">
        <x:v>360</x:v>
      </x:c>
      <x:c r="B361" s="86" t="n">
        <x:v>111</x:v>
      </x:c>
      <x:c r="C361" s="86" t="n">
        <x:v>2025</x:v>
      </x:c>
      <x:c r="D361" s="86" t="n">
        <x:v>4.3</x:v>
      </x:c>
      <x:c r="E361" s="86" t="n">
        <x:v>4.6</x:v>
      </x:c>
      <x:c r="F361" s="86" t="n">
        <x:v>4.4</x:v>
      </x:c>
      <x:c r="G361" s="86" t="str">
        <x:v>Acima do esperado</x:v>
      </x:c>
      <x:c r="H361" s="86" t="str">
        <x:v>Médio</x:v>
      </x:c>
      <x:c r="I361" s="87" t="n">
        <x:v>0</x:v>
      </x:c>
    </x:row>
    <x:row r="362">
      <x:c r="A362" s="85" t="n">
        <x:v>361</x:v>
      </x:c>
      <x:c r="B362" s="86" t="n">
        <x:v>112</x:v>
      </x:c>
      <x:c r="C362" s="86" t="n">
        <x:v>2025</x:v>
      </x:c>
      <x:c r="D362" s="86" t="n">
        <x:v>4.3</x:v>
      </x:c>
      <x:c r="E362" s="86" t="n">
        <x:v>3.6</x:v>
      </x:c>
      <x:c r="F362" s="86" t="n">
        <x:v>4</x:v>
      </x:c>
      <x:c r="G362" s="86" t="str">
        <x:v>Acima do esperado</x:v>
      </x:c>
      <x:c r="H362" s="86" t="str">
        <x:v>Médio</x:v>
      </x:c>
      <x:c r="I362" s="87" t="n">
        <x:v>0</x:v>
      </x:c>
    </x:row>
    <x:row r="363">
      <x:c r="A363" s="85" t="n">
        <x:v>362</x:v>
      </x:c>
      <x:c r="B363" s="86" t="n">
        <x:v>113</x:v>
      </x:c>
      <x:c r="C363" s="86" t="n">
        <x:v>2025</x:v>
      </x:c>
      <x:c r="D363" s="86" t="n">
        <x:v>4.5</x:v>
      </x:c>
      <x:c r="E363" s="86" t="n">
        <x:v>2.4</x:v>
      </x:c>
      <x:c r="F363" s="86" t="n">
        <x:v>3.7</x:v>
      </x:c>
      <x:c r="G363" s="86" t="str">
        <x:v>Dentro do esperado</x:v>
      </x:c>
      <x:c r="H363" s="86" t="str">
        <x:v>Médio</x:v>
      </x:c>
      <x:c r="I363" s="87" t="n">
        <x:v>0</x:v>
      </x:c>
    </x:row>
    <x:row r="364">
      <x:c r="A364" s="85" t="n">
        <x:v>363</x:v>
      </x:c>
      <x:c r="B364" s="86" t="n">
        <x:v>115</x:v>
      </x:c>
      <x:c r="C364" s="86" t="n">
        <x:v>2025</x:v>
      </x:c>
      <x:c r="D364" s="86" t="n">
        <x:v>4.6</x:v>
      </x:c>
      <x:c r="E364" s="86" t="n">
        <x:v>2.7</x:v>
      </x:c>
      <x:c r="F364" s="86" t="n">
        <x:v>3.8</x:v>
      </x:c>
      <x:c r="G364" s="86" t="str">
        <x:v>Acima do esperado</x:v>
      </x:c>
      <x:c r="H364" s="86" t="str">
        <x:v>Baixo</x:v>
      </x:c>
      <x:c r="I364" s="87" t="n">
        <x:v>0</x:v>
      </x:c>
    </x:row>
    <x:row r="365">
      <x:c r="A365" s="85" t="n">
        <x:v>364</x:v>
      </x:c>
      <x:c r="B365" s="86" t="n">
        <x:v>117</x:v>
      </x:c>
      <x:c r="C365" s="86" t="n">
        <x:v>2025</x:v>
      </x:c>
      <x:c r="D365" s="86" t="n">
        <x:v>4.6</x:v>
      </x:c>
      <x:c r="E365" s="86" t="n">
        <x:v>4.4</x:v>
      </x:c>
      <x:c r="F365" s="86" t="n">
        <x:v>4.5</x:v>
      </x:c>
      <x:c r="G365" s="86" t="str">
        <x:v>Excepcional</x:v>
      </x:c>
      <x:c r="H365" s="86" t="str">
        <x:v>Alto</x:v>
      </x:c>
      <x:c r="I365" s="87" t="n">
        <x:v>1</x:v>
      </x:c>
    </x:row>
    <x:row r="366">
      <x:c r="A366" s="85" t="n">
        <x:v>365</x:v>
      </x:c>
      <x:c r="B366" s="86" t="n">
        <x:v>118</x:v>
      </x:c>
      <x:c r="C366" s="86" t="n">
        <x:v>2025</x:v>
      </x:c>
      <x:c r="D366" s="86" t="n">
        <x:v>4.7</x:v>
      </x:c>
      <x:c r="E366" s="86" t="n">
        <x:v>3.9</x:v>
      </x:c>
      <x:c r="F366" s="86" t="n">
        <x:v>4.4</x:v>
      </x:c>
      <x:c r="G366" s="86" t="str">
        <x:v>Acima do esperado</x:v>
      </x:c>
      <x:c r="H366" s="86" t="str">
        <x:v>Médio</x:v>
      </x:c>
      <x:c r="I366" s="87" t="n">
        <x:v>0</x:v>
      </x:c>
    </x:row>
    <x:row r="367">
      <x:c r="A367" s="85" t="n">
        <x:v>366</x:v>
      </x:c>
      <x:c r="B367" s="86" t="n">
        <x:v>120</x:v>
      </x:c>
      <x:c r="C367" s="86" t="n">
        <x:v>2025</x:v>
      </x:c>
      <x:c r="D367" s="86" t="n">
        <x:v>2.7</x:v>
      </x:c>
      <x:c r="E367" s="86" t="n">
        <x:v>2.8</x:v>
      </x:c>
      <x:c r="F367" s="86" t="n">
        <x:v>2.7</x:v>
      </x:c>
      <x:c r="G367" s="86" t="str">
        <x:v>Abaixo do esperado</x:v>
      </x:c>
      <x:c r="H367" s="86" t="str">
        <x:v>Médio</x:v>
      </x:c>
      <x:c r="I367" s="87" t="n">
        <x:v>1</x:v>
      </x:c>
    </x:row>
    <x:row r="368">
      <x:c r="A368" s="85" t="n">
        <x:v>367</x:v>
      </x:c>
      <x:c r="B368" s="86" t="n">
        <x:v>121</x:v>
      </x:c>
      <x:c r="C368" s="86" t="n">
        <x:v>2025</x:v>
      </x:c>
      <x:c r="D368" s="86" t="n">
        <x:v>4.6</x:v>
      </x:c>
      <x:c r="E368" s="86" t="n">
        <x:v>2.5</x:v>
      </x:c>
      <x:c r="F368" s="86" t="n">
        <x:v>3.8</x:v>
      </x:c>
      <x:c r="G368" s="86" t="str">
        <x:v>Acima do esperado</x:v>
      </x:c>
      <x:c r="H368" s="86" t="str">
        <x:v>Médio</x:v>
      </x:c>
      <x:c r="I368" s="87" t="n">
        <x:v>0</x:v>
      </x:c>
    </x:row>
    <x:row r="369">
      <x:c r="A369" s="85" t="n">
        <x:v>368</x:v>
      </x:c>
      <x:c r="B369" s="86" t="n">
        <x:v>122</x:v>
      </x:c>
      <x:c r="C369" s="86" t="n">
        <x:v>2025</x:v>
      </x:c>
      <x:c r="D369" s="86" t="n">
        <x:v>2.9</x:v>
      </x:c>
      <x:c r="E369" s="86" t="n">
        <x:v>2.6</x:v>
      </x:c>
      <x:c r="F369" s="86" t="n">
        <x:v>2.8</x:v>
      </x:c>
      <x:c r="G369" s="86" t="str">
        <x:v>Abaixo do esperado</x:v>
      </x:c>
      <x:c r="H369" s="86" t="str">
        <x:v>Médio</x:v>
      </x:c>
      <x:c r="I369" s="87" t="n">
        <x:v>1</x:v>
      </x:c>
    </x:row>
    <x:row r="370">
      <x:c r="A370" s="85" t="n">
        <x:v>369</x:v>
      </x:c>
      <x:c r="B370" s="86" t="n">
        <x:v>123</x:v>
      </x:c>
      <x:c r="C370" s="86" t="n">
        <x:v>2025</x:v>
      </x:c>
      <x:c r="D370" s="86" t="n">
        <x:v>3.7</x:v>
      </x:c>
      <x:c r="E370" s="86" t="n">
        <x:v>3.2</x:v>
      </x:c>
      <x:c r="F370" s="86" t="n">
        <x:v>3.5</x:v>
      </x:c>
      <x:c r="G370" s="86" t="str">
        <x:v>Dentro do esperado</x:v>
      </x:c>
      <x:c r="H370" s="86" t="str">
        <x:v>Médio</x:v>
      </x:c>
      <x:c r="I370" s="87" t="n">
        <x:v>0</x:v>
      </x:c>
    </x:row>
    <x:row r="371">
      <x:c r="A371" s="85" t="n">
        <x:v>370</x:v>
      </x:c>
      <x:c r="B371" s="86" t="n">
        <x:v>124</x:v>
      </x:c>
      <x:c r="C371" s="86" t="n">
        <x:v>2025</x:v>
      </x:c>
      <x:c r="D371" s="86" t="n">
        <x:v>2.9</x:v>
      </x:c>
      <x:c r="E371" s="86" t="n">
        <x:v>2.7</x:v>
      </x:c>
      <x:c r="F371" s="86" t="n">
        <x:v>2.8</x:v>
      </x:c>
      <x:c r="G371" s="86" t="str">
        <x:v>Abaixo do esperado</x:v>
      </x:c>
      <x:c r="H371" s="86" t="str">
        <x:v>Médio</x:v>
      </x:c>
      <x:c r="I371" s="87" t="n">
        <x:v>1</x:v>
      </x:c>
    </x:row>
    <x:row r="372">
      <x:c r="A372" s="85" t="n">
        <x:v>371</x:v>
      </x:c>
      <x:c r="B372" s="86" t="n">
        <x:v>125</x:v>
      </x:c>
      <x:c r="C372" s="86" t="n">
        <x:v>2025</x:v>
      </x:c>
      <x:c r="D372" s="86" t="n">
        <x:v>2.6</x:v>
      </x:c>
      <x:c r="E372" s="86" t="n">
        <x:v>2.7</x:v>
      </x:c>
      <x:c r="F372" s="86" t="n">
        <x:v>2.6</x:v>
      </x:c>
      <x:c r="G372" s="86" t="str">
        <x:v>Abaixo do esperado</x:v>
      </x:c>
      <x:c r="H372" s="86" t="str">
        <x:v>Médio</x:v>
      </x:c>
      <x:c r="I372" s="87" t="n">
        <x:v>1</x:v>
      </x:c>
    </x:row>
    <x:row r="373">
      <x:c r="A373" s="85" t="n">
        <x:v>372</x:v>
      </x:c>
      <x:c r="B373" s="86" t="n">
        <x:v>126</x:v>
      </x:c>
      <x:c r="C373" s="86" t="n">
        <x:v>2025</x:v>
      </x:c>
      <x:c r="D373" s="86" t="n">
        <x:v>3.7</x:v>
      </x:c>
      <x:c r="E373" s="86" t="n">
        <x:v>3.8</x:v>
      </x:c>
      <x:c r="F373" s="86" t="n">
        <x:v>3.7</x:v>
      </x:c>
      <x:c r="G373" s="86" t="str">
        <x:v>Dentro do esperado</x:v>
      </x:c>
      <x:c r="H373" s="86" t="str">
        <x:v>Médio</x:v>
      </x:c>
      <x:c r="I373" s="87" t="n">
        <x:v>0</x:v>
      </x:c>
    </x:row>
    <x:row r="374">
      <x:c r="A374" s="85" t="n">
        <x:v>373</x:v>
      </x:c>
      <x:c r="B374" s="86" t="n">
        <x:v>127</x:v>
      </x:c>
      <x:c r="C374" s="86" t="n">
        <x:v>2025</x:v>
      </x:c>
      <x:c r="D374" s="86" t="n">
        <x:v>3.5</x:v>
      </x:c>
      <x:c r="E374" s="86" t="n">
        <x:v>3.6</x:v>
      </x:c>
      <x:c r="F374" s="86" t="n">
        <x:v>3.5</x:v>
      </x:c>
      <x:c r="G374" s="86" t="str">
        <x:v>Dentro do esperado</x:v>
      </x:c>
      <x:c r="H374" s="86" t="str">
        <x:v>Baixo</x:v>
      </x:c>
      <x:c r="I374" s="87" t="n">
        <x:v>0</x:v>
      </x:c>
    </x:row>
    <x:row r="375">
      <x:c r="A375" s="85" t="n">
        <x:v>374</x:v>
      </x:c>
      <x:c r="B375" s="86" t="n">
        <x:v>128</x:v>
      </x:c>
      <x:c r="C375" s="86" t="n">
        <x:v>2025</x:v>
      </x:c>
      <x:c r="D375" s="86" t="n">
        <x:v>2.9</x:v>
      </x:c>
      <x:c r="E375" s="86" t="n">
        <x:v>4.2</x:v>
      </x:c>
      <x:c r="F375" s="86" t="n">
        <x:v>3.4</x:v>
      </x:c>
      <x:c r="G375" s="86" t="str">
        <x:v>Dentro do esperado</x:v>
      </x:c>
      <x:c r="H375" s="86" t="str">
        <x:v>Médio</x:v>
      </x:c>
      <x:c r="I375" s="87" t="n">
        <x:v>0</x:v>
      </x:c>
    </x:row>
    <x:row r="376">
      <x:c r="A376" s="85" t="n">
        <x:v>375</x:v>
      </x:c>
      <x:c r="B376" s="86" t="n">
        <x:v>130</x:v>
      </x:c>
      <x:c r="C376" s="86" t="n">
        <x:v>2025</x:v>
      </x:c>
      <x:c r="D376" s="86" t="n">
        <x:v>4.4</x:v>
      </x:c>
      <x:c r="E376" s="86" t="n">
        <x:v>4.6</x:v>
      </x:c>
      <x:c r="F376" s="86" t="n">
        <x:v>4.5</x:v>
      </x:c>
      <x:c r="G376" s="86" t="str">
        <x:v>Excepcional</x:v>
      </x:c>
      <x:c r="H376" s="86" t="str">
        <x:v>Médio</x:v>
      </x:c>
      <x:c r="I376" s="87" t="n">
        <x:v>0</x:v>
      </x:c>
    </x:row>
    <x:row r="377">
      <x:c r="A377" s="85" t="n">
        <x:v>376</x:v>
      </x:c>
      <x:c r="B377" s="86" t="n">
        <x:v>131</x:v>
      </x:c>
      <x:c r="C377" s="86" t="n">
        <x:v>2025</x:v>
      </x:c>
      <x:c r="D377" s="86" t="n">
        <x:v>2.7</x:v>
      </x:c>
      <x:c r="E377" s="86" t="n">
        <x:v>3.3</x:v>
      </x:c>
      <x:c r="F377" s="86" t="n">
        <x:v>2.9</x:v>
      </x:c>
      <x:c r="G377" s="86" t="str">
        <x:v>Abaixo do esperado</x:v>
      </x:c>
      <x:c r="H377" s="86" t="str">
        <x:v>Médio</x:v>
      </x:c>
      <x:c r="I377" s="87" t="n">
        <x:v>1</x:v>
      </x:c>
    </x:row>
    <x:row r="378">
      <x:c r="A378" s="85" t="n">
        <x:v>377</x:v>
      </x:c>
      <x:c r="B378" s="86" t="n">
        <x:v>132</x:v>
      </x:c>
      <x:c r="C378" s="86" t="n">
        <x:v>2025</x:v>
      </x:c>
      <x:c r="D378" s="86" t="n">
        <x:v>2.6</x:v>
      </x:c>
      <x:c r="E378" s="86" t="n">
        <x:v>2.6</x:v>
      </x:c>
      <x:c r="F378" s="86" t="n">
        <x:v>2.6</x:v>
      </x:c>
      <x:c r="G378" s="86" t="str">
        <x:v>Abaixo do esperado</x:v>
      </x:c>
      <x:c r="H378" s="86" t="str">
        <x:v>Médio</x:v>
      </x:c>
      <x:c r="I378" s="87" t="n">
        <x:v>1</x:v>
      </x:c>
    </x:row>
    <x:row r="379">
      <x:c r="A379" s="85" t="n">
        <x:v>378</x:v>
      </x:c>
      <x:c r="B379" s="86" t="n">
        <x:v>133</x:v>
      </x:c>
      <x:c r="C379" s="86" t="n">
        <x:v>2025</x:v>
      </x:c>
      <x:c r="D379" s="86" t="n">
        <x:v>2.8</x:v>
      </x:c>
      <x:c r="E379" s="86" t="n">
        <x:v>4.3</x:v>
      </x:c>
      <x:c r="F379" s="86" t="n">
        <x:v>3.4</x:v>
      </x:c>
      <x:c r="G379" s="86" t="str">
        <x:v>Dentro do esperado</x:v>
      </x:c>
      <x:c r="H379" s="86" t="str">
        <x:v>Alto</x:v>
      </x:c>
      <x:c r="I379" s="87" t="n">
        <x:v>1</x:v>
      </x:c>
    </x:row>
    <x:row r="380">
      <x:c r="A380" s="85" t="n">
        <x:v>379</x:v>
      </x:c>
      <x:c r="B380" s="86" t="n">
        <x:v>134</x:v>
      </x:c>
      <x:c r="C380" s="86" t="n">
        <x:v>2025</x:v>
      </x:c>
      <x:c r="D380" s="86" t="n">
        <x:v>4.5</x:v>
      </x:c>
      <x:c r="E380" s="86" t="n">
        <x:v>2.5</x:v>
      </x:c>
      <x:c r="F380" s="86" t="n">
        <x:v>3.7</x:v>
      </x:c>
      <x:c r="G380" s="86" t="str">
        <x:v>Dentro do esperado</x:v>
      </x:c>
      <x:c r="H380" s="86" t="str">
        <x:v>Baixo</x:v>
      </x:c>
      <x:c r="I380" s="87" t="n">
        <x:v>0</x:v>
      </x:c>
    </x:row>
    <x:row r="381">
      <x:c r="A381" s="85" t="n">
        <x:v>380</x:v>
      </x:c>
      <x:c r="B381" s="86" t="n">
        <x:v>135</x:v>
      </x:c>
      <x:c r="C381" s="86" t="n">
        <x:v>2025</x:v>
      </x:c>
      <x:c r="D381" s="86" t="n">
        <x:v>4.6</x:v>
      </x:c>
      <x:c r="E381" s="86" t="n">
        <x:v>3</x:v>
      </x:c>
      <x:c r="F381" s="86" t="n">
        <x:v>4</x:v>
      </x:c>
      <x:c r="G381" s="86" t="str">
        <x:v>Acima do esperado</x:v>
      </x:c>
      <x:c r="H381" s="86" t="str">
        <x:v>Médio</x:v>
      </x:c>
      <x:c r="I381" s="87" t="n">
        <x:v>0</x:v>
      </x:c>
    </x:row>
    <x:row r="382">
      <x:c r="A382" s="85" t="n">
        <x:v>381</x:v>
      </x:c>
      <x:c r="B382" s="86" t="n">
        <x:v>136</x:v>
      </x:c>
      <x:c r="C382" s="86" t="n">
        <x:v>2025</x:v>
      </x:c>
      <x:c r="D382" s="86" t="n">
        <x:v>2.4</x:v>
      </x:c>
      <x:c r="E382" s="86" t="n">
        <x:v>3.1</x:v>
      </x:c>
      <x:c r="F382" s="86" t="n">
        <x:v>2.7</x:v>
      </x:c>
      <x:c r="G382" s="86" t="str">
        <x:v>Abaixo do esperado</x:v>
      </x:c>
      <x:c r="H382" s="86" t="str">
        <x:v>Médio</x:v>
      </x:c>
      <x:c r="I382" s="87" t="n">
        <x:v>1</x:v>
      </x:c>
    </x:row>
    <x:row r="383">
      <x:c r="A383" s="85" t="n">
        <x:v>382</x:v>
      </x:c>
      <x:c r="B383" s="86" t="n">
        <x:v>137</x:v>
      </x:c>
      <x:c r="C383" s="86" t="n">
        <x:v>2025</x:v>
      </x:c>
      <x:c r="D383" s="86" t="n">
        <x:v>3.7</x:v>
      </x:c>
      <x:c r="E383" s="86" t="n">
        <x:v>4.7</x:v>
      </x:c>
      <x:c r="F383" s="86" t="n">
        <x:v>4.1</x:v>
      </x:c>
      <x:c r="G383" s="86" t="str">
        <x:v>Acima do esperado</x:v>
      </x:c>
      <x:c r="H383" s="86" t="str">
        <x:v>Baixo</x:v>
      </x:c>
      <x:c r="I383" s="87" t="n">
        <x:v>0</x:v>
      </x:c>
    </x:row>
    <x:row r="384">
      <x:c r="A384" s="85" t="n">
        <x:v>383</x:v>
      </x:c>
      <x:c r="B384" s="86" t="n">
        <x:v>138</x:v>
      </x:c>
      <x:c r="C384" s="86" t="n">
        <x:v>2025</x:v>
      </x:c>
      <x:c r="D384" s="86" t="n">
        <x:v>4.9</x:v>
      </x:c>
      <x:c r="E384" s="86" t="n">
        <x:v>4.7</x:v>
      </x:c>
      <x:c r="F384" s="86" t="n">
        <x:v>4.8</x:v>
      </x:c>
      <x:c r="G384" s="86" t="str">
        <x:v>Excepcional</x:v>
      </x:c>
      <x:c r="H384" s="86" t="str">
        <x:v>Médio</x:v>
      </x:c>
      <x:c r="I384" s="87" t="n">
        <x:v>0</x:v>
      </x:c>
    </x:row>
    <x:row r="385">
      <x:c r="A385" s="85" t="n">
        <x:v>384</x:v>
      </x:c>
      <x:c r="B385" s="86" t="n">
        <x:v>139</x:v>
      </x:c>
      <x:c r="C385" s="86" t="n">
        <x:v>2025</x:v>
      </x:c>
      <x:c r="D385" s="86" t="n">
        <x:v>4.2</x:v>
      </x:c>
      <x:c r="E385" s="86" t="n">
        <x:v>4.1</x:v>
      </x:c>
      <x:c r="F385" s="86" t="n">
        <x:v>4.2</x:v>
      </x:c>
      <x:c r="G385" s="86" t="str">
        <x:v>Acima do esperado</x:v>
      </x:c>
      <x:c r="H385" s="86" t="str">
        <x:v>Alto</x:v>
      </x:c>
      <x:c r="I385" s="87" t="n">
        <x:v>1</x:v>
      </x:c>
    </x:row>
    <x:row r="386">
      <x:c r="A386" s="85" t="n">
        <x:v>385</x:v>
      </x:c>
      <x:c r="B386" s="86" t="n">
        <x:v>140</x:v>
      </x:c>
      <x:c r="C386" s="86" t="n">
        <x:v>2025</x:v>
      </x:c>
      <x:c r="D386" s="86" t="n">
        <x:v>4.7</x:v>
      </x:c>
      <x:c r="E386" s="86" t="n">
        <x:v>3.1</x:v>
      </x:c>
      <x:c r="F386" s="86" t="n">
        <x:v>4.1</x:v>
      </x:c>
      <x:c r="G386" s="86" t="str">
        <x:v>Acima do esperado</x:v>
      </x:c>
      <x:c r="H386" s="86" t="str">
        <x:v>Médio</x:v>
      </x:c>
      <x:c r="I386" s="87" t="n">
        <x:v>0</x:v>
      </x:c>
    </x:row>
    <x:row r="387">
      <x:c r="A387" s="85" t="n">
        <x:v>386</x:v>
      </x:c>
      <x:c r="B387" s="86" t="n">
        <x:v>142</x:v>
      </x:c>
      <x:c r="C387" s="86" t="n">
        <x:v>2025</x:v>
      </x:c>
      <x:c r="D387" s="86" t="n">
        <x:v>3</x:v>
      </x:c>
      <x:c r="E387" s="86" t="n">
        <x:v>4.3</x:v>
      </x:c>
      <x:c r="F387" s="86" t="n">
        <x:v>3.5</x:v>
      </x:c>
      <x:c r="G387" s="86" t="str">
        <x:v>Dentro do esperado</x:v>
      </x:c>
      <x:c r="H387" s="86" t="str">
        <x:v>Médio</x:v>
      </x:c>
      <x:c r="I387" s="87" t="n">
        <x:v>0</x:v>
      </x:c>
    </x:row>
    <x:row r="388">
      <x:c r="A388" s="85" t="n">
        <x:v>387</x:v>
      </x:c>
      <x:c r="B388" s="86" t="n">
        <x:v>143</x:v>
      </x:c>
      <x:c r="C388" s="86" t="n">
        <x:v>2025</x:v>
      </x:c>
      <x:c r="D388" s="86" t="n">
        <x:v>4.3</x:v>
      </x:c>
      <x:c r="E388" s="86" t="n">
        <x:v>2.9</x:v>
      </x:c>
      <x:c r="F388" s="86" t="n">
        <x:v>3.7</x:v>
      </x:c>
      <x:c r="G388" s="86" t="str">
        <x:v>Dentro do esperado</x:v>
      </x:c>
      <x:c r="H388" s="86" t="str">
        <x:v>Médio</x:v>
      </x:c>
      <x:c r="I388" s="87" t="n">
        <x:v>0</x:v>
      </x:c>
    </x:row>
    <x:row r="389">
      <x:c r="A389" s="85" t="n">
        <x:v>388</x:v>
      </x:c>
      <x:c r="B389" s="86" t="n">
        <x:v>144</x:v>
      </x:c>
      <x:c r="C389" s="86" t="n">
        <x:v>2025</x:v>
      </x:c>
      <x:c r="D389" s="86" t="n">
        <x:v>4.7</x:v>
      </x:c>
      <x:c r="E389" s="86" t="n">
        <x:v>2.6</x:v>
      </x:c>
      <x:c r="F389" s="86" t="n">
        <x:v>3.9</x:v>
      </x:c>
      <x:c r="G389" s="86" t="str">
        <x:v>Acima do esperado</x:v>
      </x:c>
      <x:c r="H389" s="86" t="str">
        <x:v>Médio</x:v>
      </x:c>
      <x:c r="I389" s="87" t="n">
        <x:v>0</x:v>
      </x:c>
    </x:row>
    <x:row r="390">
      <x:c r="A390" s="85" t="n">
        <x:v>389</x:v>
      </x:c>
      <x:c r="B390" s="86" t="n">
        <x:v>145</x:v>
      </x:c>
      <x:c r="C390" s="86" t="n">
        <x:v>2025</x:v>
      </x:c>
      <x:c r="D390" s="86" t="n">
        <x:v>4.3</x:v>
      </x:c>
      <x:c r="E390" s="86" t="n">
        <x:v>4.6</x:v>
      </x:c>
      <x:c r="F390" s="86" t="n">
        <x:v>4.4</x:v>
      </x:c>
      <x:c r="G390" s="86" t="str">
        <x:v>Acima do esperado</x:v>
      </x:c>
      <x:c r="H390" s="86" t="str">
        <x:v>Baixo</x:v>
      </x:c>
      <x:c r="I390" s="87" t="n">
        <x:v>0</x:v>
      </x:c>
    </x:row>
    <x:row r="391">
      <x:c r="A391" s="85" t="n">
        <x:v>390</x:v>
      </x:c>
      <x:c r="B391" s="86" t="n">
        <x:v>146</x:v>
      </x:c>
      <x:c r="C391" s="86" t="n">
        <x:v>2025</x:v>
      </x:c>
      <x:c r="D391" s="86" t="n">
        <x:v>4.2</x:v>
      </x:c>
      <x:c r="E391" s="86" t="n">
        <x:v>2.8</x:v>
      </x:c>
      <x:c r="F391" s="86" t="n">
        <x:v>3.6</x:v>
      </x:c>
      <x:c r="G391" s="86" t="str">
        <x:v>Dentro do esperado</x:v>
      </x:c>
      <x:c r="H391" s="86" t="str">
        <x:v>Médio</x:v>
      </x:c>
      <x:c r="I391" s="87" t="n">
        <x:v>0</x:v>
      </x:c>
    </x:row>
    <x:row r="392">
      <x:c r="A392" s="85" t="n">
        <x:v>391</x:v>
      </x:c>
      <x:c r="B392" s="86" t="n">
        <x:v>147</x:v>
      </x:c>
      <x:c r="C392" s="86" t="n">
        <x:v>2025</x:v>
      </x:c>
      <x:c r="D392" s="86" t="n">
        <x:v>4.9</x:v>
      </x:c>
      <x:c r="E392" s="86" t="n">
        <x:v>3.1</x:v>
      </x:c>
      <x:c r="F392" s="86" t="n">
        <x:v>4.2</x:v>
      </x:c>
      <x:c r="G392" s="86" t="str">
        <x:v>Acima do esperado</x:v>
      </x:c>
      <x:c r="H392" s="86" t="str">
        <x:v>Alto</x:v>
      </x:c>
      <x:c r="I392" s="87" t="n">
        <x:v>1</x:v>
      </x:c>
    </x:row>
    <x:row r="393">
      <x:c r="A393" s="85" t="n">
        <x:v>392</x:v>
      </x:c>
      <x:c r="B393" s="86" t="n">
        <x:v>148</x:v>
      </x:c>
      <x:c r="C393" s="86" t="n">
        <x:v>2025</x:v>
      </x:c>
      <x:c r="D393" s="86" t="n">
        <x:v>2.6</x:v>
      </x:c>
      <x:c r="E393" s="86" t="n">
        <x:v>2.7</x:v>
      </x:c>
      <x:c r="F393" s="86" t="n">
        <x:v>2.6</x:v>
      </x:c>
      <x:c r="G393" s="86" t="str">
        <x:v>Abaixo do esperado</x:v>
      </x:c>
      <x:c r="H393" s="86" t="str">
        <x:v>Médio</x:v>
      </x:c>
      <x:c r="I393" s="87" t="n">
        <x:v>1</x:v>
      </x:c>
    </x:row>
    <x:row r="394">
      <x:c r="A394" s="85" t="n">
        <x:v>393</x:v>
      </x:c>
      <x:c r="B394" s="86" t="n">
        <x:v>149</x:v>
      </x:c>
      <x:c r="C394" s="86" t="n">
        <x:v>2025</x:v>
      </x:c>
      <x:c r="D394" s="86" t="n">
        <x:v>4</x:v>
      </x:c>
      <x:c r="E394" s="86" t="n">
        <x:v>4.2</x:v>
      </x:c>
      <x:c r="F394" s="86" t="n">
        <x:v>4.1</x:v>
      </x:c>
      <x:c r="G394" s="86" t="str">
        <x:v>Acima do esperado</x:v>
      </x:c>
      <x:c r="H394" s="86" t="str">
        <x:v>Médio</x:v>
      </x:c>
      <x:c r="I394" s="87" t="n">
        <x:v>0</x:v>
      </x:c>
    </x:row>
    <x:row r="395">
      <x:c r="A395" s="85" t="n">
        <x:v>394</x:v>
      </x:c>
      <x:c r="B395" s="86" t="n">
        <x:v>150</x:v>
      </x:c>
      <x:c r="C395" s="86" t="n">
        <x:v>2025</x:v>
      </x:c>
      <x:c r="D395" s="86" t="n">
        <x:v>3.6</x:v>
      </x:c>
      <x:c r="E395" s="86" t="n">
        <x:v>2.8</x:v>
      </x:c>
      <x:c r="F395" s="86" t="n">
        <x:v>3.3</x:v>
      </x:c>
      <x:c r="G395" s="86" t="str">
        <x:v>Dentro do esperado</x:v>
      </x:c>
      <x:c r="H395" s="86" t="str">
        <x:v>Médio</x:v>
      </x:c>
      <x:c r="I395" s="87" t="n">
        <x:v>0</x:v>
      </x:c>
    </x:row>
    <x:row r="396">
      <x:c r="A396" s="85" t="n">
        <x:v>395</x:v>
      </x:c>
      <x:c r="B396" s="86" t="n">
        <x:v>151</x:v>
      </x:c>
      <x:c r="C396" s="86" t="n">
        <x:v>2025</x:v>
      </x:c>
      <x:c r="D396" s="86" t="n">
        <x:v>3.8</x:v>
      </x:c>
      <x:c r="E396" s="86" t="n">
        <x:v>3.7</x:v>
      </x:c>
      <x:c r="F396" s="86" t="n">
        <x:v>3.8</x:v>
      </x:c>
      <x:c r="G396" s="86" t="str">
        <x:v>Acima do esperado</x:v>
      </x:c>
      <x:c r="H396" s="86" t="str">
        <x:v>Baixo</x:v>
      </x:c>
      <x:c r="I396" s="87" t="n">
        <x:v>0</x:v>
      </x:c>
    </x:row>
    <x:row r="397">
      <x:c r="A397" s="85" t="n">
        <x:v>396</x:v>
      </x:c>
      <x:c r="B397" s="86" t="n">
        <x:v>152</x:v>
      </x:c>
      <x:c r="C397" s="86" t="n">
        <x:v>2025</x:v>
      </x:c>
      <x:c r="D397" s="86" t="n">
        <x:v>3.2</x:v>
      </x:c>
      <x:c r="E397" s="86" t="n">
        <x:v>4.4</x:v>
      </x:c>
      <x:c r="F397" s="86" t="n">
        <x:v>3.7</x:v>
      </x:c>
      <x:c r="G397" s="86" t="str">
        <x:v>Dentro do esperado</x:v>
      </x:c>
      <x:c r="H397" s="86" t="str">
        <x:v>Médio</x:v>
      </x:c>
      <x:c r="I397" s="87" t="n">
        <x:v>0</x:v>
      </x:c>
    </x:row>
    <x:row r="398">
      <x:c r="A398" s="85" t="n">
        <x:v>397</x:v>
      </x:c>
      <x:c r="B398" s="86" t="n">
        <x:v>153</x:v>
      </x:c>
      <x:c r="C398" s="86" t="n">
        <x:v>2025</x:v>
      </x:c>
      <x:c r="D398" s="86" t="n">
        <x:v>2.6</x:v>
      </x:c>
      <x:c r="E398" s="86" t="n">
        <x:v>2.5</x:v>
      </x:c>
      <x:c r="F398" s="86" t="n">
        <x:v>2.6</x:v>
      </x:c>
      <x:c r="G398" s="86" t="str">
        <x:v>Abaixo do esperado</x:v>
      </x:c>
      <x:c r="H398" s="86" t="str">
        <x:v>Alto</x:v>
      </x:c>
      <x:c r="I398" s="87" t="n">
        <x:v>1</x:v>
      </x:c>
    </x:row>
    <x:row r="399">
      <x:c r="A399" s="85" t="n">
        <x:v>398</x:v>
      </x:c>
      <x:c r="B399" s="86" t="n">
        <x:v>154</x:v>
      </x:c>
      <x:c r="C399" s="86" t="n">
        <x:v>2025</x:v>
      </x:c>
      <x:c r="D399" s="86" t="n">
        <x:v>2.7</x:v>
      </x:c>
      <x:c r="E399" s="86" t="n">
        <x:v>3.7</x:v>
      </x:c>
      <x:c r="F399" s="86" t="n">
        <x:v>3.1</x:v>
      </x:c>
      <x:c r="G399" s="86" t="str">
        <x:v>Dentro do esperado</x:v>
      </x:c>
      <x:c r="H399" s="86" t="str">
        <x:v>Médio</x:v>
      </x:c>
      <x:c r="I399" s="87" t="n">
        <x:v>1</x:v>
      </x:c>
    </x:row>
    <x:row r="400">
      <x:c r="A400" s="85" t="n">
        <x:v>399</x:v>
      </x:c>
      <x:c r="B400" s="86" t="n">
        <x:v>155</x:v>
      </x:c>
      <x:c r="C400" s="86" t="n">
        <x:v>2025</x:v>
      </x:c>
      <x:c r="D400" s="86" t="n">
        <x:v>3.4</x:v>
      </x:c>
      <x:c r="E400" s="86" t="n">
        <x:v>3.4</x:v>
      </x:c>
      <x:c r="F400" s="86" t="n">
        <x:v>3.4</x:v>
      </x:c>
      <x:c r="G400" s="86" t="str">
        <x:v>Dentro do esperado</x:v>
      </x:c>
      <x:c r="H400" s="86" t="str">
        <x:v>Médio</x:v>
      </x:c>
      <x:c r="I400" s="87" t="n">
        <x:v>0</x:v>
      </x:c>
    </x:row>
    <x:row r="401">
      <x:c r="A401" s="85" t="n">
        <x:v>400</x:v>
      </x:c>
      <x:c r="B401" s="86" t="n">
        <x:v>156</x:v>
      </x:c>
      <x:c r="C401" s="86" t="n">
        <x:v>2025</x:v>
      </x:c>
      <x:c r="D401" s="86" t="n">
        <x:v>3</x:v>
      </x:c>
      <x:c r="E401" s="86" t="n">
        <x:v>3.4</x:v>
      </x:c>
      <x:c r="F401" s="86" t="n">
        <x:v>3.2</x:v>
      </x:c>
      <x:c r="G401" s="86" t="str">
        <x:v>Dentro do esperado</x:v>
      </x:c>
      <x:c r="H401" s="86" t="str">
        <x:v>Médio</x:v>
      </x:c>
      <x:c r="I401" s="87" t="n">
        <x:v>0</x:v>
      </x:c>
    </x:row>
    <x:row r="402">
      <x:c r="A402" s="85" t="n">
        <x:v>401</x:v>
      </x:c>
      <x:c r="B402" s="86" t="n">
        <x:v>157</x:v>
      </x:c>
      <x:c r="C402" s="86" t="n">
        <x:v>2025</x:v>
      </x:c>
      <x:c r="D402" s="86" t="n">
        <x:v>4.3</x:v>
      </x:c>
      <x:c r="E402" s="86" t="n">
        <x:v>4.7</x:v>
      </x:c>
      <x:c r="F402" s="86" t="n">
        <x:v>4.5</x:v>
      </x:c>
      <x:c r="G402" s="86" t="str">
        <x:v>Excepcional</x:v>
      </x:c>
      <x:c r="H402" s="86" t="str">
        <x:v>Médio</x:v>
      </x:c>
      <x:c r="I402" s="87" t="n">
        <x:v>0</x:v>
      </x:c>
    </x:row>
    <x:row r="403">
      <x:c r="A403" s="85" t="n">
        <x:v>402</x:v>
      </x:c>
      <x:c r="B403" s="86" t="n">
        <x:v>159</x:v>
      </x:c>
      <x:c r="C403" s="86" t="n">
        <x:v>2025</x:v>
      </x:c>
      <x:c r="D403" s="86" t="n">
        <x:v>4.5</x:v>
      </x:c>
      <x:c r="E403" s="86" t="n">
        <x:v>4.4</x:v>
      </x:c>
      <x:c r="F403" s="86" t="n">
        <x:v>4.5</x:v>
      </x:c>
      <x:c r="G403" s="86" t="str">
        <x:v>Excepcional</x:v>
      </x:c>
      <x:c r="H403" s="86" t="str">
        <x:v>Médio</x:v>
      </x:c>
      <x:c r="I403" s="87" t="n">
        <x:v>0</x:v>
      </x:c>
    </x:row>
    <x:row r="404">
      <x:c r="A404" s="85" t="n">
        <x:v>403</x:v>
      </x:c>
      <x:c r="B404" s="86" t="n">
        <x:v>160</x:v>
      </x:c>
      <x:c r="C404" s="86" t="n">
        <x:v>2025</x:v>
      </x:c>
      <x:c r="D404" s="86" t="n">
        <x:v>3.5</x:v>
      </x:c>
      <x:c r="E404" s="86" t="n">
        <x:v>4.7</x:v>
      </x:c>
      <x:c r="F404" s="86" t="n">
        <x:v>4</x:v>
      </x:c>
      <x:c r="G404" s="86" t="str">
        <x:v>Acima do esperado</x:v>
      </x:c>
      <x:c r="H404" s="86" t="str">
        <x:v>Médio</x:v>
      </x:c>
      <x:c r="I404" s="87" t="n">
        <x:v>0</x:v>
      </x:c>
    </x:row>
    <x:row r="405">
      <x:c r="A405" s="85" t="n">
        <x:v>404</x:v>
      </x:c>
      <x:c r="B405" s="86" t="n">
        <x:v>161</x:v>
      </x:c>
      <x:c r="C405" s="86" t="n">
        <x:v>2025</x:v>
      </x:c>
      <x:c r="D405" s="86" t="n">
        <x:v>2.4</x:v>
      </x:c>
      <x:c r="E405" s="86" t="n">
        <x:v>4</x:v>
      </x:c>
      <x:c r="F405" s="86" t="n">
        <x:v>3</x:v>
      </x:c>
      <x:c r="G405" s="86" t="str">
        <x:v>Dentro do esperado</x:v>
      </x:c>
      <x:c r="H405" s="86" t="str">
        <x:v>Alto</x:v>
      </x:c>
      <x:c r="I405" s="87" t="n">
        <x:v>1</x:v>
      </x:c>
    </x:row>
    <x:row r="406">
      <x:c r="A406" s="85" t="n">
        <x:v>405</x:v>
      </x:c>
      <x:c r="B406" s="86" t="n">
        <x:v>162</x:v>
      </x:c>
      <x:c r="C406" s="86" t="n">
        <x:v>2025</x:v>
      </x:c>
      <x:c r="D406" s="86" t="n">
        <x:v>2.4</x:v>
      </x:c>
      <x:c r="E406" s="86" t="n">
        <x:v>4.9</x:v>
      </x:c>
      <x:c r="F406" s="86" t="n">
        <x:v>3.4</x:v>
      </x:c>
      <x:c r="G406" s="86" t="str">
        <x:v>Dentro do esperado</x:v>
      </x:c>
      <x:c r="H406" s="86" t="str">
        <x:v>Médio</x:v>
      </x:c>
      <x:c r="I406" s="87" t="n">
        <x:v>0</x:v>
      </x:c>
    </x:row>
    <x:row r="407">
      <x:c r="A407" s="85" t="n">
        <x:v>406</x:v>
      </x:c>
      <x:c r="B407" s="86" t="n">
        <x:v>163</x:v>
      </x:c>
      <x:c r="C407" s="86" t="n">
        <x:v>2025</x:v>
      </x:c>
      <x:c r="D407" s="86" t="n">
        <x:v>4.6</x:v>
      </x:c>
      <x:c r="E407" s="86" t="n">
        <x:v>3.3</x:v>
      </x:c>
      <x:c r="F407" s="86" t="n">
        <x:v>4.1</x:v>
      </x:c>
      <x:c r="G407" s="86" t="str">
        <x:v>Acima do esperado</x:v>
      </x:c>
      <x:c r="H407" s="86" t="str">
        <x:v>Alto</x:v>
      </x:c>
      <x:c r="I407" s="87" t="n">
        <x:v>1</x:v>
      </x:c>
    </x:row>
    <x:row r="408">
      <x:c r="A408" s="85" t="n">
        <x:v>407</x:v>
      </x:c>
      <x:c r="B408" s="86" t="n">
        <x:v>164</x:v>
      </x:c>
      <x:c r="C408" s="86" t="n">
        <x:v>2025</x:v>
      </x:c>
      <x:c r="D408" s="86" t="n">
        <x:v>4.5</x:v>
      </x:c>
      <x:c r="E408" s="86" t="n">
        <x:v>4.2</x:v>
      </x:c>
      <x:c r="F408" s="86" t="n">
        <x:v>4.4</x:v>
      </x:c>
      <x:c r="G408" s="86" t="str">
        <x:v>Acima do esperado</x:v>
      </x:c>
      <x:c r="H408" s="86" t="str">
        <x:v>Médio</x:v>
      </x:c>
      <x:c r="I408" s="87" t="n">
        <x:v>0</x:v>
      </x:c>
    </x:row>
    <x:row r="409">
      <x:c r="A409" s="85" t="n">
        <x:v>408</x:v>
      </x:c>
      <x:c r="B409" s="86" t="n">
        <x:v>165</x:v>
      </x:c>
      <x:c r="C409" s="86" t="n">
        <x:v>2025</x:v>
      </x:c>
      <x:c r="D409" s="86" t="n">
        <x:v>3.8</x:v>
      </x:c>
      <x:c r="E409" s="86" t="n">
        <x:v>2.4</x:v>
      </x:c>
      <x:c r="F409" s="86" t="n">
        <x:v>3.2</x:v>
      </x:c>
      <x:c r="G409" s="86" t="str">
        <x:v>Dentro do esperado</x:v>
      </x:c>
      <x:c r="H409" s="86" t="str">
        <x:v>Médio</x:v>
      </x:c>
      <x:c r="I409" s="87" t="n">
        <x:v>0</x:v>
      </x:c>
    </x:row>
    <x:row r="410">
      <x:c r="A410" s="85" t="n">
        <x:v>409</x:v>
      </x:c>
      <x:c r="B410" s="86" t="n">
        <x:v>166</x:v>
      </x:c>
      <x:c r="C410" s="86" t="n">
        <x:v>2025</x:v>
      </x:c>
      <x:c r="D410" s="86" t="n">
        <x:v>3.1</x:v>
      </x:c>
      <x:c r="E410" s="86" t="n">
        <x:v>3.3</x:v>
      </x:c>
      <x:c r="F410" s="86" t="n">
        <x:v>3.2</x:v>
      </x:c>
      <x:c r="G410" s="86" t="str">
        <x:v>Dentro do esperado</x:v>
      </x:c>
      <x:c r="H410" s="86" t="str">
        <x:v>Alto</x:v>
      </x:c>
      <x:c r="I410" s="87" t="n">
        <x:v>1</x:v>
      </x:c>
    </x:row>
    <x:row r="411">
      <x:c r="A411" s="85" t="n">
        <x:v>410</x:v>
      </x:c>
      <x:c r="B411" s="86" t="n">
        <x:v>168</x:v>
      </x:c>
      <x:c r="C411" s="86" t="n">
        <x:v>2025</x:v>
      </x:c>
      <x:c r="D411" s="86" t="n">
        <x:v>4</x:v>
      </x:c>
      <x:c r="E411" s="86" t="n">
        <x:v>4</x:v>
      </x:c>
      <x:c r="F411" s="86" t="n">
        <x:v>4</x:v>
      </x:c>
      <x:c r="G411" s="86" t="str">
        <x:v>Acima do esperado</x:v>
      </x:c>
      <x:c r="H411" s="86" t="str">
        <x:v>Médio</x:v>
      </x:c>
      <x:c r="I411" s="87" t="n">
        <x:v>0</x:v>
      </x:c>
    </x:row>
    <x:row r="412">
      <x:c r="A412" s="85" t="n">
        <x:v>411</x:v>
      </x:c>
      <x:c r="B412" s="86" t="n">
        <x:v>169</x:v>
      </x:c>
      <x:c r="C412" s="86" t="n">
        <x:v>2025</x:v>
      </x:c>
      <x:c r="D412" s="86" t="n">
        <x:v>2.7</x:v>
      </x:c>
      <x:c r="E412" s="86" t="n">
        <x:v>2.5</x:v>
      </x:c>
      <x:c r="F412" s="86" t="n">
        <x:v>2.6</x:v>
      </x:c>
      <x:c r="G412" s="86" t="str">
        <x:v>Abaixo do esperado</x:v>
      </x:c>
      <x:c r="H412" s="86" t="str">
        <x:v>Alto</x:v>
      </x:c>
      <x:c r="I412" s="87" t="n">
        <x:v>1</x:v>
      </x:c>
    </x:row>
    <x:row r="413">
      <x:c r="A413" s="85" t="n">
        <x:v>412</x:v>
      </x:c>
      <x:c r="B413" s="86" t="n">
        <x:v>170</x:v>
      </x:c>
      <x:c r="C413" s="86" t="n">
        <x:v>2025</x:v>
      </x:c>
      <x:c r="D413" s="86" t="n">
        <x:v>3.5</x:v>
      </x:c>
      <x:c r="E413" s="86" t="n">
        <x:v>4.7</x:v>
      </x:c>
      <x:c r="F413" s="86" t="n">
        <x:v>4</x:v>
      </x:c>
      <x:c r="G413" s="86" t="str">
        <x:v>Acima do esperado</x:v>
      </x:c>
      <x:c r="H413" s="86" t="str">
        <x:v>Médio</x:v>
      </x:c>
      <x:c r="I413" s="87" t="n">
        <x:v>0</x:v>
      </x:c>
    </x:row>
    <x:row r="414">
      <x:c r="A414" s="85" t="n">
        <x:v>413</x:v>
      </x:c>
      <x:c r="B414" s="86" t="n">
        <x:v>171</x:v>
      </x:c>
      <x:c r="C414" s="86" t="n">
        <x:v>2025</x:v>
      </x:c>
      <x:c r="D414" s="86" t="n">
        <x:v>2.3</x:v>
      </x:c>
      <x:c r="E414" s="86" t="n">
        <x:v>3.5</x:v>
      </x:c>
      <x:c r="F414" s="86" t="n">
        <x:v>2.8</x:v>
      </x:c>
      <x:c r="G414" s="86" t="str">
        <x:v>Abaixo do esperado</x:v>
      </x:c>
      <x:c r="H414" s="86" t="str">
        <x:v>Alto</x:v>
      </x:c>
      <x:c r="I414" s="87" t="n">
        <x:v>1</x:v>
      </x:c>
    </x:row>
    <x:row r="415">
      <x:c r="A415" s="85" t="n">
        <x:v>414</x:v>
      </x:c>
      <x:c r="B415" s="86" t="n">
        <x:v>172</x:v>
      </x:c>
      <x:c r="C415" s="86" t="n">
        <x:v>2025</x:v>
      </x:c>
      <x:c r="D415" s="86" t="n">
        <x:v>3.4</x:v>
      </x:c>
      <x:c r="E415" s="86" t="n">
        <x:v>4.5</x:v>
      </x:c>
      <x:c r="F415" s="86" t="n">
        <x:v>3.8</x:v>
      </x:c>
      <x:c r="G415" s="86" t="str">
        <x:v>Acima do esperado</x:v>
      </x:c>
      <x:c r="H415" s="86" t="str">
        <x:v>Médio</x:v>
      </x:c>
      <x:c r="I415" s="87" t="n">
        <x:v>0</x:v>
      </x:c>
    </x:row>
    <x:row r="416">
      <x:c r="A416" s="85" t="n">
        <x:v>415</x:v>
      </x:c>
      <x:c r="B416" s="86" t="n">
        <x:v>174</x:v>
      </x:c>
      <x:c r="C416" s="86" t="n">
        <x:v>2025</x:v>
      </x:c>
      <x:c r="D416" s="86" t="n">
        <x:v>3.4</x:v>
      </x:c>
      <x:c r="E416" s="86" t="n">
        <x:v>3.1</x:v>
      </x:c>
      <x:c r="F416" s="86" t="n">
        <x:v>3.3</x:v>
      </x:c>
      <x:c r="G416" s="86" t="str">
        <x:v>Dentro do esperado</x:v>
      </x:c>
      <x:c r="H416" s="86" t="str">
        <x:v>Médio</x:v>
      </x:c>
      <x:c r="I416" s="87" t="n">
        <x:v>0</x:v>
      </x:c>
    </x:row>
    <x:row r="417">
      <x:c r="A417" s="85" t="n">
        <x:v>416</x:v>
      </x:c>
      <x:c r="B417" s="86" t="n">
        <x:v>175</x:v>
      </x:c>
      <x:c r="C417" s="86" t="n">
        <x:v>2025</x:v>
      </x:c>
      <x:c r="D417" s="86" t="n">
        <x:v>3.8</x:v>
      </x:c>
      <x:c r="E417" s="86" t="n">
        <x:v>2.4</x:v>
      </x:c>
      <x:c r="F417" s="86" t="n">
        <x:v>3.2</x:v>
      </x:c>
      <x:c r="G417" s="86" t="str">
        <x:v>Dentro do esperado</x:v>
      </x:c>
      <x:c r="H417" s="86" t="str">
        <x:v>Alto</x:v>
      </x:c>
      <x:c r="I417" s="87" t="n">
        <x:v>1</x:v>
      </x:c>
    </x:row>
    <x:row r="418">
      <x:c r="A418" s="85" t="n">
        <x:v>417</x:v>
      </x:c>
      <x:c r="B418" s="86" t="n">
        <x:v>176</x:v>
      </x:c>
      <x:c r="C418" s="86" t="n">
        <x:v>2025</x:v>
      </x:c>
      <x:c r="D418" s="86" t="n">
        <x:v>4.2</x:v>
      </x:c>
      <x:c r="E418" s="86" t="n">
        <x:v>4.2</x:v>
      </x:c>
      <x:c r="F418" s="86" t="n">
        <x:v>4.2</x:v>
      </x:c>
      <x:c r="G418" s="86" t="str">
        <x:v>Acima do esperado</x:v>
      </x:c>
      <x:c r="H418" s="86" t="str">
        <x:v>Médio</x:v>
      </x:c>
      <x:c r="I418" s="87" t="n">
        <x:v>0</x:v>
      </x:c>
    </x:row>
    <x:row r="419">
      <x:c r="A419" s="85" t="n">
        <x:v>418</x:v>
      </x:c>
      <x:c r="B419" s="86" t="n">
        <x:v>177</x:v>
      </x:c>
      <x:c r="C419" s="86" t="n">
        <x:v>2025</x:v>
      </x:c>
      <x:c r="D419" s="86" t="n">
        <x:v>4.4</x:v>
      </x:c>
      <x:c r="E419" s="86" t="n">
        <x:v>4</x:v>
      </x:c>
      <x:c r="F419" s="86" t="n">
        <x:v>4.2</x:v>
      </x:c>
      <x:c r="G419" s="86" t="str">
        <x:v>Acima do esperado</x:v>
      </x:c>
      <x:c r="H419" s="86" t="str">
        <x:v>Médio</x:v>
      </x:c>
      <x:c r="I419" s="87" t="n">
        <x:v>0</x:v>
      </x:c>
    </x:row>
    <x:row r="420">
      <x:c r="A420" s="85" t="n">
        <x:v>419</x:v>
      </x:c>
      <x:c r="B420" s="86" t="n">
        <x:v>178</x:v>
      </x:c>
      <x:c r="C420" s="86" t="n">
        <x:v>2025</x:v>
      </x:c>
      <x:c r="D420" s="86" t="n">
        <x:v>4.4</x:v>
      </x:c>
      <x:c r="E420" s="86" t="n">
        <x:v>3.4</x:v>
      </x:c>
      <x:c r="F420" s="86" t="n">
        <x:v>4</x:v>
      </x:c>
      <x:c r="G420" s="86" t="str">
        <x:v>Acima do esperado</x:v>
      </x:c>
      <x:c r="H420" s="86" t="str">
        <x:v>Médio</x:v>
      </x:c>
      <x:c r="I420" s="87" t="n">
        <x:v>0</x:v>
      </x:c>
    </x:row>
    <x:row r="421">
      <x:c r="A421" s="85" t="n">
        <x:v>420</x:v>
      </x:c>
      <x:c r="B421" s="86" t="n">
        <x:v>180</x:v>
      </x:c>
      <x:c r="C421" s="86" t="n">
        <x:v>2025</x:v>
      </x:c>
      <x:c r="D421" s="86" t="n">
        <x:v>2.6</x:v>
      </x:c>
      <x:c r="E421" s="86" t="n">
        <x:v>4.8</x:v>
      </x:c>
      <x:c r="F421" s="86" t="n">
        <x:v>3.5</x:v>
      </x:c>
      <x:c r="G421" s="86" t="str">
        <x:v>Dentro do esperado</x:v>
      </x:c>
      <x:c r="H421" s="86" t="str">
        <x:v>Médio</x:v>
      </x:c>
      <x:c r="I421" s="87" t="n">
        <x:v>0</x:v>
      </x:c>
    </x:row>
    <x:row r="422">
      <x:c r="A422" s="85" t="n">
        <x:v>421</x:v>
      </x:c>
      <x:c r="B422" s="86" t="n">
        <x:v>181</x:v>
      </x:c>
      <x:c r="C422" s="86" t="n">
        <x:v>2025</x:v>
      </x:c>
      <x:c r="D422" s="86" t="n">
        <x:v>4.1</x:v>
      </x:c>
      <x:c r="E422" s="86" t="n">
        <x:v>4.8</x:v>
      </x:c>
      <x:c r="F422" s="86" t="n">
        <x:v>4.4</x:v>
      </x:c>
      <x:c r="G422" s="86" t="str">
        <x:v>Acima do esperado</x:v>
      </x:c>
      <x:c r="H422" s="86" t="str">
        <x:v>Baixo</x:v>
      </x:c>
      <x:c r="I422" s="87" t="n">
        <x:v>0</x:v>
      </x:c>
    </x:row>
    <x:row r="423">
      <x:c r="A423" s="85" t="n">
        <x:v>422</x:v>
      </x:c>
      <x:c r="B423" s="86" t="n">
        <x:v>182</x:v>
      </x:c>
      <x:c r="C423" s="86" t="n">
        <x:v>2025</x:v>
      </x:c>
      <x:c r="D423" s="86" t="n">
        <x:v>2.7</x:v>
      </x:c>
      <x:c r="E423" s="86" t="n">
        <x:v>3.4</x:v>
      </x:c>
      <x:c r="F423" s="86" t="n">
        <x:v>3</x:v>
      </x:c>
      <x:c r="G423" s="86" t="str">
        <x:v>Dentro do esperado</x:v>
      </x:c>
      <x:c r="H423" s="86" t="str">
        <x:v>Médio</x:v>
      </x:c>
      <x:c r="I423" s="87" t="n">
        <x:v>1</x:v>
      </x:c>
    </x:row>
    <x:row r="424">
      <x:c r="A424" s="85" t="n">
        <x:v>423</x:v>
      </x:c>
      <x:c r="B424" s="86" t="n">
        <x:v>183</x:v>
      </x:c>
      <x:c r="C424" s="86" t="n">
        <x:v>2025</x:v>
      </x:c>
      <x:c r="D424" s="86" t="n">
        <x:v>3.5</x:v>
      </x:c>
      <x:c r="E424" s="86" t="n">
        <x:v>4.9</x:v>
      </x:c>
      <x:c r="F424" s="86" t="n">
        <x:v>4.1</x:v>
      </x:c>
      <x:c r="G424" s="86" t="str">
        <x:v>Acima do esperado</x:v>
      </x:c>
      <x:c r="H424" s="86" t="str">
        <x:v>Médio</x:v>
      </x:c>
      <x:c r="I424" s="87" t="n">
        <x:v>0</x:v>
      </x:c>
    </x:row>
    <x:row r="425">
      <x:c r="A425" s="85" t="n">
        <x:v>424</x:v>
      </x:c>
      <x:c r="B425" s="86" t="n">
        <x:v>184</x:v>
      </x:c>
      <x:c r="C425" s="86" t="n">
        <x:v>2025</x:v>
      </x:c>
      <x:c r="D425" s="86" t="n">
        <x:v>4.1</x:v>
      </x:c>
      <x:c r="E425" s="86" t="n">
        <x:v>3.1</x:v>
      </x:c>
      <x:c r="F425" s="86" t="n">
        <x:v>3.7</x:v>
      </x:c>
      <x:c r="G425" s="86" t="str">
        <x:v>Dentro do esperado</x:v>
      </x:c>
      <x:c r="H425" s="86" t="str">
        <x:v>Médio</x:v>
      </x:c>
      <x:c r="I425" s="87" t="n">
        <x:v>0</x:v>
      </x:c>
    </x:row>
    <x:row r="426">
      <x:c r="A426" s="85" t="n">
        <x:v>425</x:v>
      </x:c>
      <x:c r="B426" s="86" t="n">
        <x:v>185</x:v>
      </x:c>
      <x:c r="C426" s="86" t="n">
        <x:v>2025</x:v>
      </x:c>
      <x:c r="D426" s="86" t="n">
        <x:v>2.9</x:v>
      </x:c>
      <x:c r="E426" s="86" t="n">
        <x:v>4.8</x:v>
      </x:c>
      <x:c r="F426" s="86" t="n">
        <x:v>3.7</x:v>
      </x:c>
      <x:c r="G426" s="86" t="str">
        <x:v>Dentro do esperado</x:v>
      </x:c>
      <x:c r="H426" s="86" t="str">
        <x:v>Médio</x:v>
      </x:c>
      <x:c r="I426" s="87" t="n">
        <x:v>0</x:v>
      </x:c>
    </x:row>
    <x:row r="427">
      <x:c r="A427" s="85" t="n">
        <x:v>426</x:v>
      </x:c>
      <x:c r="B427" s="86" t="n">
        <x:v>188</x:v>
      </x:c>
      <x:c r="C427" s="86" t="n">
        <x:v>2025</x:v>
      </x:c>
      <x:c r="D427" s="86" t="n">
        <x:v>4.7</x:v>
      </x:c>
      <x:c r="E427" s="86" t="n">
        <x:v>4.5</x:v>
      </x:c>
      <x:c r="F427" s="86" t="n">
        <x:v>4.6</x:v>
      </x:c>
      <x:c r="G427" s="86" t="str">
        <x:v>Excepcional</x:v>
      </x:c>
      <x:c r="H427" s="86" t="str">
        <x:v>Médio</x:v>
      </x:c>
      <x:c r="I427" s="87" t="n">
        <x:v>0</x:v>
      </x:c>
    </x:row>
    <x:row r="428">
      <x:c r="A428" s="85" t="n">
        <x:v>427</x:v>
      </x:c>
      <x:c r="B428" s="86" t="n">
        <x:v>189</x:v>
      </x:c>
      <x:c r="C428" s="86" t="n">
        <x:v>2025</x:v>
      </x:c>
      <x:c r="D428" s="86" t="n">
        <x:v>3.1</x:v>
      </x:c>
      <x:c r="E428" s="86" t="n">
        <x:v>4.4</x:v>
      </x:c>
      <x:c r="F428" s="86" t="n">
        <x:v>3.6</x:v>
      </x:c>
      <x:c r="G428" s="86" t="str">
        <x:v>Dentro do esperado</x:v>
      </x:c>
      <x:c r="H428" s="86" t="str">
        <x:v>Médio</x:v>
      </x:c>
      <x:c r="I428" s="87" t="n">
        <x:v>0</x:v>
      </x:c>
    </x:row>
    <x:row r="429">
      <x:c r="A429" s="85" t="n">
        <x:v>428</x:v>
      </x:c>
      <x:c r="B429" s="86" t="n">
        <x:v>190</x:v>
      </x:c>
      <x:c r="C429" s="86" t="n">
        <x:v>2025</x:v>
      </x:c>
      <x:c r="D429" s="86" t="n">
        <x:v>3.1</x:v>
      </x:c>
      <x:c r="E429" s="86" t="n">
        <x:v>2.6</x:v>
      </x:c>
      <x:c r="F429" s="86" t="n">
        <x:v>2.9</x:v>
      </x:c>
      <x:c r="G429" s="86" t="str">
        <x:v>Abaixo do esperado</x:v>
      </x:c>
      <x:c r="H429" s="86" t="str">
        <x:v>Médio</x:v>
      </x:c>
      <x:c r="I429" s="87" t="n">
        <x:v>1</x:v>
      </x:c>
    </x:row>
    <x:row r="430">
      <x:c r="A430" s="85" t="n">
        <x:v>429</x:v>
      </x:c>
      <x:c r="B430" s="86" t="n">
        <x:v>191</x:v>
      </x:c>
      <x:c r="C430" s="86" t="n">
        <x:v>2025</x:v>
      </x:c>
      <x:c r="D430" s="86" t="n">
        <x:v>3.8</x:v>
      </x:c>
      <x:c r="E430" s="86" t="n">
        <x:v>3.9</x:v>
      </x:c>
      <x:c r="F430" s="86" t="n">
        <x:v>3.8</x:v>
      </x:c>
      <x:c r="G430" s="86" t="str">
        <x:v>Acima do esperado</x:v>
      </x:c>
      <x:c r="H430" s="86" t="str">
        <x:v>Médio</x:v>
      </x:c>
      <x:c r="I430" s="87" t="n">
        <x:v>0</x:v>
      </x:c>
    </x:row>
    <x:row r="431">
      <x:c r="A431" s="85" t="n">
        <x:v>430</x:v>
      </x:c>
      <x:c r="B431" s="86" t="n">
        <x:v>193</x:v>
      </x:c>
      <x:c r="C431" s="86" t="n">
        <x:v>2025</x:v>
      </x:c>
      <x:c r="D431" s="86" t="n">
        <x:v>2.9</x:v>
      </x:c>
      <x:c r="E431" s="86" t="n">
        <x:v>2.5</x:v>
      </x:c>
      <x:c r="F431" s="86" t="n">
        <x:v>2.7</x:v>
      </x:c>
      <x:c r="G431" s="86" t="str">
        <x:v>Abaixo do esperado</x:v>
      </x:c>
      <x:c r="H431" s="86" t="str">
        <x:v>Médio</x:v>
      </x:c>
      <x:c r="I431" s="87" t="n">
        <x:v>1</x:v>
      </x:c>
    </x:row>
    <x:row r="432">
      <x:c r="A432" s="85" t="n">
        <x:v>431</x:v>
      </x:c>
      <x:c r="B432" s="86" t="n">
        <x:v>194</x:v>
      </x:c>
      <x:c r="C432" s="86" t="n">
        <x:v>2025</x:v>
      </x:c>
      <x:c r="D432" s="86" t="n">
        <x:v>3.7</x:v>
      </x:c>
      <x:c r="E432" s="86" t="n">
        <x:v>3.1</x:v>
      </x:c>
      <x:c r="F432" s="86" t="n">
        <x:v>3.5</x:v>
      </x:c>
      <x:c r="G432" s="86" t="str">
        <x:v>Dentro do esperado</x:v>
      </x:c>
      <x:c r="H432" s="86" t="str">
        <x:v>Médio</x:v>
      </x:c>
      <x:c r="I432" s="87" t="n">
        <x:v>0</x:v>
      </x:c>
    </x:row>
    <x:row r="433">
      <x:c r="A433" s="85" t="n">
        <x:v>432</x:v>
      </x:c>
      <x:c r="B433" s="86" t="n">
        <x:v>195</x:v>
      </x:c>
      <x:c r="C433" s="86" t="n">
        <x:v>2025</x:v>
      </x:c>
      <x:c r="D433" s="86" t="n">
        <x:v>3.3</x:v>
      </x:c>
      <x:c r="E433" s="86" t="n">
        <x:v>4.4</x:v>
      </x:c>
      <x:c r="F433" s="86" t="n">
        <x:v>3.7</x:v>
      </x:c>
      <x:c r="G433" s="86" t="str">
        <x:v>Dentro do esperado</x:v>
      </x:c>
      <x:c r="H433" s="86" t="str">
        <x:v>Médio</x:v>
      </x:c>
      <x:c r="I433" s="87" t="n">
        <x:v>0</x:v>
      </x:c>
    </x:row>
    <x:row r="434">
      <x:c r="A434" s="85" t="n">
        <x:v>433</x:v>
      </x:c>
      <x:c r="B434" s="86" t="n">
        <x:v>196</x:v>
      </x:c>
      <x:c r="C434" s="86" t="n">
        <x:v>2025</x:v>
      </x:c>
      <x:c r="D434" s="86" t="n">
        <x:v>3.2</x:v>
      </x:c>
      <x:c r="E434" s="86" t="n">
        <x:v>4.2</x:v>
      </x:c>
      <x:c r="F434" s="86" t="n">
        <x:v>3.6</x:v>
      </x:c>
      <x:c r="G434" s="86" t="str">
        <x:v>Dentro do esperado</x:v>
      </x:c>
      <x:c r="H434" s="86" t="str">
        <x:v>Médio</x:v>
      </x:c>
      <x:c r="I434" s="87" t="n">
        <x:v>0</x:v>
      </x:c>
    </x:row>
    <x:row r="435">
      <x:c r="A435" s="85" t="n">
        <x:v>434</x:v>
      </x:c>
      <x:c r="B435" s="86" t="n">
        <x:v>198</x:v>
      </x:c>
      <x:c r="C435" s="86" t="n">
        <x:v>2025</x:v>
      </x:c>
      <x:c r="D435" s="86" t="n">
        <x:v>3.9</x:v>
      </x:c>
      <x:c r="E435" s="86" t="n">
        <x:v>4.3</x:v>
      </x:c>
      <x:c r="F435" s="86" t="n">
        <x:v>4.1</x:v>
      </x:c>
      <x:c r="G435" s="86" t="str">
        <x:v>Acima do esperado</x:v>
      </x:c>
      <x:c r="H435" s="86" t="str">
        <x:v>Médio</x:v>
      </x:c>
      <x:c r="I435" s="87" t="n">
        <x:v>0</x:v>
      </x:c>
    </x:row>
    <x:row r="436">
      <x:c r="A436" s="85" t="n">
        <x:v>435</x:v>
      </x:c>
      <x:c r="B436" s="86" t="n">
        <x:v>199</x:v>
      </x:c>
      <x:c r="C436" s="86" t="n">
        <x:v>2025</x:v>
      </x:c>
      <x:c r="D436" s="86" t="n">
        <x:v>2.4</x:v>
      </x:c>
      <x:c r="E436" s="86" t="n">
        <x:v>4</x:v>
      </x:c>
      <x:c r="F436" s="86" t="n">
        <x:v>3</x:v>
      </x:c>
      <x:c r="G436" s="86" t="str">
        <x:v>Dentro do esperado</x:v>
      </x:c>
      <x:c r="H436" s="86" t="str">
        <x:v>Médio</x:v>
      </x:c>
      <x:c r="I436" s="87" t="n">
        <x:v>1</x:v>
      </x:c>
    </x:row>
    <x:row r="437">
      <x:c r="A437" s="85" t="n">
        <x:v>436</x:v>
      </x:c>
      <x:c r="B437" s="86" t="n">
        <x:v>200</x:v>
      </x:c>
      <x:c r="C437" s="86" t="n">
        <x:v>2025</x:v>
      </x:c>
      <x:c r="D437" s="86" t="n">
        <x:v>4.3</x:v>
      </x:c>
      <x:c r="E437" s="86" t="n">
        <x:v>3.3</x:v>
      </x:c>
      <x:c r="F437" s="86" t="n">
        <x:v>3.9</x:v>
      </x:c>
      <x:c r="G437" s="86" t="str">
        <x:v>Acima do esperado</x:v>
      </x:c>
      <x:c r="H437" s="86" t="str">
        <x:v>Médio</x:v>
      </x:c>
      <x:c r="I437" s="87" t="n">
        <x:v>0</x:v>
      </x:c>
    </x:row>
    <x:row r="438">
      <x:c r="A438" s="85" t="n">
        <x:v>437</x:v>
      </x:c>
      <x:c r="B438" s="86" t="n">
        <x:v>201</x:v>
      </x:c>
      <x:c r="C438" s="86" t="n">
        <x:v>2025</x:v>
      </x:c>
      <x:c r="D438" s="86" t="n">
        <x:v>4.8</x:v>
      </x:c>
      <x:c r="E438" s="86" t="n">
        <x:v>2.6</x:v>
      </x:c>
      <x:c r="F438" s="86" t="n">
        <x:v>3.9</x:v>
      </x:c>
      <x:c r="G438" s="86" t="str">
        <x:v>Acima do esperado</x:v>
      </x:c>
      <x:c r="H438" s="86" t="str">
        <x:v>Médio</x:v>
      </x:c>
      <x:c r="I438" s="87" t="n">
        <x:v>0</x:v>
      </x:c>
    </x:row>
    <x:row r="439">
      <x:c r="A439" s="85" t="n">
        <x:v>438</x:v>
      </x:c>
      <x:c r="B439" s="86" t="n">
        <x:v>202</x:v>
      </x:c>
      <x:c r="C439" s="86" t="n">
        <x:v>2025</x:v>
      </x:c>
      <x:c r="D439" s="86" t="n">
        <x:v>2.3</x:v>
      </x:c>
      <x:c r="E439" s="86" t="n">
        <x:v>3.4</x:v>
      </x:c>
      <x:c r="F439" s="86" t="n">
        <x:v>2.7</x:v>
      </x:c>
      <x:c r="G439" s="86" t="str">
        <x:v>Abaixo do esperado</x:v>
      </x:c>
      <x:c r="H439" s="86" t="str">
        <x:v>Médio</x:v>
      </x:c>
      <x:c r="I439" s="87" t="n">
        <x:v>1</x:v>
      </x:c>
    </x:row>
    <x:row r="440">
      <x:c r="A440" s="85" t="n">
        <x:v>439</x:v>
      </x:c>
      <x:c r="B440" s="86" t="n">
        <x:v>204</x:v>
      </x:c>
      <x:c r="C440" s="86" t="n">
        <x:v>2025</x:v>
      </x:c>
      <x:c r="D440" s="86" t="n">
        <x:v>3.9</x:v>
      </x:c>
      <x:c r="E440" s="86" t="n">
        <x:v>3.2</x:v>
      </x:c>
      <x:c r="F440" s="86" t="n">
        <x:v>3.6</x:v>
      </x:c>
      <x:c r="G440" s="86" t="str">
        <x:v>Dentro do esperado</x:v>
      </x:c>
      <x:c r="H440" s="86" t="str">
        <x:v>Baixo</x:v>
      </x:c>
      <x:c r="I440" s="87" t="n">
        <x:v>0</x:v>
      </x:c>
    </x:row>
    <x:row r="441">
      <x:c r="A441" s="85" t="n">
        <x:v>440</x:v>
      </x:c>
      <x:c r="B441" s="86" t="n">
        <x:v>205</x:v>
      </x:c>
      <x:c r="C441" s="86" t="n">
        <x:v>2025</x:v>
      </x:c>
      <x:c r="D441" s="86" t="n">
        <x:v>3.5</x:v>
      </x:c>
      <x:c r="E441" s="86" t="n">
        <x:v>3.2</x:v>
      </x:c>
      <x:c r="F441" s="86" t="n">
        <x:v>3.4</x:v>
      </x:c>
      <x:c r="G441" s="86" t="str">
        <x:v>Dentro do esperado</x:v>
      </x:c>
      <x:c r="H441" s="86" t="str">
        <x:v>Médio</x:v>
      </x:c>
      <x:c r="I441" s="87" t="n">
        <x:v>0</x:v>
      </x:c>
    </x:row>
    <x:row r="442">
      <x:c r="A442" s="85" t="n">
        <x:v>441</x:v>
      </x:c>
      <x:c r="B442" s="86" t="n">
        <x:v>206</x:v>
      </x:c>
      <x:c r="C442" s="86" t="n">
        <x:v>2025</x:v>
      </x:c>
      <x:c r="D442" s="86" t="n">
        <x:v>2.9</x:v>
      </x:c>
      <x:c r="E442" s="86" t="n">
        <x:v>3.7</x:v>
      </x:c>
      <x:c r="F442" s="86" t="n">
        <x:v>3.2</x:v>
      </x:c>
      <x:c r="G442" s="86" t="str">
        <x:v>Dentro do esperado</x:v>
      </x:c>
      <x:c r="H442" s="86" t="str">
        <x:v>Médio</x:v>
      </x:c>
      <x:c r="I442" s="87" t="n">
        <x:v>0</x:v>
      </x:c>
    </x:row>
    <x:row r="443">
      <x:c r="A443" s="85" t="n">
        <x:v>442</x:v>
      </x:c>
      <x:c r="B443" s="86" t="n">
        <x:v>207</x:v>
      </x:c>
      <x:c r="C443" s="86" t="n">
        <x:v>2025</x:v>
      </x:c>
      <x:c r="D443" s="86" t="n">
        <x:v>3.1</x:v>
      </x:c>
      <x:c r="E443" s="86" t="n">
        <x:v>2.6</x:v>
      </x:c>
      <x:c r="F443" s="86" t="n">
        <x:v>2.9</x:v>
      </x:c>
      <x:c r="G443" s="86" t="str">
        <x:v>Abaixo do esperado</x:v>
      </x:c>
      <x:c r="H443" s="86" t="str">
        <x:v>Médio</x:v>
      </x:c>
      <x:c r="I443" s="87" t="n">
        <x:v>1</x:v>
      </x:c>
    </x:row>
    <x:row r="444">
      <x:c r="A444" s="85" t="n">
        <x:v>443</x:v>
      </x:c>
      <x:c r="B444" s="86" t="n">
        <x:v>208</x:v>
      </x:c>
      <x:c r="C444" s="86" t="n">
        <x:v>2025</x:v>
      </x:c>
      <x:c r="D444" s="86" t="n">
        <x:v>3.7</x:v>
      </x:c>
      <x:c r="E444" s="86" t="n">
        <x:v>2.9</x:v>
      </x:c>
      <x:c r="F444" s="86" t="n">
        <x:v>3.4</x:v>
      </x:c>
      <x:c r="G444" s="86" t="str">
        <x:v>Dentro do esperado</x:v>
      </x:c>
      <x:c r="H444" s="86" t="str">
        <x:v>Médio</x:v>
      </x:c>
      <x:c r="I444" s="87" t="n">
        <x:v>0</x:v>
      </x:c>
    </x:row>
    <x:row r="445">
      <x:c r="A445" s="85" t="n">
        <x:v>444</x:v>
      </x:c>
      <x:c r="B445" s="86" t="n">
        <x:v>209</x:v>
      </x:c>
      <x:c r="C445" s="86" t="n">
        <x:v>2025</x:v>
      </x:c>
      <x:c r="D445" s="86" t="n">
        <x:v>2.7</x:v>
      </x:c>
      <x:c r="E445" s="86" t="n">
        <x:v>4.1</x:v>
      </x:c>
      <x:c r="F445" s="86" t="n">
        <x:v>3.3</x:v>
      </x:c>
      <x:c r="G445" s="86" t="str">
        <x:v>Dentro do esperado</x:v>
      </x:c>
      <x:c r="H445" s="86" t="str">
        <x:v>Médio</x:v>
      </x:c>
      <x:c r="I445" s="87" t="n">
        <x:v>0</x:v>
      </x:c>
    </x:row>
    <x:row r="446">
      <x:c r="A446" s="85" t="n">
        <x:v>445</x:v>
      </x:c>
      <x:c r="B446" s="86" t="n">
        <x:v>211</x:v>
      </x:c>
      <x:c r="C446" s="86" t="n">
        <x:v>2025</x:v>
      </x:c>
      <x:c r="D446" s="86" t="n">
        <x:v>2.4</x:v>
      </x:c>
      <x:c r="E446" s="86" t="n">
        <x:v>2.8</x:v>
      </x:c>
      <x:c r="F446" s="86" t="n">
        <x:v>2.6</x:v>
      </x:c>
      <x:c r="G446" s="86" t="str">
        <x:v>Abaixo do esperado</x:v>
      </x:c>
      <x:c r="H446" s="86" t="str">
        <x:v>Médio</x:v>
      </x:c>
      <x:c r="I446" s="87" t="n">
        <x:v>1</x:v>
      </x:c>
    </x:row>
    <x:row r="447">
      <x:c r="A447" s="85" t="n">
        <x:v>446</x:v>
      </x:c>
      <x:c r="B447" s="86" t="n">
        <x:v>212</x:v>
      </x:c>
      <x:c r="C447" s="86" t="n">
        <x:v>2025</x:v>
      </x:c>
      <x:c r="D447" s="86" t="n">
        <x:v>2.4</x:v>
      </x:c>
      <x:c r="E447" s="86" t="n">
        <x:v>2.9</x:v>
      </x:c>
      <x:c r="F447" s="86" t="n">
        <x:v>2.6</x:v>
      </x:c>
      <x:c r="G447" s="86" t="str">
        <x:v>Abaixo do esperado</x:v>
      </x:c>
      <x:c r="H447" s="86" t="str">
        <x:v>Médio</x:v>
      </x:c>
      <x:c r="I447" s="87" t="n">
        <x:v>1</x:v>
      </x:c>
    </x:row>
    <x:row r="448">
      <x:c r="A448" s="85" t="n">
        <x:v>447</x:v>
      </x:c>
      <x:c r="B448" s="86" t="n">
        <x:v>213</x:v>
      </x:c>
      <x:c r="C448" s="86" t="n">
        <x:v>2025</x:v>
      </x:c>
      <x:c r="D448" s="86" t="n">
        <x:v>3.2</x:v>
      </x:c>
      <x:c r="E448" s="86" t="n">
        <x:v>4.3</x:v>
      </x:c>
      <x:c r="F448" s="86" t="n">
        <x:v>3.6</x:v>
      </x:c>
      <x:c r="G448" s="86" t="str">
        <x:v>Dentro do esperado</x:v>
      </x:c>
      <x:c r="H448" s="86" t="str">
        <x:v>Médio</x:v>
      </x:c>
      <x:c r="I448" s="87" t="n">
        <x:v>0</x:v>
      </x:c>
    </x:row>
    <x:row r="449">
      <x:c r="A449" s="85" t="n">
        <x:v>448</x:v>
      </x:c>
      <x:c r="B449" s="86" t="n">
        <x:v>214</x:v>
      </x:c>
      <x:c r="C449" s="86" t="n">
        <x:v>2025</x:v>
      </x:c>
      <x:c r="D449" s="86" t="n">
        <x:v>2.5</x:v>
      </x:c>
      <x:c r="E449" s="86" t="n">
        <x:v>3.2</x:v>
      </x:c>
      <x:c r="F449" s="86" t="n">
        <x:v>2.8</x:v>
      </x:c>
      <x:c r="G449" s="86" t="str">
        <x:v>Abaixo do esperado</x:v>
      </x:c>
      <x:c r="H449" s="86" t="str">
        <x:v>Médio</x:v>
      </x:c>
      <x:c r="I449" s="87" t="n">
        <x:v>1</x:v>
      </x:c>
    </x:row>
    <x:row r="450">
      <x:c r="A450" s="85" t="n">
        <x:v>449</x:v>
      </x:c>
      <x:c r="B450" s="86" t="n">
        <x:v>215</x:v>
      </x:c>
      <x:c r="C450" s="86" t="n">
        <x:v>2025</x:v>
      </x:c>
      <x:c r="D450" s="86" t="n">
        <x:v>3.3</x:v>
      </x:c>
      <x:c r="E450" s="86" t="n">
        <x:v>4.6</x:v>
      </x:c>
      <x:c r="F450" s="86" t="n">
        <x:v>3.8</x:v>
      </x:c>
      <x:c r="G450" s="86" t="str">
        <x:v>Acima do esperado</x:v>
      </x:c>
      <x:c r="H450" s="86" t="str">
        <x:v>Baixo</x:v>
      </x:c>
      <x:c r="I450" s="87" t="n">
        <x:v>0</x:v>
      </x:c>
    </x:row>
    <x:row r="451">
      <x:c r="A451" s="85" t="n">
        <x:v>450</x:v>
      </x:c>
      <x:c r="B451" s="86" t="n">
        <x:v>216</x:v>
      </x:c>
      <x:c r="C451" s="86" t="n">
        <x:v>2025</x:v>
      </x:c>
      <x:c r="D451" s="86" t="n">
        <x:v>3.4</x:v>
      </x:c>
      <x:c r="E451" s="86" t="n">
        <x:v>4.8</x:v>
      </x:c>
      <x:c r="F451" s="86" t="n">
        <x:v>4</x:v>
      </x:c>
      <x:c r="G451" s="86" t="str">
        <x:v>Acima do esperado</x:v>
      </x:c>
      <x:c r="H451" s="86" t="str">
        <x:v>Médio</x:v>
      </x:c>
      <x:c r="I451" s="87" t="n">
        <x:v>0</x:v>
      </x:c>
    </x:row>
    <x:row r="452">
      <x:c r="A452" s="85" t="n">
        <x:v>451</x:v>
      </x:c>
      <x:c r="B452" s="86" t="n">
        <x:v>217</x:v>
      </x:c>
      <x:c r="C452" s="86" t="n">
        <x:v>2025</x:v>
      </x:c>
      <x:c r="D452" s="86" t="n">
        <x:v>2.7</x:v>
      </x:c>
      <x:c r="E452" s="86" t="n">
        <x:v>4</x:v>
      </x:c>
      <x:c r="F452" s="86" t="n">
        <x:v>3.2</x:v>
      </x:c>
      <x:c r="G452" s="86" t="str">
        <x:v>Dentro do esperado</x:v>
      </x:c>
      <x:c r="H452" s="86" t="str">
        <x:v>Baixo</x:v>
      </x:c>
      <x:c r="I452" s="87" t="n">
        <x:v>0</x:v>
      </x:c>
    </x:row>
    <x:row r="453">
      <x:c r="A453" s="85" t="n">
        <x:v>452</x:v>
      </x:c>
      <x:c r="B453" s="86" t="n">
        <x:v>218</x:v>
      </x:c>
      <x:c r="C453" s="86" t="n">
        <x:v>2025</x:v>
      </x:c>
      <x:c r="D453" s="86" t="n">
        <x:v>2.5</x:v>
      </x:c>
      <x:c r="E453" s="86" t="n">
        <x:v>2.4</x:v>
      </x:c>
      <x:c r="F453" s="86" t="n">
        <x:v>2.5</x:v>
      </x:c>
      <x:c r="G453" s="86" t="str">
        <x:v>Abaixo do esperado</x:v>
      </x:c>
      <x:c r="H453" s="86" t="str">
        <x:v>Baixo</x:v>
      </x:c>
      <x:c r="I453" s="87" t="n">
        <x:v>1</x:v>
      </x:c>
    </x:row>
    <x:row r="454">
      <x:c r="A454" s="85" t="n">
        <x:v>453</x:v>
      </x:c>
      <x:c r="B454" s="86" t="n">
        <x:v>220</x:v>
      </x:c>
      <x:c r="C454" s="86" t="n">
        <x:v>2025</x:v>
      </x:c>
      <x:c r="D454" s="86" t="n">
        <x:v>2.7</x:v>
      </x:c>
      <x:c r="E454" s="86" t="n">
        <x:v>3</x:v>
      </x:c>
      <x:c r="F454" s="86" t="n">
        <x:v>2.8</x:v>
      </x:c>
      <x:c r="G454" s="86" t="str">
        <x:v>Abaixo do esperado</x:v>
      </x:c>
      <x:c r="H454" s="86" t="str">
        <x:v>Baixo</x:v>
      </x:c>
      <x:c r="I454" s="87" t="n">
        <x:v>1</x:v>
      </x:c>
    </x:row>
    <x:row r="455">
      <x:c r="A455" s="85" t="n">
        <x:v>454</x:v>
      </x:c>
      <x:c r="B455" s="86" t="n">
        <x:v>221</x:v>
      </x:c>
      <x:c r="C455" s="86" t="n">
        <x:v>2025</x:v>
      </x:c>
      <x:c r="D455" s="86" t="n">
        <x:v>2.9</x:v>
      </x:c>
      <x:c r="E455" s="86" t="n">
        <x:v>3.2</x:v>
      </x:c>
      <x:c r="F455" s="86" t="n">
        <x:v>3</x:v>
      </x:c>
      <x:c r="G455" s="86" t="str">
        <x:v>Dentro do esperado</x:v>
      </x:c>
      <x:c r="H455" s="86" t="str">
        <x:v>Alto</x:v>
      </x:c>
      <x:c r="I455" s="87" t="n">
        <x:v>1</x:v>
      </x:c>
    </x:row>
    <x:row r="456">
      <x:c r="A456" s="85" t="n">
        <x:v>455</x:v>
      </x:c>
      <x:c r="B456" s="86" t="n">
        <x:v>222</x:v>
      </x:c>
      <x:c r="C456" s="86" t="n">
        <x:v>2025</x:v>
      </x:c>
      <x:c r="D456" s="86" t="n">
        <x:v>4.5</x:v>
      </x:c>
      <x:c r="E456" s="86" t="n">
        <x:v>3</x:v>
      </x:c>
      <x:c r="F456" s="86" t="n">
        <x:v>3.9</x:v>
      </x:c>
      <x:c r="G456" s="86" t="str">
        <x:v>Acima do esperado</x:v>
      </x:c>
      <x:c r="H456" s="86" t="str">
        <x:v>Baixo</x:v>
      </x:c>
      <x:c r="I456" s="87" t="n">
        <x:v>0</x:v>
      </x:c>
    </x:row>
    <x:row r="457">
      <x:c r="A457" s="85" t="n">
        <x:v>456</x:v>
      </x:c>
      <x:c r="B457" s="86" t="n">
        <x:v>223</x:v>
      </x:c>
      <x:c r="C457" s="86" t="n">
        <x:v>2025</x:v>
      </x:c>
      <x:c r="D457" s="86" t="n">
        <x:v>3.2</x:v>
      </x:c>
      <x:c r="E457" s="86" t="n">
        <x:v>2.4</x:v>
      </x:c>
      <x:c r="F457" s="86" t="n">
        <x:v>2.9</x:v>
      </x:c>
      <x:c r="G457" s="86" t="str">
        <x:v>Abaixo do esperado</x:v>
      </x:c>
      <x:c r="H457" s="86" t="str">
        <x:v>Médio</x:v>
      </x:c>
      <x:c r="I457" s="87" t="n">
        <x:v>1</x:v>
      </x:c>
    </x:row>
    <x:row r="458">
      <x:c r="A458" s="85" t="n">
        <x:v>457</x:v>
      </x:c>
      <x:c r="B458" s="86" t="n">
        <x:v>224</x:v>
      </x:c>
      <x:c r="C458" s="86" t="n">
        <x:v>2025</x:v>
      </x:c>
      <x:c r="D458" s="86" t="n">
        <x:v>2.9</x:v>
      </x:c>
      <x:c r="E458" s="86" t="n">
        <x:v>3.3</x:v>
      </x:c>
      <x:c r="F458" s="86" t="n">
        <x:v>3.1</x:v>
      </x:c>
      <x:c r="G458" s="86" t="str">
        <x:v>Dentro do esperado</x:v>
      </x:c>
      <x:c r="H458" s="86" t="str">
        <x:v>Baixo</x:v>
      </x:c>
      <x:c r="I458" s="87" t="n">
        <x:v>1</x:v>
      </x:c>
    </x:row>
    <x:row r="459">
      <x:c r="A459" s="85" t="n">
        <x:v>458</x:v>
      </x:c>
      <x:c r="B459" s="86" t="n">
        <x:v>225</x:v>
      </x:c>
      <x:c r="C459" s="86" t="n">
        <x:v>2025</x:v>
      </x:c>
      <x:c r="D459" s="86" t="n">
        <x:v>3.3</x:v>
      </x:c>
      <x:c r="E459" s="86" t="n">
        <x:v>4.1</x:v>
      </x:c>
      <x:c r="F459" s="86" t="n">
        <x:v>3.6</x:v>
      </x:c>
      <x:c r="G459" s="86" t="str">
        <x:v>Dentro do esperado</x:v>
      </x:c>
      <x:c r="H459" s="86" t="str">
        <x:v>Médio</x:v>
      </x:c>
      <x:c r="I459" s="87" t="n">
        <x:v>0</x:v>
      </x:c>
    </x:row>
    <x:row r="460">
      <x:c r="A460" s="85" t="n">
        <x:v>459</x:v>
      </x:c>
      <x:c r="B460" s="86" t="n">
        <x:v>226</x:v>
      </x:c>
      <x:c r="C460" s="86" t="n">
        <x:v>2025</x:v>
      </x:c>
      <x:c r="D460" s="86" t="n">
        <x:v>2.7</x:v>
      </x:c>
      <x:c r="E460" s="86" t="n">
        <x:v>3</x:v>
      </x:c>
      <x:c r="F460" s="86" t="n">
        <x:v>2.8</x:v>
      </x:c>
      <x:c r="G460" s="86" t="str">
        <x:v>Abaixo do esperado</x:v>
      </x:c>
      <x:c r="H460" s="86" t="str">
        <x:v>Baixo</x:v>
      </x:c>
      <x:c r="I460" s="87" t="n">
        <x:v>1</x:v>
      </x:c>
    </x:row>
    <x:row r="461">
      <x:c r="A461" s="85" t="n">
        <x:v>460</x:v>
      </x:c>
      <x:c r="B461" s="86" t="n">
        <x:v>230</x:v>
      </x:c>
      <x:c r="C461" s="86" t="n">
        <x:v>2025</x:v>
      </x:c>
      <x:c r="D461" s="86" t="n">
        <x:v>4.7</x:v>
      </x:c>
      <x:c r="E461" s="86" t="n">
        <x:v>4.1</x:v>
      </x:c>
      <x:c r="F461" s="86" t="n">
        <x:v>4.5</x:v>
      </x:c>
      <x:c r="G461" s="86" t="str">
        <x:v>Excepcional</x:v>
      </x:c>
      <x:c r="H461" s="86" t="str">
        <x:v>Alto</x:v>
      </x:c>
      <x:c r="I461" s="87" t="n">
        <x:v>1</x:v>
      </x:c>
    </x:row>
    <x:row r="462">
      <x:c r="A462" s="85" t="n">
        <x:v>461</x:v>
      </x:c>
      <x:c r="B462" s="86" t="n">
        <x:v>231</x:v>
      </x:c>
      <x:c r="C462" s="86" t="n">
        <x:v>2025</x:v>
      </x:c>
      <x:c r="D462" s="86" t="n">
        <x:v>3.2</x:v>
      </x:c>
      <x:c r="E462" s="86" t="n">
        <x:v>3.4</x:v>
      </x:c>
      <x:c r="F462" s="86" t="n">
        <x:v>3.3</x:v>
      </x:c>
      <x:c r="G462" s="86" t="str">
        <x:v>Dentro do esperado</x:v>
      </x:c>
      <x:c r="H462" s="86" t="str">
        <x:v>Médio</x:v>
      </x:c>
      <x:c r="I462" s="87" t="n">
        <x:v>0</x:v>
      </x:c>
    </x:row>
    <x:row r="463">
      <x:c r="A463" s="85" t="n">
        <x:v>462</x:v>
      </x:c>
      <x:c r="B463" s="86" t="n">
        <x:v>233</x:v>
      </x:c>
      <x:c r="C463" s="86" t="n">
        <x:v>2025</x:v>
      </x:c>
      <x:c r="D463" s="86" t="n">
        <x:v>4.6</x:v>
      </x:c>
      <x:c r="E463" s="86" t="n">
        <x:v>4.1</x:v>
      </x:c>
      <x:c r="F463" s="86" t="n">
        <x:v>4.4</x:v>
      </x:c>
      <x:c r="G463" s="86" t="str">
        <x:v>Acima do esperado</x:v>
      </x:c>
      <x:c r="H463" s="86" t="str">
        <x:v>Médio</x:v>
      </x:c>
      <x:c r="I463" s="87" t="n">
        <x:v>0</x:v>
      </x:c>
    </x:row>
    <x:row r="464">
      <x:c r="A464" s="85" t="n">
        <x:v>463</x:v>
      </x:c>
      <x:c r="B464" s="86" t="n">
        <x:v>234</x:v>
      </x:c>
      <x:c r="C464" s="86" t="n">
        <x:v>2025</x:v>
      </x:c>
      <x:c r="D464" s="86" t="n">
        <x:v>4.2</x:v>
      </x:c>
      <x:c r="E464" s="86" t="n">
        <x:v>4.1</x:v>
      </x:c>
      <x:c r="F464" s="86" t="n">
        <x:v>4.2</x:v>
      </x:c>
      <x:c r="G464" s="86" t="str">
        <x:v>Acima do esperado</x:v>
      </x:c>
      <x:c r="H464" s="86" t="str">
        <x:v>Baixo</x:v>
      </x:c>
      <x:c r="I464" s="87" t="n">
        <x:v>0</x:v>
      </x:c>
    </x:row>
    <x:row r="465">
      <x:c r="A465" s="85" t="n">
        <x:v>464</x:v>
      </x:c>
      <x:c r="B465" s="86" t="n">
        <x:v>235</x:v>
      </x:c>
      <x:c r="C465" s="86" t="n">
        <x:v>2025</x:v>
      </x:c>
      <x:c r="D465" s="86" t="n">
        <x:v>2.5</x:v>
      </x:c>
      <x:c r="E465" s="86" t="n">
        <x:v>3.2</x:v>
      </x:c>
      <x:c r="F465" s="86" t="n">
        <x:v>2.8</x:v>
      </x:c>
      <x:c r="G465" s="86" t="str">
        <x:v>Abaixo do esperado</x:v>
      </x:c>
      <x:c r="H465" s="86" t="str">
        <x:v>Médio</x:v>
      </x:c>
      <x:c r="I465" s="87" t="n">
        <x:v>1</x:v>
      </x:c>
    </x:row>
    <x:row r="466">
      <x:c r="A466" s="85" t="n">
        <x:v>465</x:v>
      </x:c>
      <x:c r="B466" s="86" t="n">
        <x:v>236</x:v>
      </x:c>
      <x:c r="C466" s="86" t="n">
        <x:v>2025</x:v>
      </x:c>
      <x:c r="D466" s="86" t="n">
        <x:v>4.7</x:v>
      </x:c>
      <x:c r="E466" s="86" t="n">
        <x:v>4.7</x:v>
      </x:c>
      <x:c r="F466" s="86" t="n">
        <x:v>4.7</x:v>
      </x:c>
      <x:c r="G466" s="86" t="str">
        <x:v>Excepcional</x:v>
      </x:c>
      <x:c r="H466" s="86" t="str">
        <x:v>Baixo</x:v>
      </x:c>
      <x:c r="I466" s="87" t="n">
        <x:v>0</x:v>
      </x:c>
    </x:row>
    <x:row r="467">
      <x:c r="A467" s="85" t="n">
        <x:v>466</x:v>
      </x:c>
      <x:c r="B467" s="86" t="n">
        <x:v>237</x:v>
      </x:c>
      <x:c r="C467" s="86" t="n">
        <x:v>2025</x:v>
      </x:c>
      <x:c r="D467" s="86" t="n">
        <x:v>2.4</x:v>
      </x:c>
      <x:c r="E467" s="86" t="n">
        <x:v>4.2</x:v>
      </x:c>
      <x:c r="F467" s="86" t="n">
        <x:v>3.1</x:v>
      </x:c>
      <x:c r="G467" s="86" t="str">
        <x:v>Dentro do esperado</x:v>
      </x:c>
      <x:c r="H467" s="86" t="str">
        <x:v>Médio</x:v>
      </x:c>
      <x:c r="I467" s="87" t="n">
        <x:v>1</x:v>
      </x:c>
    </x:row>
    <x:row r="468">
      <x:c r="A468" s="85" t="n">
        <x:v>467</x:v>
      </x:c>
      <x:c r="B468" s="86" t="n">
        <x:v>238</x:v>
      </x:c>
      <x:c r="C468" s="86" t="n">
        <x:v>2025</x:v>
      </x:c>
      <x:c r="D468" s="86" t="n">
        <x:v>3.8</x:v>
      </x:c>
      <x:c r="E468" s="86" t="n">
        <x:v>4.5</x:v>
      </x:c>
      <x:c r="F468" s="86" t="n">
        <x:v>4.1</x:v>
      </x:c>
      <x:c r="G468" s="86" t="str">
        <x:v>Acima do esperado</x:v>
      </x:c>
      <x:c r="H468" s="86" t="str">
        <x:v>Baixo</x:v>
      </x:c>
      <x:c r="I468" s="87" t="n">
        <x:v>0</x:v>
      </x:c>
    </x:row>
    <x:row r="469">
      <x:c r="A469" s="85" t="n">
        <x:v>468</x:v>
      </x:c>
      <x:c r="B469" s="86" t="n">
        <x:v>240</x:v>
      </x:c>
      <x:c r="C469" s="86" t="n">
        <x:v>2025</x:v>
      </x:c>
      <x:c r="D469" s="86" t="n">
        <x:v>3.3</x:v>
      </x:c>
      <x:c r="E469" s="86" t="n">
        <x:v>4</x:v>
      </x:c>
      <x:c r="F469" s="86" t="n">
        <x:v>3.6</x:v>
      </x:c>
      <x:c r="G469" s="86" t="str">
        <x:v>Dentro do esperado</x:v>
      </x:c>
      <x:c r="H469" s="86" t="str">
        <x:v>Alto</x:v>
      </x:c>
      <x:c r="I469" s="87" t="n">
        <x:v>1</x:v>
      </x:c>
    </x:row>
    <x:row r="470">
      <x:c r="A470" s="85" t="n">
        <x:v>469</x:v>
      </x:c>
      <x:c r="B470" s="86" t="n">
        <x:v>241</x:v>
      </x:c>
      <x:c r="C470" s="86" t="n">
        <x:v>2025</x:v>
      </x:c>
      <x:c r="D470" s="86" t="n">
        <x:v>2.7</x:v>
      </x:c>
      <x:c r="E470" s="86" t="n">
        <x:v>4.6</x:v>
      </x:c>
      <x:c r="F470" s="86" t="n">
        <x:v>3.5</x:v>
      </x:c>
      <x:c r="G470" s="86" t="str">
        <x:v>Dentro do esperado</x:v>
      </x:c>
      <x:c r="H470" s="86" t="str">
        <x:v>Médio</x:v>
      </x:c>
      <x:c r="I470" s="87" t="n">
        <x:v>0</x:v>
      </x:c>
    </x:row>
    <x:row r="471">
      <x:c r="A471" s="85" t="n">
        <x:v>470</x:v>
      </x:c>
      <x:c r="B471" s="86" t="n">
        <x:v>242</x:v>
      </x:c>
      <x:c r="C471" s="86" t="n">
        <x:v>2025</x:v>
      </x:c>
      <x:c r="D471" s="86" t="n">
        <x:v>2.6</x:v>
      </x:c>
      <x:c r="E471" s="86" t="n">
        <x:v>3.4</x:v>
      </x:c>
      <x:c r="F471" s="86" t="n">
        <x:v>2.9</x:v>
      </x:c>
      <x:c r="G471" s="86" t="str">
        <x:v>Abaixo do esperado</x:v>
      </x:c>
      <x:c r="H471" s="86" t="str">
        <x:v>Baixo</x:v>
      </x:c>
      <x:c r="I471" s="87" t="n">
        <x:v>1</x:v>
      </x:c>
    </x:row>
    <x:row r="472">
      <x:c r="A472" s="85" t="n">
        <x:v>471</x:v>
      </x:c>
      <x:c r="B472" s="86" t="n">
        <x:v>243</x:v>
      </x:c>
      <x:c r="C472" s="86" t="n">
        <x:v>2025</x:v>
      </x:c>
      <x:c r="D472" s="86" t="n">
        <x:v>3.4</x:v>
      </x:c>
      <x:c r="E472" s="86" t="n">
        <x:v>3.8</x:v>
      </x:c>
      <x:c r="F472" s="86" t="n">
        <x:v>3.6</x:v>
      </x:c>
      <x:c r="G472" s="86" t="str">
        <x:v>Dentro do esperado</x:v>
      </x:c>
      <x:c r="H472" s="86" t="str">
        <x:v>Alto</x:v>
      </x:c>
      <x:c r="I472" s="87" t="n">
        <x:v>1</x:v>
      </x:c>
    </x:row>
    <x:row r="473">
      <x:c r="A473" s="85" t="n">
        <x:v>472</x:v>
      </x:c>
      <x:c r="B473" s="86" t="n">
        <x:v>245</x:v>
      </x:c>
      <x:c r="C473" s="86" t="n">
        <x:v>2025</x:v>
      </x:c>
      <x:c r="D473" s="86" t="n">
        <x:v>4.6</x:v>
      </x:c>
      <x:c r="E473" s="86" t="n">
        <x:v>4</x:v>
      </x:c>
      <x:c r="F473" s="86" t="n">
        <x:v>4.4</x:v>
      </x:c>
      <x:c r="G473" s="86" t="str">
        <x:v>Acima do esperado</x:v>
      </x:c>
      <x:c r="H473" s="86" t="str">
        <x:v>Médio</x:v>
      </x:c>
      <x:c r="I473" s="87" t="n">
        <x:v>0</x:v>
      </x:c>
    </x:row>
    <x:row r="474">
      <x:c r="A474" s="85" t="n">
        <x:v>473</x:v>
      </x:c>
      <x:c r="B474" s="86" t="n">
        <x:v>246</x:v>
      </x:c>
      <x:c r="C474" s="86" t="n">
        <x:v>2025</x:v>
      </x:c>
      <x:c r="D474" s="86" t="n">
        <x:v>3.2</x:v>
      </x:c>
      <x:c r="E474" s="86" t="n">
        <x:v>3.7</x:v>
      </x:c>
      <x:c r="F474" s="86" t="n">
        <x:v>3.4</x:v>
      </x:c>
      <x:c r="G474" s="86" t="str">
        <x:v>Dentro do esperado</x:v>
      </x:c>
      <x:c r="H474" s="86" t="str">
        <x:v>Baixo</x:v>
      </x:c>
      <x:c r="I474" s="87" t="n">
        <x:v>0</x:v>
      </x:c>
    </x:row>
    <x:row r="475">
      <x:c r="A475" s="85" t="n">
        <x:v>474</x:v>
      </x:c>
      <x:c r="B475" s="86" t="n">
        <x:v>247</x:v>
      </x:c>
      <x:c r="C475" s="86" t="n">
        <x:v>2025</x:v>
      </x:c>
      <x:c r="D475" s="86" t="n">
        <x:v>3.6</x:v>
      </x:c>
      <x:c r="E475" s="86" t="n">
        <x:v>4.8</x:v>
      </x:c>
      <x:c r="F475" s="86" t="n">
        <x:v>4.1</x:v>
      </x:c>
      <x:c r="G475" s="86" t="str">
        <x:v>Acima do esperado</x:v>
      </x:c>
      <x:c r="H475" s="86" t="str">
        <x:v>Alto</x:v>
      </x:c>
      <x:c r="I475" s="87" t="n">
        <x:v>1</x:v>
      </x:c>
    </x:row>
    <x:row r="476">
      <x:c r="A476" s="85" t="n">
        <x:v>475</x:v>
      </x:c>
      <x:c r="B476" s="86" t="n">
        <x:v>248</x:v>
      </x:c>
      <x:c r="C476" s="86" t="n">
        <x:v>2025</x:v>
      </x:c>
      <x:c r="D476" s="86" t="n">
        <x:v>2.5</x:v>
      </x:c>
      <x:c r="E476" s="86" t="n">
        <x:v>4.6</x:v>
      </x:c>
      <x:c r="F476" s="86" t="n">
        <x:v>3.3</x:v>
      </x:c>
      <x:c r="G476" s="86" t="str">
        <x:v>Dentro do esperado</x:v>
      </x:c>
      <x:c r="H476" s="86" t="str">
        <x:v>Baixo</x:v>
      </x:c>
      <x:c r="I476" s="87" t="n">
        <x:v>0</x:v>
      </x:c>
    </x:row>
    <x:row r="477">
      <x:c r="A477" s="85" t="n">
        <x:v>476</x:v>
      </x:c>
      <x:c r="B477" s="86" t="n">
        <x:v>249</x:v>
      </x:c>
      <x:c r="C477" s="86" t="n">
        <x:v>2025</x:v>
      </x:c>
      <x:c r="D477" s="86" t="n">
        <x:v>4.6</x:v>
      </x:c>
      <x:c r="E477" s="86" t="n">
        <x:v>2.6</x:v>
      </x:c>
      <x:c r="F477" s="86" t="n">
        <x:v>3.8</x:v>
      </x:c>
      <x:c r="G477" s="86" t="str">
        <x:v>Acima do esperado</x:v>
      </x:c>
      <x:c r="H477" s="86" t="str">
        <x:v>Médio</x:v>
      </x:c>
      <x:c r="I477" s="87" t="n">
        <x:v>0</x:v>
      </x:c>
    </x:row>
    <x:row r="478">
      <x:c r="A478" s="85" t="n">
        <x:v>477</x:v>
      </x:c>
      <x:c r="B478" s="86" t="n">
        <x:v>250</x:v>
      </x:c>
      <x:c r="C478" s="86" t="n">
        <x:v>2025</x:v>
      </x:c>
      <x:c r="D478" s="86" t="n">
        <x:v>3.4</x:v>
      </x:c>
      <x:c r="E478" s="86" t="n">
        <x:v>4.7</x:v>
      </x:c>
      <x:c r="F478" s="86" t="n">
        <x:v>3.9</x:v>
      </x:c>
      <x:c r="G478" s="86" t="str">
        <x:v>Acima do esperado</x:v>
      </x:c>
      <x:c r="H478" s="86" t="str">
        <x:v>Médio</x:v>
      </x:c>
      <x:c r="I478" s="87" t="n">
        <x:v>0</x:v>
      </x:c>
    </x:row>
    <x:row r="479">
      <x:c r="A479" s="85" t="n">
        <x:v>478</x:v>
      </x:c>
      <x:c r="B479" s="86" t="n">
        <x:v>251</x:v>
      </x:c>
      <x:c r="C479" s="86" t="n">
        <x:v>2025</x:v>
      </x:c>
      <x:c r="D479" s="86" t="n">
        <x:v>4.4</x:v>
      </x:c>
      <x:c r="E479" s="86" t="n">
        <x:v>4.5</x:v>
      </x:c>
      <x:c r="F479" s="86" t="n">
        <x:v>4.4</x:v>
      </x:c>
      <x:c r="G479" s="86" t="str">
        <x:v>Acima do esperado</x:v>
      </x:c>
      <x:c r="H479" s="86" t="str">
        <x:v>Médio</x:v>
      </x:c>
      <x:c r="I479" s="87" t="n">
        <x:v>0</x:v>
      </x:c>
    </x:row>
    <x:row r="480">
      <x:c r="A480" s="85" t="n">
        <x:v>479</x:v>
      </x:c>
      <x:c r="B480" s="86" t="n">
        <x:v>252</x:v>
      </x:c>
      <x:c r="C480" s="86" t="n">
        <x:v>2025</x:v>
      </x:c>
      <x:c r="D480" s="86" t="n">
        <x:v>2.5</x:v>
      </x:c>
      <x:c r="E480" s="86" t="n">
        <x:v>4.8</x:v>
      </x:c>
      <x:c r="F480" s="86" t="n">
        <x:v>3.4</x:v>
      </x:c>
      <x:c r="G480" s="86" t="str">
        <x:v>Dentro do esperado</x:v>
      </x:c>
      <x:c r="H480" s="86" t="str">
        <x:v>Médio</x:v>
      </x:c>
      <x:c r="I480" s="87" t="n">
        <x:v>0</x:v>
      </x:c>
    </x:row>
    <x:row r="481">
      <x:c r="A481" s="85" t="n">
        <x:v>480</x:v>
      </x:c>
      <x:c r="B481" s="86" t="n">
        <x:v>253</x:v>
      </x:c>
      <x:c r="C481" s="86" t="n">
        <x:v>2025</x:v>
      </x:c>
      <x:c r="D481" s="86" t="n">
        <x:v>4.4</x:v>
      </x:c>
      <x:c r="E481" s="86" t="n">
        <x:v>3</x:v>
      </x:c>
      <x:c r="F481" s="86" t="n">
        <x:v>3.8</x:v>
      </x:c>
      <x:c r="G481" s="86" t="str">
        <x:v>Acima do esperado</x:v>
      </x:c>
      <x:c r="H481" s="86" t="str">
        <x:v>Alto</x:v>
      </x:c>
      <x:c r="I481" s="87" t="n">
        <x:v>1</x:v>
      </x:c>
    </x:row>
    <x:row r="482">
      <x:c r="A482" s="85" t="n">
        <x:v>481</x:v>
      </x:c>
      <x:c r="B482" s="86" t="n">
        <x:v>254</x:v>
      </x:c>
      <x:c r="C482" s="86" t="n">
        <x:v>2025</x:v>
      </x:c>
      <x:c r="D482" s="86" t="n">
        <x:v>4.4</x:v>
      </x:c>
      <x:c r="E482" s="86" t="n">
        <x:v>4.1</x:v>
      </x:c>
      <x:c r="F482" s="86" t="n">
        <x:v>4.3</x:v>
      </x:c>
      <x:c r="G482" s="86" t="str">
        <x:v>Acima do esperado</x:v>
      </x:c>
      <x:c r="H482" s="86" t="str">
        <x:v>Médio</x:v>
      </x:c>
      <x:c r="I482" s="87" t="n">
        <x:v>0</x:v>
      </x:c>
    </x:row>
    <x:row r="483">
      <x:c r="A483" s="85" t="n">
        <x:v>482</x:v>
      </x:c>
      <x:c r="B483" s="86" t="n">
        <x:v>255</x:v>
      </x:c>
      <x:c r="C483" s="86" t="n">
        <x:v>2025</x:v>
      </x:c>
      <x:c r="D483" s="86" t="n">
        <x:v>3.1</x:v>
      </x:c>
      <x:c r="E483" s="86" t="n">
        <x:v>2.7</x:v>
      </x:c>
      <x:c r="F483" s="86" t="n">
        <x:v>2.9</x:v>
      </x:c>
      <x:c r="G483" s="86" t="str">
        <x:v>Abaixo do esperado</x:v>
      </x:c>
      <x:c r="H483" s="86" t="str">
        <x:v>Médio</x:v>
      </x:c>
      <x:c r="I483" s="87" t="n">
        <x:v>1</x:v>
      </x:c>
    </x:row>
    <x:row r="484">
      <x:c r="A484" s="85" t="n">
        <x:v>483</x:v>
      </x:c>
      <x:c r="B484" s="86" t="n">
        <x:v>256</x:v>
      </x:c>
      <x:c r="C484" s="86" t="n">
        <x:v>2025</x:v>
      </x:c>
      <x:c r="D484" s="86" t="n">
        <x:v>2.6</x:v>
      </x:c>
      <x:c r="E484" s="86" t="n">
        <x:v>2.8</x:v>
      </x:c>
      <x:c r="F484" s="86" t="n">
        <x:v>2.7</x:v>
      </x:c>
      <x:c r="G484" s="86" t="str">
        <x:v>Abaixo do esperado</x:v>
      </x:c>
      <x:c r="H484" s="86" t="str">
        <x:v>Médio</x:v>
      </x:c>
      <x:c r="I484" s="87" t="n">
        <x:v>1</x:v>
      </x:c>
    </x:row>
    <x:row r="485">
      <x:c r="A485" s="85" t="n">
        <x:v>484</x:v>
      </x:c>
      <x:c r="B485" s="86" t="n">
        <x:v>257</x:v>
      </x:c>
      <x:c r="C485" s="86" t="n">
        <x:v>2025</x:v>
      </x:c>
      <x:c r="D485" s="86" t="n">
        <x:v>3.6</x:v>
      </x:c>
      <x:c r="E485" s="86" t="n">
        <x:v>2.8</x:v>
      </x:c>
      <x:c r="F485" s="86" t="n">
        <x:v>3.3</x:v>
      </x:c>
      <x:c r="G485" s="86" t="str">
        <x:v>Dentro do esperado</x:v>
      </x:c>
      <x:c r="H485" s="86" t="str">
        <x:v>Baixo</x:v>
      </x:c>
      <x:c r="I485" s="87" t="n">
        <x:v>0</x:v>
      </x:c>
    </x:row>
    <x:row r="486">
      <x:c r="A486" s="85" t="n">
        <x:v>485</x:v>
      </x:c>
      <x:c r="B486" s="86" t="n">
        <x:v>258</x:v>
      </x:c>
      <x:c r="C486" s="86" t="n">
        <x:v>2025</x:v>
      </x:c>
      <x:c r="D486" s="86" t="n">
        <x:v>3.4</x:v>
      </x:c>
      <x:c r="E486" s="86" t="n">
        <x:v>3.7</x:v>
      </x:c>
      <x:c r="F486" s="86" t="n">
        <x:v>3.5</x:v>
      </x:c>
      <x:c r="G486" s="86" t="str">
        <x:v>Dentro do esperado</x:v>
      </x:c>
      <x:c r="H486" s="86" t="str">
        <x:v>Baixo</x:v>
      </x:c>
      <x:c r="I486" s="87" t="n">
        <x:v>0</x:v>
      </x:c>
    </x:row>
    <x:row r="487">
      <x:c r="A487" s="85" t="n">
        <x:v>486</x:v>
      </x:c>
      <x:c r="B487" s="86" t="n">
        <x:v>259</x:v>
      </x:c>
      <x:c r="C487" s="86" t="n">
        <x:v>2025</x:v>
      </x:c>
      <x:c r="D487" s="86" t="n">
        <x:v>2.4</x:v>
      </x:c>
      <x:c r="E487" s="86" t="n">
        <x:v>4.7</x:v>
      </x:c>
      <x:c r="F487" s="86" t="n">
        <x:v>3.3</x:v>
      </x:c>
      <x:c r="G487" s="86" t="str">
        <x:v>Dentro do esperado</x:v>
      </x:c>
      <x:c r="H487" s="86" t="str">
        <x:v>Médio</x:v>
      </x:c>
      <x:c r="I487" s="87" t="n">
        <x:v>0</x:v>
      </x:c>
    </x:row>
    <x:row r="488">
      <x:c r="A488" s="85" t="n">
        <x:v>487</x:v>
      </x:c>
      <x:c r="B488" s="86" t="n">
        <x:v>260</x:v>
      </x:c>
      <x:c r="C488" s="86" t="n">
        <x:v>2025</x:v>
      </x:c>
      <x:c r="D488" s="86" t="n">
        <x:v>4.4</x:v>
      </x:c>
      <x:c r="E488" s="86" t="n">
        <x:v>4</x:v>
      </x:c>
      <x:c r="F488" s="86" t="n">
        <x:v>4.2</x:v>
      </x:c>
      <x:c r="G488" s="86" t="str">
        <x:v>Acima do esperado</x:v>
      </x:c>
      <x:c r="H488" s="86" t="str">
        <x:v>Baixo</x:v>
      </x:c>
      <x:c r="I488" s="87" t="n">
        <x:v>0</x:v>
      </x:c>
    </x:row>
    <x:row r="489">
      <x:c r="A489" s="85" t="n">
        <x:v>488</x:v>
      </x:c>
      <x:c r="B489" s="86" t="n">
        <x:v>261</x:v>
      </x:c>
      <x:c r="C489" s="86" t="n">
        <x:v>2025</x:v>
      </x:c>
      <x:c r="D489" s="86" t="n">
        <x:v>3.3</x:v>
      </x:c>
      <x:c r="E489" s="86" t="n">
        <x:v>4.5</x:v>
      </x:c>
      <x:c r="F489" s="86" t="n">
        <x:v>3.8</x:v>
      </x:c>
      <x:c r="G489" s="86" t="str">
        <x:v>Acima do esperado</x:v>
      </x:c>
      <x:c r="H489" s="86" t="str">
        <x:v>Baixo</x:v>
      </x:c>
      <x:c r="I489" s="87" t="n">
        <x:v>0</x:v>
      </x:c>
    </x:row>
    <x:row r="490">
      <x:c r="A490" s="85" t="n">
        <x:v>489</x:v>
      </x:c>
      <x:c r="B490" s="86" t="n">
        <x:v>262</x:v>
      </x:c>
      <x:c r="C490" s="86" t="n">
        <x:v>2025</x:v>
      </x:c>
      <x:c r="D490" s="86" t="n">
        <x:v>3.5</x:v>
      </x:c>
      <x:c r="E490" s="86" t="n">
        <x:v>4</x:v>
      </x:c>
      <x:c r="F490" s="86" t="n">
        <x:v>3.7</x:v>
      </x:c>
      <x:c r="G490" s="86" t="str">
        <x:v>Dentro do esperado</x:v>
      </x:c>
      <x:c r="H490" s="86" t="str">
        <x:v>Médio</x:v>
      </x:c>
      <x:c r="I490" s="87" t="n">
        <x:v>0</x:v>
      </x:c>
    </x:row>
    <x:row r="491">
      <x:c r="A491" s="85" t="n">
        <x:v>490</x:v>
      </x:c>
      <x:c r="B491" s="86" t="n">
        <x:v>264</x:v>
      </x:c>
      <x:c r="C491" s="86" t="n">
        <x:v>2025</x:v>
      </x:c>
      <x:c r="D491" s="86" t="n">
        <x:v>3.7</x:v>
      </x:c>
      <x:c r="E491" s="86" t="n">
        <x:v>4.8</x:v>
      </x:c>
      <x:c r="F491" s="86" t="n">
        <x:v>4.1</x:v>
      </x:c>
      <x:c r="G491" s="86" t="str">
        <x:v>Acima do esperado</x:v>
      </x:c>
      <x:c r="H491" s="86" t="str">
        <x:v>Médio</x:v>
      </x:c>
      <x:c r="I491" s="87" t="n">
        <x:v>0</x:v>
      </x:c>
    </x:row>
    <x:row r="492">
      <x:c r="A492" s="85" t="n">
        <x:v>491</x:v>
      </x:c>
      <x:c r="B492" s="86" t="n">
        <x:v>265</x:v>
      </x:c>
      <x:c r="C492" s="86" t="n">
        <x:v>2025</x:v>
      </x:c>
      <x:c r="D492" s="86" t="n">
        <x:v>3.7</x:v>
      </x:c>
      <x:c r="E492" s="86" t="n">
        <x:v>3.7</x:v>
      </x:c>
      <x:c r="F492" s="86" t="n">
        <x:v>3.7</x:v>
      </x:c>
      <x:c r="G492" s="86" t="str">
        <x:v>Dentro do esperado</x:v>
      </x:c>
      <x:c r="H492" s="86" t="str">
        <x:v>Médio</x:v>
      </x:c>
      <x:c r="I492" s="87" t="n">
        <x:v>0</x:v>
      </x:c>
    </x:row>
    <x:row r="493">
      <x:c r="A493" s="85" t="n">
        <x:v>492</x:v>
      </x:c>
      <x:c r="B493" s="86" t="n">
        <x:v>266</x:v>
      </x:c>
      <x:c r="C493" s="86" t="n">
        <x:v>2025</x:v>
      </x:c>
      <x:c r="D493" s="86" t="n">
        <x:v>3</x:v>
      </x:c>
      <x:c r="E493" s="86" t="n">
        <x:v>3.6</x:v>
      </x:c>
      <x:c r="F493" s="86" t="n">
        <x:v>3.2</x:v>
      </x:c>
      <x:c r="G493" s="86" t="str">
        <x:v>Dentro do esperado</x:v>
      </x:c>
      <x:c r="H493" s="86" t="str">
        <x:v>Médio</x:v>
      </x:c>
      <x:c r="I493" s="87" t="n">
        <x:v>0</x:v>
      </x:c>
    </x:row>
    <x:row r="494">
      <x:c r="A494" s="85" t="n">
        <x:v>493</x:v>
      </x:c>
      <x:c r="B494" s="86" t="n">
        <x:v>267</x:v>
      </x:c>
      <x:c r="C494" s="86" t="n">
        <x:v>2025</x:v>
      </x:c>
      <x:c r="D494" s="86" t="n">
        <x:v>3</x:v>
      </x:c>
      <x:c r="E494" s="86" t="n">
        <x:v>3.3</x:v>
      </x:c>
      <x:c r="F494" s="86" t="n">
        <x:v>3.1</x:v>
      </x:c>
      <x:c r="G494" s="86" t="str">
        <x:v>Dentro do esperado</x:v>
      </x:c>
      <x:c r="H494" s="86" t="str">
        <x:v>Médio</x:v>
      </x:c>
      <x:c r="I494" s="87" t="n">
        <x:v>1</x:v>
      </x:c>
    </x:row>
    <x:row r="495">
      <x:c r="A495" s="85" t="n">
        <x:v>494</x:v>
      </x:c>
      <x:c r="B495" s="86" t="n">
        <x:v>268</x:v>
      </x:c>
      <x:c r="C495" s="86" t="n">
        <x:v>2025</x:v>
      </x:c>
      <x:c r="D495" s="86" t="n">
        <x:v>3.7</x:v>
      </x:c>
      <x:c r="E495" s="86" t="n">
        <x:v>2.6</x:v>
      </x:c>
      <x:c r="F495" s="86" t="n">
        <x:v>3.3</x:v>
      </x:c>
      <x:c r="G495" s="86" t="str">
        <x:v>Dentro do esperado</x:v>
      </x:c>
      <x:c r="H495" s="86" t="str">
        <x:v>Médio</x:v>
      </x:c>
      <x:c r="I495" s="87" t="n">
        <x:v>0</x:v>
      </x:c>
    </x:row>
    <x:row r="496">
      <x:c r="A496" s="85" t="n">
        <x:v>495</x:v>
      </x:c>
      <x:c r="B496" s="86" t="n">
        <x:v>269</x:v>
      </x:c>
      <x:c r="C496" s="86" t="n">
        <x:v>2025</x:v>
      </x:c>
      <x:c r="D496" s="86" t="n">
        <x:v>2.7</x:v>
      </x:c>
      <x:c r="E496" s="86" t="n">
        <x:v>3.8</x:v>
      </x:c>
      <x:c r="F496" s="86" t="n">
        <x:v>3.1</x:v>
      </x:c>
      <x:c r="G496" s="86" t="str">
        <x:v>Dentro do esperado</x:v>
      </x:c>
      <x:c r="H496" s="86" t="str">
        <x:v>Alto</x:v>
      </x:c>
      <x:c r="I496" s="87" t="n">
        <x:v>1</x:v>
      </x:c>
    </x:row>
    <x:row r="497">
      <x:c r="A497" s="85" t="n">
        <x:v>496</x:v>
      </x:c>
      <x:c r="B497" s="86" t="n">
        <x:v>270</x:v>
      </x:c>
      <x:c r="C497" s="86" t="n">
        <x:v>2025</x:v>
      </x:c>
      <x:c r="D497" s="86" t="n">
        <x:v>3</x:v>
      </x:c>
      <x:c r="E497" s="86" t="n">
        <x:v>3.4</x:v>
      </x:c>
      <x:c r="F497" s="86" t="n">
        <x:v>3.2</x:v>
      </x:c>
      <x:c r="G497" s="86" t="str">
        <x:v>Dentro do esperado</x:v>
      </x:c>
      <x:c r="H497" s="86" t="str">
        <x:v>Alto</x:v>
      </x:c>
      <x:c r="I497" s="87" t="n">
        <x:v>1</x:v>
      </x:c>
    </x:row>
    <x:row r="498">
      <x:c r="A498" s="85" t="n">
        <x:v>497</x:v>
      </x:c>
      <x:c r="B498" s="86" t="n">
        <x:v>271</x:v>
      </x:c>
      <x:c r="C498" s="86" t="n">
        <x:v>2025</x:v>
      </x:c>
      <x:c r="D498" s="86" t="n">
        <x:v>4.8</x:v>
      </x:c>
      <x:c r="E498" s="86" t="n">
        <x:v>4.8</x:v>
      </x:c>
      <x:c r="F498" s="86" t="n">
        <x:v>4.8</x:v>
      </x:c>
      <x:c r="G498" s="86" t="str">
        <x:v>Excepcional</x:v>
      </x:c>
      <x:c r="H498" s="86" t="str">
        <x:v>Baixo</x:v>
      </x:c>
      <x:c r="I498" s="87" t="n">
        <x:v>0</x:v>
      </x:c>
    </x:row>
    <x:row r="499">
      <x:c r="A499" s="85" t="n">
        <x:v>498</x:v>
      </x:c>
      <x:c r="B499" s="86" t="n">
        <x:v>272</x:v>
      </x:c>
      <x:c r="C499" s="86" t="n">
        <x:v>2025</x:v>
      </x:c>
      <x:c r="D499" s="86" t="n">
        <x:v>2.7</x:v>
      </x:c>
      <x:c r="E499" s="86" t="n">
        <x:v>3.8</x:v>
      </x:c>
      <x:c r="F499" s="86" t="n">
        <x:v>3.1</x:v>
      </x:c>
      <x:c r="G499" s="86" t="str">
        <x:v>Dentro do esperado</x:v>
      </x:c>
      <x:c r="H499" s="86" t="str">
        <x:v>Médio</x:v>
      </x:c>
      <x:c r="I499" s="87" t="n">
        <x:v>1</x:v>
      </x:c>
    </x:row>
    <x:row r="500">
      <x:c r="A500" s="85" t="n">
        <x:v>499</x:v>
      </x:c>
      <x:c r="B500" s="86" t="n">
        <x:v>273</x:v>
      </x:c>
      <x:c r="C500" s="86" t="n">
        <x:v>2025</x:v>
      </x:c>
      <x:c r="D500" s="86" t="n">
        <x:v>4.2</x:v>
      </x:c>
      <x:c r="E500" s="86" t="n">
        <x:v>2.5</x:v>
      </x:c>
      <x:c r="F500" s="86" t="n">
        <x:v>3.5</x:v>
      </x:c>
      <x:c r="G500" s="86" t="str">
        <x:v>Dentro do esperado</x:v>
      </x:c>
      <x:c r="H500" s="86" t="str">
        <x:v>Alto</x:v>
      </x:c>
      <x:c r="I500" s="87" t="n">
        <x:v>1</x:v>
      </x:c>
    </x:row>
    <x:row r="501">
      <x:c r="A501" s="85" t="n">
        <x:v>500</x:v>
      </x:c>
      <x:c r="B501" s="86" t="n">
        <x:v>274</x:v>
      </x:c>
      <x:c r="C501" s="86" t="n">
        <x:v>2025</x:v>
      </x:c>
      <x:c r="D501" s="86" t="n">
        <x:v>2.4</x:v>
      </x:c>
      <x:c r="E501" s="86" t="n">
        <x:v>3.3</x:v>
      </x:c>
      <x:c r="F501" s="86" t="n">
        <x:v>2.8</x:v>
      </x:c>
      <x:c r="G501" s="86" t="str">
        <x:v>Abaixo do esperado</x:v>
      </x:c>
      <x:c r="H501" s="86" t="str">
        <x:v>Médio</x:v>
      </x:c>
      <x:c r="I501" s="87" t="n">
        <x:v>1</x:v>
      </x:c>
    </x:row>
    <x:row r="502">
      <x:c r="A502" s="85" t="n">
        <x:v>501</x:v>
      </x:c>
      <x:c r="B502" s="86" t="n">
        <x:v>275</x:v>
      </x:c>
      <x:c r="C502" s="86" t="n">
        <x:v>2025</x:v>
      </x:c>
      <x:c r="D502" s="86" t="n">
        <x:v>3</x:v>
      </x:c>
      <x:c r="E502" s="86" t="n">
        <x:v>3.9</x:v>
      </x:c>
      <x:c r="F502" s="86" t="n">
        <x:v>3.4</x:v>
      </x:c>
      <x:c r="G502" s="86" t="str">
        <x:v>Dentro do esperado</x:v>
      </x:c>
      <x:c r="H502" s="86" t="str">
        <x:v>Médio</x:v>
      </x:c>
      <x:c r="I502" s="87" t="n">
        <x:v>0</x:v>
      </x:c>
    </x:row>
    <x:row r="503">
      <x:c r="A503" s="85" t="n">
        <x:v>502</x:v>
      </x:c>
      <x:c r="B503" s="86" t="n">
        <x:v>276</x:v>
      </x:c>
      <x:c r="C503" s="86" t="n">
        <x:v>2025</x:v>
      </x:c>
      <x:c r="D503" s="86" t="n">
        <x:v>4.2</x:v>
      </x:c>
      <x:c r="E503" s="86" t="n">
        <x:v>4.5</x:v>
      </x:c>
      <x:c r="F503" s="86" t="n">
        <x:v>4.3</x:v>
      </x:c>
      <x:c r="G503" s="86" t="str">
        <x:v>Acima do esperado</x:v>
      </x:c>
      <x:c r="H503" s="86" t="str">
        <x:v>Médio</x:v>
      </x:c>
      <x:c r="I503" s="87" t="n">
        <x:v>0</x:v>
      </x:c>
    </x:row>
    <x:row r="504">
      <x:c r="A504" s="85" t="n">
        <x:v>503</x:v>
      </x:c>
      <x:c r="B504" s="86" t="n">
        <x:v>277</x:v>
      </x:c>
      <x:c r="C504" s="86" t="n">
        <x:v>2025</x:v>
      </x:c>
      <x:c r="D504" s="86" t="n">
        <x:v>2.3</x:v>
      </x:c>
      <x:c r="E504" s="86" t="n">
        <x:v>4.7</x:v>
      </x:c>
      <x:c r="F504" s="86" t="n">
        <x:v>3.3</x:v>
      </x:c>
      <x:c r="G504" s="86" t="str">
        <x:v>Dentro do esperado</x:v>
      </x:c>
      <x:c r="H504" s="86" t="str">
        <x:v>Médio</x:v>
      </x:c>
      <x:c r="I504" s="87" t="n">
        <x:v>0</x:v>
      </x:c>
    </x:row>
    <x:row r="505">
      <x:c r="A505" s="85" t="n">
        <x:v>504</x:v>
      </x:c>
      <x:c r="B505" s="86" t="n">
        <x:v>278</x:v>
      </x:c>
      <x:c r="C505" s="86" t="n">
        <x:v>2025</x:v>
      </x:c>
      <x:c r="D505" s="86" t="n">
        <x:v>3.3</x:v>
      </x:c>
      <x:c r="E505" s="86" t="n">
        <x:v>3.7</x:v>
      </x:c>
      <x:c r="F505" s="86" t="n">
        <x:v>3.5</x:v>
      </x:c>
      <x:c r="G505" s="86" t="str">
        <x:v>Dentro do esperado</x:v>
      </x:c>
      <x:c r="H505" s="86" t="str">
        <x:v>Médio</x:v>
      </x:c>
      <x:c r="I505" s="87" t="n">
        <x:v>0</x:v>
      </x:c>
    </x:row>
    <x:row r="506">
      <x:c r="A506" s="85" t="n">
        <x:v>505</x:v>
      </x:c>
      <x:c r="B506" s="86" t="n">
        <x:v>279</x:v>
      </x:c>
      <x:c r="C506" s="86" t="n">
        <x:v>2025</x:v>
      </x:c>
      <x:c r="D506" s="86" t="n">
        <x:v>4.3</x:v>
      </x:c>
      <x:c r="E506" s="86" t="n">
        <x:v>4.4</x:v>
      </x:c>
      <x:c r="F506" s="86" t="n">
        <x:v>4.3</x:v>
      </x:c>
      <x:c r="G506" s="86" t="str">
        <x:v>Acima do esperado</x:v>
      </x:c>
      <x:c r="H506" s="86" t="str">
        <x:v>Médio</x:v>
      </x:c>
      <x:c r="I506" s="87" t="n">
        <x:v>0</x:v>
      </x:c>
    </x:row>
    <x:row r="507">
      <x:c r="A507" s="85" t="n">
        <x:v>506</x:v>
      </x:c>
      <x:c r="B507" s="86" t="n">
        <x:v>280</x:v>
      </x:c>
      <x:c r="C507" s="86" t="n">
        <x:v>2025</x:v>
      </x:c>
      <x:c r="D507" s="86" t="n">
        <x:v>2.8</x:v>
      </x:c>
      <x:c r="E507" s="86" t="n">
        <x:v>2.8</x:v>
      </x:c>
      <x:c r="F507" s="86" t="n">
        <x:v>2.8</x:v>
      </x:c>
      <x:c r="G507" s="86" t="str">
        <x:v>Abaixo do esperado</x:v>
      </x:c>
      <x:c r="H507" s="86" t="str">
        <x:v>Médio</x:v>
      </x:c>
      <x:c r="I507" s="87" t="n">
        <x:v>1</x:v>
      </x:c>
    </x:row>
    <x:row r="508">
      <x:c r="A508" s="85" t="n">
        <x:v>507</x:v>
      </x:c>
      <x:c r="B508" s="86" t="n">
        <x:v>281</x:v>
      </x:c>
      <x:c r="C508" s="86" t="n">
        <x:v>2025</x:v>
      </x:c>
      <x:c r="D508" s="86" t="n">
        <x:v>2.9</x:v>
      </x:c>
      <x:c r="E508" s="86" t="n">
        <x:v>3.7</x:v>
      </x:c>
      <x:c r="F508" s="86" t="n">
        <x:v>3.2</x:v>
      </x:c>
      <x:c r="G508" s="86" t="str">
        <x:v>Dentro do esperado</x:v>
      </x:c>
      <x:c r="H508" s="86" t="str">
        <x:v>Médio</x:v>
      </x:c>
      <x:c r="I508" s="87" t="n">
        <x:v>0</x:v>
      </x:c>
    </x:row>
    <x:row r="509">
      <x:c r="A509" s="85" t="n">
        <x:v>508</x:v>
      </x:c>
      <x:c r="B509" s="86" t="n">
        <x:v>282</x:v>
      </x:c>
      <x:c r="C509" s="86" t="n">
        <x:v>2025</x:v>
      </x:c>
      <x:c r="D509" s="86" t="n">
        <x:v>4.3</x:v>
      </x:c>
      <x:c r="E509" s="86" t="n">
        <x:v>3.3</x:v>
      </x:c>
      <x:c r="F509" s="86" t="n">
        <x:v>3.9</x:v>
      </x:c>
      <x:c r="G509" s="86" t="str">
        <x:v>Acima do esperado</x:v>
      </x:c>
      <x:c r="H509" s="86" t="str">
        <x:v>Baixo</x:v>
      </x:c>
      <x:c r="I509" s="87" t="n">
        <x:v>0</x:v>
      </x:c>
    </x:row>
    <x:row r="510">
      <x:c r="A510" s="85" t="n">
        <x:v>509</x:v>
      </x:c>
      <x:c r="B510" s="86" t="n">
        <x:v>283</x:v>
      </x:c>
      <x:c r="C510" s="86" t="n">
        <x:v>2025</x:v>
      </x:c>
      <x:c r="D510" s="86" t="n">
        <x:v>3.8</x:v>
      </x:c>
      <x:c r="E510" s="86" t="n">
        <x:v>2.4</x:v>
      </x:c>
      <x:c r="F510" s="86" t="n">
        <x:v>3.2</x:v>
      </x:c>
      <x:c r="G510" s="86" t="str">
        <x:v>Dentro do esperado</x:v>
      </x:c>
      <x:c r="H510" s="86" t="str">
        <x:v>Alto</x:v>
      </x:c>
      <x:c r="I510" s="87" t="n">
        <x:v>1</x:v>
      </x:c>
    </x:row>
    <x:row r="511">
      <x:c r="A511" s="85" t="n">
        <x:v>510</x:v>
      </x:c>
      <x:c r="B511" s="86" t="n">
        <x:v>284</x:v>
      </x:c>
      <x:c r="C511" s="86" t="n">
        <x:v>2025</x:v>
      </x:c>
      <x:c r="D511" s="86" t="n">
        <x:v>4.3</x:v>
      </x:c>
      <x:c r="E511" s="86" t="n">
        <x:v>2.9</x:v>
      </x:c>
      <x:c r="F511" s="86" t="n">
        <x:v>3.7</x:v>
      </x:c>
      <x:c r="G511" s="86" t="str">
        <x:v>Dentro do esperado</x:v>
      </x:c>
      <x:c r="H511" s="86" t="str">
        <x:v>Médio</x:v>
      </x:c>
      <x:c r="I511" s="87" t="n">
        <x:v>0</x:v>
      </x:c>
    </x:row>
    <x:row r="512">
      <x:c r="A512" s="85" t="n">
        <x:v>511</x:v>
      </x:c>
      <x:c r="B512" s="86" t="n">
        <x:v>286</x:v>
      </x:c>
      <x:c r="C512" s="86" t="n">
        <x:v>2025</x:v>
      </x:c>
      <x:c r="D512" s="86" t="n">
        <x:v>3.1</x:v>
      </x:c>
      <x:c r="E512" s="86" t="n">
        <x:v>4</x:v>
      </x:c>
      <x:c r="F512" s="86" t="n">
        <x:v>3.5</x:v>
      </x:c>
      <x:c r="G512" s="86" t="str">
        <x:v>Dentro do esperado</x:v>
      </x:c>
      <x:c r="H512" s="86" t="str">
        <x:v>Médio</x:v>
      </x:c>
      <x:c r="I512" s="87" t="n">
        <x:v>0</x:v>
      </x:c>
    </x:row>
    <x:row r="513">
      <x:c r="A513" s="85" t="n">
        <x:v>512</x:v>
      </x:c>
      <x:c r="B513" s="86" t="n">
        <x:v>287</x:v>
      </x:c>
      <x:c r="C513" s="86" t="n">
        <x:v>2025</x:v>
      </x:c>
      <x:c r="D513" s="86" t="n">
        <x:v>2.6</x:v>
      </x:c>
      <x:c r="E513" s="86" t="n">
        <x:v>3</x:v>
      </x:c>
      <x:c r="F513" s="86" t="n">
        <x:v>2.8</x:v>
      </x:c>
      <x:c r="G513" s="86" t="str">
        <x:v>Abaixo do esperado</x:v>
      </x:c>
      <x:c r="H513" s="86" t="str">
        <x:v>Médio</x:v>
      </x:c>
      <x:c r="I513" s="87" t="n">
        <x:v>1</x:v>
      </x:c>
    </x:row>
    <x:row r="514">
      <x:c r="A514" s="85" t="n">
        <x:v>513</x:v>
      </x:c>
      <x:c r="B514" s="86" t="n">
        <x:v>288</x:v>
      </x:c>
      <x:c r="C514" s="86" t="n">
        <x:v>2025</x:v>
      </x:c>
      <x:c r="D514" s="86" t="n">
        <x:v>3.6</x:v>
      </x:c>
      <x:c r="E514" s="86" t="n">
        <x:v>3.4</x:v>
      </x:c>
      <x:c r="F514" s="86" t="n">
        <x:v>3.5</x:v>
      </x:c>
      <x:c r="G514" s="86" t="str">
        <x:v>Dentro do esperado</x:v>
      </x:c>
      <x:c r="H514" s="86" t="str">
        <x:v>Médio</x:v>
      </x:c>
      <x:c r="I514" s="87" t="n">
        <x:v>0</x:v>
      </x:c>
    </x:row>
    <x:row r="515">
      <x:c r="A515" s="85" t="n">
        <x:v>514</x:v>
      </x:c>
      <x:c r="B515" s="86" t="n">
        <x:v>290</x:v>
      </x:c>
      <x:c r="C515" s="86" t="n">
        <x:v>2025</x:v>
      </x:c>
      <x:c r="D515" s="86" t="n">
        <x:v>4.5</x:v>
      </x:c>
      <x:c r="E515" s="86" t="n">
        <x:v>3.1</x:v>
      </x:c>
      <x:c r="F515" s="86" t="n">
        <x:v>3.9</x:v>
      </x:c>
      <x:c r="G515" s="86" t="str">
        <x:v>Acima do esperado</x:v>
      </x:c>
      <x:c r="H515" s="86" t="str">
        <x:v>Alto</x:v>
      </x:c>
      <x:c r="I515" s="87" t="n">
        <x:v>1</x:v>
      </x:c>
    </x:row>
    <x:row r="516">
      <x:c r="A516" s="85" t="n">
        <x:v>515</x:v>
      </x:c>
      <x:c r="B516" s="86" t="n">
        <x:v>291</x:v>
      </x:c>
      <x:c r="C516" s="86" t="n">
        <x:v>2025</x:v>
      </x:c>
      <x:c r="D516" s="86" t="n">
        <x:v>3.8</x:v>
      </x:c>
      <x:c r="E516" s="86" t="n">
        <x:v>2.8</x:v>
      </x:c>
      <x:c r="F516" s="86" t="n">
        <x:v>3.4</x:v>
      </x:c>
      <x:c r="G516" s="86" t="str">
        <x:v>Dentro do esperado</x:v>
      </x:c>
      <x:c r="H516" s="86" t="str">
        <x:v>Médio</x:v>
      </x:c>
      <x:c r="I516" s="87" t="n">
        <x:v>0</x:v>
      </x:c>
    </x:row>
    <x:row r="517">
      <x:c r="A517" s="85" t="n">
        <x:v>516</x:v>
      </x:c>
      <x:c r="B517" s="86" t="n">
        <x:v>292</x:v>
      </x:c>
      <x:c r="C517" s="86" t="n">
        <x:v>2025</x:v>
      </x:c>
      <x:c r="D517" s="86" t="n">
        <x:v>3.2</x:v>
      </x:c>
      <x:c r="E517" s="86" t="n">
        <x:v>4.5</x:v>
      </x:c>
      <x:c r="F517" s="86" t="n">
        <x:v>3.7</x:v>
      </x:c>
      <x:c r="G517" s="86" t="str">
        <x:v>Dentro do esperado</x:v>
      </x:c>
      <x:c r="H517" s="86" t="str">
        <x:v>Médio</x:v>
      </x:c>
      <x:c r="I517" s="87" t="n">
        <x:v>0</x:v>
      </x:c>
    </x:row>
    <x:row r="518">
      <x:c r="A518" s="85" t="n">
        <x:v>517</x:v>
      </x:c>
      <x:c r="B518" s="86" t="n">
        <x:v>293</x:v>
      </x:c>
      <x:c r="C518" s="86" t="n">
        <x:v>2025</x:v>
      </x:c>
      <x:c r="D518" s="86" t="n">
        <x:v>3.1</x:v>
      </x:c>
      <x:c r="E518" s="86" t="n">
        <x:v>3.9</x:v>
      </x:c>
      <x:c r="F518" s="86" t="n">
        <x:v>3.4</x:v>
      </x:c>
      <x:c r="G518" s="86" t="str">
        <x:v>Dentro do esperado</x:v>
      </x:c>
      <x:c r="H518" s="86" t="str">
        <x:v>Baixo</x:v>
      </x:c>
      <x:c r="I518" s="87" t="n">
        <x:v>0</x:v>
      </x:c>
    </x:row>
    <x:row r="519">
      <x:c r="A519" s="85" t="n">
        <x:v>518</x:v>
      </x:c>
      <x:c r="B519" s="86" t="n">
        <x:v>294</x:v>
      </x:c>
      <x:c r="C519" s="86" t="n">
        <x:v>2025</x:v>
      </x:c>
      <x:c r="D519" s="86" t="n">
        <x:v>4.8</x:v>
      </x:c>
      <x:c r="E519" s="86" t="n">
        <x:v>4.2</x:v>
      </x:c>
      <x:c r="F519" s="86" t="n">
        <x:v>4.6</x:v>
      </x:c>
      <x:c r="G519" s="86" t="str">
        <x:v>Excepcional</x:v>
      </x:c>
      <x:c r="H519" s="86" t="str">
        <x:v>Médio</x:v>
      </x:c>
      <x:c r="I519" s="87" t="n">
        <x:v>0</x:v>
      </x:c>
    </x:row>
    <x:row r="520">
      <x:c r="A520" s="85" t="n">
        <x:v>519</x:v>
      </x:c>
      <x:c r="B520" s="86" t="n">
        <x:v>295</x:v>
      </x:c>
      <x:c r="C520" s="86" t="n">
        <x:v>2025</x:v>
      </x:c>
      <x:c r="D520" s="86" t="n">
        <x:v>2.4</x:v>
      </x:c>
      <x:c r="E520" s="86" t="n">
        <x:v>4.6</x:v>
      </x:c>
      <x:c r="F520" s="86" t="n">
        <x:v>3.3</x:v>
      </x:c>
      <x:c r="G520" s="86" t="str">
        <x:v>Dentro do esperado</x:v>
      </x:c>
      <x:c r="H520" s="86" t="str">
        <x:v>Alto</x:v>
      </x:c>
      <x:c r="I520" s="87" t="n">
        <x:v>1</x:v>
      </x:c>
    </x:row>
    <x:row r="521">
      <x:c r="A521" s="85" t="n">
        <x:v>520</x:v>
      </x:c>
      <x:c r="B521" s="86" t="n">
        <x:v>296</x:v>
      </x:c>
      <x:c r="C521" s="86" t="n">
        <x:v>2025</x:v>
      </x:c>
      <x:c r="D521" s="86" t="n">
        <x:v>2.5</x:v>
      </x:c>
      <x:c r="E521" s="86" t="n">
        <x:v>4.6</x:v>
      </x:c>
      <x:c r="F521" s="86" t="n">
        <x:v>3.3</x:v>
      </x:c>
      <x:c r="G521" s="86" t="str">
        <x:v>Dentro do esperado</x:v>
      </x:c>
      <x:c r="H521" s="86" t="str">
        <x:v>Médio</x:v>
      </x:c>
      <x:c r="I521" s="87" t="n">
        <x:v>0</x:v>
      </x:c>
    </x:row>
    <x:row r="522">
      <x:c r="A522" s="85" t="n">
        <x:v>521</x:v>
      </x:c>
      <x:c r="B522" s="86" t="n">
        <x:v>297</x:v>
      </x:c>
      <x:c r="C522" s="86" t="n">
        <x:v>2025</x:v>
      </x:c>
      <x:c r="D522" s="86" t="n">
        <x:v>4</x:v>
      </x:c>
      <x:c r="E522" s="86" t="n">
        <x:v>4.5</x:v>
      </x:c>
      <x:c r="F522" s="86" t="n">
        <x:v>4.2</x:v>
      </x:c>
      <x:c r="G522" s="86" t="str">
        <x:v>Acima do esperado</x:v>
      </x:c>
      <x:c r="H522" s="86" t="str">
        <x:v>Baixo</x:v>
      </x:c>
      <x:c r="I522" s="87" t="n">
        <x:v>0</x:v>
      </x:c>
    </x:row>
    <x:row r="523">
      <x:c r="A523" s="85" t="n">
        <x:v>522</x:v>
      </x:c>
      <x:c r="B523" s="86" t="n">
        <x:v>298</x:v>
      </x:c>
      <x:c r="C523" s="86" t="n">
        <x:v>2025</x:v>
      </x:c>
      <x:c r="D523" s="86" t="n">
        <x:v>4.7</x:v>
      </x:c>
      <x:c r="E523" s="86" t="n">
        <x:v>4.8</x:v>
      </x:c>
      <x:c r="F523" s="86" t="n">
        <x:v>4.7</x:v>
      </x:c>
      <x:c r="G523" s="86" t="str">
        <x:v>Excepcional</x:v>
      </x:c>
      <x:c r="H523" s="86" t="str">
        <x:v>Alto</x:v>
      </x:c>
      <x:c r="I523" s="87" t="n">
        <x:v>1</x:v>
      </x:c>
    </x:row>
    <x:row r="524">
      <x:c r="A524" s="85" t="n">
        <x:v>523</x:v>
      </x:c>
      <x:c r="B524" s="86" t="n">
        <x:v>299</x:v>
      </x:c>
      <x:c r="C524" s="86" t="n">
        <x:v>2025</x:v>
      </x:c>
      <x:c r="D524" s="86" t="n">
        <x:v>4.7</x:v>
      </x:c>
      <x:c r="E524" s="86" t="n">
        <x:v>3.2</x:v>
      </x:c>
      <x:c r="F524" s="86" t="n">
        <x:v>4.1</x:v>
      </x:c>
      <x:c r="G524" s="86" t="str">
        <x:v>Acima do esperado</x:v>
      </x:c>
      <x:c r="H524" s="86" t="str">
        <x:v>Médio</x:v>
      </x:c>
      <x:c r="I524" s="87" t="n">
        <x:v>0</x:v>
      </x:c>
    </x:row>
    <x:row r="525">
      <x:c r="A525" s="85" t="n">
        <x:v>524</x:v>
      </x:c>
      <x:c r="B525" s="86" t="n">
        <x:v>300</x:v>
      </x:c>
      <x:c r="C525" s="86" t="n">
        <x:v>2025</x:v>
      </x:c>
      <x:c r="D525" s="86" t="n">
        <x:v>3.2</x:v>
      </x:c>
      <x:c r="E525" s="86" t="n">
        <x:v>4.8</x:v>
      </x:c>
      <x:c r="F525" s="86" t="n">
        <x:v>3.8</x:v>
      </x:c>
      <x:c r="G525" s="86" t="str">
        <x:v>Acima do esperado</x:v>
      </x:c>
      <x:c r="H525" s="86" t="str">
        <x:v>Baixo</x:v>
      </x:c>
      <x:c r="I525" s="87" t="n">
        <x:v>0</x:v>
      </x:c>
    </x:row>
    <x:row r="526">
      <x:c r="A526" s="85" t="n">
        <x:v>525</x:v>
      </x:c>
      <x:c r="B526" s="86" t="n">
        <x:v>301</x:v>
      </x:c>
      <x:c r="C526" s="86" t="n">
        <x:v>2025</x:v>
      </x:c>
      <x:c r="D526" s="86" t="n">
        <x:v>2.6</x:v>
      </x:c>
      <x:c r="E526" s="86" t="n">
        <x:v>4</x:v>
      </x:c>
      <x:c r="F526" s="86" t="n">
        <x:v>3.2</x:v>
      </x:c>
      <x:c r="G526" s="86" t="str">
        <x:v>Dentro do esperado</x:v>
      </x:c>
      <x:c r="H526" s="86" t="str">
        <x:v>Alto</x:v>
      </x:c>
      <x:c r="I526" s="87" t="n">
        <x:v>1</x:v>
      </x:c>
    </x:row>
    <x:row r="527">
      <x:c r="A527" s="85" t="n">
        <x:v>526</x:v>
      </x:c>
      <x:c r="B527" s="86" t="n">
        <x:v>302</x:v>
      </x:c>
      <x:c r="C527" s="86" t="n">
        <x:v>2025</x:v>
      </x:c>
      <x:c r="D527" s="86" t="n">
        <x:v>3.2</x:v>
      </x:c>
      <x:c r="E527" s="86" t="n">
        <x:v>3.3</x:v>
      </x:c>
      <x:c r="F527" s="86" t="n">
        <x:v>3.2</x:v>
      </x:c>
      <x:c r="G527" s="86" t="str">
        <x:v>Dentro do esperado</x:v>
      </x:c>
      <x:c r="H527" s="86" t="str">
        <x:v>Alto</x:v>
      </x:c>
      <x:c r="I527" s="87" t="n">
        <x:v>1</x:v>
      </x:c>
    </x:row>
    <x:row r="528">
      <x:c r="A528" s="85" t="n">
        <x:v>527</x:v>
      </x:c>
      <x:c r="B528" s="86" t="n">
        <x:v>303</x:v>
      </x:c>
      <x:c r="C528" s="86" t="n">
        <x:v>2025</x:v>
      </x:c>
      <x:c r="D528" s="86" t="n">
        <x:v>3.1</x:v>
      </x:c>
      <x:c r="E528" s="86" t="n">
        <x:v>3.5</x:v>
      </x:c>
      <x:c r="F528" s="86" t="n">
        <x:v>3.3</x:v>
      </x:c>
      <x:c r="G528" s="86" t="str">
        <x:v>Dentro do esperado</x:v>
      </x:c>
      <x:c r="H528" s="86" t="str">
        <x:v>Alto</x:v>
      </x:c>
      <x:c r="I528" s="87" t="n">
        <x:v>1</x:v>
      </x:c>
    </x:row>
    <x:row r="529">
      <x:c r="A529" s="85" t="n">
        <x:v>528</x:v>
      </x:c>
      <x:c r="B529" s="86" t="n">
        <x:v>304</x:v>
      </x:c>
      <x:c r="C529" s="86" t="n">
        <x:v>2025</x:v>
      </x:c>
      <x:c r="D529" s="86" t="n">
        <x:v>2.5</x:v>
      </x:c>
      <x:c r="E529" s="86" t="n">
        <x:v>3.1</x:v>
      </x:c>
      <x:c r="F529" s="86" t="n">
        <x:v>2.7</x:v>
      </x:c>
      <x:c r="G529" s="86" t="str">
        <x:v>Abaixo do esperado</x:v>
      </x:c>
      <x:c r="H529" s="86" t="str">
        <x:v>Médio</x:v>
      </x:c>
      <x:c r="I529" s="87" t="n">
        <x:v>1</x:v>
      </x:c>
    </x:row>
    <x:row r="530">
      <x:c r="A530" s="85" t="n">
        <x:v>529</x:v>
      </x:c>
      <x:c r="B530" s="86" t="n">
        <x:v>305</x:v>
      </x:c>
      <x:c r="C530" s="86" t="n">
        <x:v>2025</x:v>
      </x:c>
      <x:c r="D530" s="86" t="n">
        <x:v>3.4</x:v>
      </x:c>
      <x:c r="E530" s="86" t="n">
        <x:v>2.6</x:v>
      </x:c>
      <x:c r="F530" s="86" t="n">
        <x:v>3.1</x:v>
      </x:c>
      <x:c r="G530" s="86" t="str">
        <x:v>Dentro do esperado</x:v>
      </x:c>
      <x:c r="H530" s="86" t="str">
        <x:v>Médio</x:v>
      </x:c>
      <x:c r="I530" s="87" t="n">
        <x:v>1</x:v>
      </x:c>
    </x:row>
    <x:row r="531">
      <x:c r="A531" s="85" t="n">
        <x:v>530</x:v>
      </x:c>
      <x:c r="B531" s="86" t="n">
        <x:v>306</x:v>
      </x:c>
      <x:c r="C531" s="86" t="n">
        <x:v>2025</x:v>
      </x:c>
      <x:c r="D531" s="86" t="n">
        <x:v>4.9</x:v>
      </x:c>
      <x:c r="E531" s="86" t="n">
        <x:v>2.5</x:v>
      </x:c>
      <x:c r="F531" s="86" t="n">
        <x:v>3.9</x:v>
      </x:c>
      <x:c r="G531" s="86" t="str">
        <x:v>Acima do esperado</x:v>
      </x:c>
      <x:c r="H531" s="86" t="str">
        <x:v>Médio</x:v>
      </x:c>
      <x:c r="I531" s="87" t="n">
        <x:v>0</x:v>
      </x:c>
    </x:row>
    <x:row r="532">
      <x:c r="A532" s="85" t="n">
        <x:v>531</x:v>
      </x:c>
      <x:c r="B532" s="86" t="n">
        <x:v>307</x:v>
      </x:c>
      <x:c r="C532" s="86" t="n">
        <x:v>2025</x:v>
      </x:c>
      <x:c r="D532" s="86" t="n">
        <x:v>4</x:v>
      </x:c>
      <x:c r="E532" s="86" t="n">
        <x:v>3.2</x:v>
      </x:c>
      <x:c r="F532" s="86" t="n">
        <x:v>3.7</x:v>
      </x:c>
      <x:c r="G532" s="86" t="str">
        <x:v>Dentro do esperado</x:v>
      </x:c>
      <x:c r="H532" s="86" t="str">
        <x:v>Médio</x:v>
      </x:c>
      <x:c r="I532" s="87" t="n">
        <x:v>0</x:v>
      </x:c>
    </x:row>
    <x:row r="533">
      <x:c r="A533" s="85" t="n">
        <x:v>532</x:v>
      </x:c>
      <x:c r="B533" s="86" t="n">
        <x:v>308</x:v>
      </x:c>
      <x:c r="C533" s="86" t="n">
        <x:v>2025</x:v>
      </x:c>
      <x:c r="D533" s="86" t="n">
        <x:v>4.7</x:v>
      </x:c>
      <x:c r="E533" s="86" t="n">
        <x:v>3.5</x:v>
      </x:c>
      <x:c r="F533" s="86" t="n">
        <x:v>4.2</x:v>
      </x:c>
      <x:c r="G533" s="86" t="str">
        <x:v>Acima do esperado</x:v>
      </x:c>
      <x:c r="H533" s="86" t="str">
        <x:v>Alto</x:v>
      </x:c>
      <x:c r="I533" s="87" t="n">
        <x:v>1</x:v>
      </x:c>
    </x:row>
    <x:row r="534">
      <x:c r="A534" s="85" t="n">
        <x:v>533</x:v>
      </x:c>
      <x:c r="B534" s="86" t="n">
        <x:v>310</x:v>
      </x:c>
      <x:c r="C534" s="86" t="n">
        <x:v>2025</x:v>
      </x:c>
      <x:c r="D534" s="86" t="n">
        <x:v>4.7</x:v>
      </x:c>
      <x:c r="E534" s="86" t="n">
        <x:v>4</x:v>
      </x:c>
      <x:c r="F534" s="86" t="n">
        <x:v>4.4</x:v>
      </x:c>
      <x:c r="G534" s="86" t="str">
        <x:v>Acima do esperado</x:v>
      </x:c>
      <x:c r="H534" s="86" t="str">
        <x:v>Médio</x:v>
      </x:c>
      <x:c r="I534" s="87" t="n">
        <x:v>0</x:v>
      </x:c>
    </x:row>
    <x:row r="535">
      <x:c r="A535" s="85" t="n">
        <x:v>534</x:v>
      </x:c>
      <x:c r="B535" s="86" t="n">
        <x:v>311</x:v>
      </x:c>
      <x:c r="C535" s="86" t="n">
        <x:v>2025</x:v>
      </x:c>
      <x:c r="D535" s="86" t="n">
        <x:v>3</x:v>
      </x:c>
      <x:c r="E535" s="86" t="n">
        <x:v>3.5</x:v>
      </x:c>
      <x:c r="F535" s="86" t="n">
        <x:v>3.2</x:v>
      </x:c>
      <x:c r="G535" s="86" t="str">
        <x:v>Dentro do esperado</x:v>
      </x:c>
      <x:c r="H535" s="86" t="str">
        <x:v>Alto</x:v>
      </x:c>
      <x:c r="I535" s="87" t="n">
        <x:v>1</x:v>
      </x:c>
    </x:row>
    <x:row r="536">
      <x:c r="A536" s="85" t="n">
        <x:v>535</x:v>
      </x:c>
      <x:c r="B536" s="86" t="n">
        <x:v>312</x:v>
      </x:c>
      <x:c r="C536" s="86" t="n">
        <x:v>2025</x:v>
      </x:c>
      <x:c r="D536" s="86" t="n">
        <x:v>3.5</x:v>
      </x:c>
      <x:c r="E536" s="86" t="n">
        <x:v>3.3</x:v>
      </x:c>
      <x:c r="F536" s="86" t="n">
        <x:v>3.4</x:v>
      </x:c>
      <x:c r="G536" s="86" t="str">
        <x:v>Dentro do esperado</x:v>
      </x:c>
      <x:c r="H536" s="86" t="str">
        <x:v>Médio</x:v>
      </x:c>
      <x:c r="I536" s="87" t="n">
        <x:v>0</x:v>
      </x:c>
    </x:row>
    <x:row r="537">
      <x:c r="A537" s="85" t="n">
        <x:v>536</x:v>
      </x:c>
      <x:c r="B537" s="86" t="n">
        <x:v>314</x:v>
      </x:c>
      <x:c r="C537" s="86" t="n">
        <x:v>2025</x:v>
      </x:c>
      <x:c r="D537" s="86" t="n">
        <x:v>4.2</x:v>
      </x:c>
      <x:c r="E537" s="86" t="n">
        <x:v>4.3</x:v>
      </x:c>
      <x:c r="F537" s="86" t="n">
        <x:v>4.2</x:v>
      </x:c>
      <x:c r="G537" s="86" t="str">
        <x:v>Acima do esperado</x:v>
      </x:c>
      <x:c r="H537" s="86" t="str">
        <x:v>Médio</x:v>
      </x:c>
      <x:c r="I537" s="87" t="n">
        <x:v>0</x:v>
      </x:c>
    </x:row>
    <x:row r="538">
      <x:c r="A538" s="85" t="n">
        <x:v>537</x:v>
      </x:c>
      <x:c r="B538" s="86" t="n">
        <x:v>316</x:v>
      </x:c>
      <x:c r="C538" s="86" t="n">
        <x:v>2025</x:v>
      </x:c>
      <x:c r="D538" s="86" t="n">
        <x:v>4.3</x:v>
      </x:c>
      <x:c r="E538" s="86" t="n">
        <x:v>3.5</x:v>
      </x:c>
      <x:c r="F538" s="86" t="n">
        <x:v>4</x:v>
      </x:c>
      <x:c r="G538" s="86" t="str">
        <x:v>Acima do esperado</x:v>
      </x:c>
      <x:c r="H538" s="86" t="str">
        <x:v>Médio</x:v>
      </x:c>
      <x:c r="I538" s="87" t="n">
        <x:v>0</x:v>
      </x:c>
    </x:row>
    <x:row r="539">
      <x:c r="A539" s="85" t="n">
        <x:v>538</x:v>
      </x:c>
      <x:c r="B539" s="86" t="n">
        <x:v>317</x:v>
      </x:c>
      <x:c r="C539" s="86" t="n">
        <x:v>2025</x:v>
      </x:c>
      <x:c r="D539" s="86" t="n">
        <x:v>4</x:v>
      </x:c>
      <x:c r="E539" s="86" t="n">
        <x:v>3.5</x:v>
      </x:c>
      <x:c r="F539" s="86" t="n">
        <x:v>3.8</x:v>
      </x:c>
      <x:c r="G539" s="86" t="str">
        <x:v>Acima do esperado</x:v>
      </x:c>
      <x:c r="H539" s="86" t="str">
        <x:v>Médio</x:v>
      </x:c>
      <x:c r="I539" s="87" t="n">
        <x:v>0</x:v>
      </x:c>
    </x:row>
    <x:row r="540">
      <x:c r="A540" s="85" t="n">
        <x:v>539</x:v>
      </x:c>
      <x:c r="B540" s="86" t="n">
        <x:v>318</x:v>
      </x:c>
      <x:c r="C540" s="86" t="n">
        <x:v>2025</x:v>
      </x:c>
      <x:c r="D540" s="86" t="n">
        <x:v>2.8</x:v>
      </x:c>
      <x:c r="E540" s="86" t="n">
        <x:v>3.7</x:v>
      </x:c>
      <x:c r="F540" s="86" t="n">
        <x:v>3.2</x:v>
      </x:c>
      <x:c r="G540" s="86" t="str">
        <x:v>Dentro do esperado</x:v>
      </x:c>
      <x:c r="H540" s="86" t="str">
        <x:v>Médio</x:v>
      </x:c>
      <x:c r="I540" s="87" t="n">
        <x:v>0</x:v>
      </x:c>
    </x:row>
    <x:row r="541">
      <x:c r="A541" s="85" t="n">
        <x:v>540</x:v>
      </x:c>
      <x:c r="B541" s="86" t="n">
        <x:v>319</x:v>
      </x:c>
      <x:c r="C541" s="86" t="n">
        <x:v>2025</x:v>
      </x:c>
      <x:c r="D541" s="86" t="n">
        <x:v>2.6</x:v>
      </x:c>
      <x:c r="E541" s="86" t="n">
        <x:v>2.5</x:v>
      </x:c>
      <x:c r="F541" s="86" t="n">
        <x:v>2.6</x:v>
      </x:c>
      <x:c r="G541" s="86" t="str">
        <x:v>Abaixo do esperado</x:v>
      </x:c>
      <x:c r="H541" s="86" t="str">
        <x:v>Médio</x:v>
      </x:c>
      <x:c r="I541" s="87" t="n">
        <x:v>1</x:v>
      </x:c>
    </x:row>
    <x:row r="542">
      <x:c r="A542" s="85" t="n">
        <x:v>541</x:v>
      </x:c>
      <x:c r="B542" s="86" t="n">
        <x:v>320</x:v>
      </x:c>
      <x:c r="C542" s="86" t="n">
        <x:v>2025</x:v>
      </x:c>
      <x:c r="D542" s="86" t="n">
        <x:v>2.5</x:v>
      </x:c>
      <x:c r="E542" s="86" t="n">
        <x:v>3</x:v>
      </x:c>
      <x:c r="F542" s="86" t="n">
        <x:v>2.7</x:v>
      </x:c>
      <x:c r="G542" s="86" t="str">
        <x:v>Abaixo do esperado</x:v>
      </x:c>
      <x:c r="H542" s="86" t="str">
        <x:v>Médio</x:v>
      </x:c>
      <x:c r="I542" s="87" t="n">
        <x:v>1</x:v>
      </x:c>
    </x:row>
    <x:row r="543">
      <x:c r="A543" s="85" t="n">
        <x:v>542</x:v>
      </x:c>
      <x:c r="B543" s="86" t="n">
        <x:v>323</x:v>
      </x:c>
      <x:c r="C543" s="86" t="n">
        <x:v>2025</x:v>
      </x:c>
      <x:c r="D543" s="86" t="n">
        <x:v>4.8</x:v>
      </x:c>
      <x:c r="E543" s="86" t="n">
        <x:v>3.7</x:v>
      </x:c>
      <x:c r="F543" s="86" t="n">
        <x:v>4.4</x:v>
      </x:c>
      <x:c r="G543" s="86" t="str">
        <x:v>Acima do esperado</x:v>
      </x:c>
      <x:c r="H543" s="86" t="str">
        <x:v>Alto</x:v>
      </x:c>
      <x:c r="I543" s="87" t="n">
        <x:v>1</x:v>
      </x:c>
    </x:row>
    <x:row r="544">
      <x:c r="A544" s="85" t="n">
        <x:v>543</x:v>
      </x:c>
      <x:c r="B544" s="86" t="n">
        <x:v>324</x:v>
      </x:c>
      <x:c r="C544" s="86" t="n">
        <x:v>2025</x:v>
      </x:c>
      <x:c r="D544" s="86" t="n">
        <x:v>3.4</x:v>
      </x:c>
      <x:c r="E544" s="86" t="n">
        <x:v>3.5</x:v>
      </x:c>
      <x:c r="F544" s="86" t="n">
        <x:v>3.4</x:v>
      </x:c>
      <x:c r="G544" s="86" t="str">
        <x:v>Dentro do esperado</x:v>
      </x:c>
      <x:c r="H544" s="86" t="str">
        <x:v>Baixo</x:v>
      </x:c>
      <x:c r="I544" s="87" t="n">
        <x:v>0</x:v>
      </x:c>
    </x:row>
    <x:row r="545">
      <x:c r="A545" s="85" t="n">
        <x:v>544</x:v>
      </x:c>
      <x:c r="B545" s="86" t="n">
        <x:v>325</x:v>
      </x:c>
      <x:c r="C545" s="86" t="n">
        <x:v>2025</x:v>
      </x:c>
      <x:c r="D545" s="86" t="n">
        <x:v>3.6</x:v>
      </x:c>
      <x:c r="E545" s="86" t="n">
        <x:v>3.8</x:v>
      </x:c>
      <x:c r="F545" s="86" t="n">
        <x:v>3.7</x:v>
      </x:c>
      <x:c r="G545" s="86" t="str">
        <x:v>Dentro do esperado</x:v>
      </x:c>
      <x:c r="H545" s="86" t="str">
        <x:v>Médio</x:v>
      </x:c>
      <x:c r="I545" s="87" t="n">
        <x:v>0</x:v>
      </x:c>
    </x:row>
    <x:row r="546">
      <x:c r="A546" s="85" t="n">
        <x:v>545</x:v>
      </x:c>
      <x:c r="B546" s="86" t="n">
        <x:v>326</x:v>
      </x:c>
      <x:c r="C546" s="86" t="n">
        <x:v>2025</x:v>
      </x:c>
      <x:c r="D546" s="86" t="n">
        <x:v>3.9</x:v>
      </x:c>
      <x:c r="E546" s="86" t="n">
        <x:v>3</x:v>
      </x:c>
      <x:c r="F546" s="86" t="n">
        <x:v>3.5</x:v>
      </x:c>
      <x:c r="G546" s="86" t="str">
        <x:v>Dentro do esperado</x:v>
      </x:c>
      <x:c r="H546" s="86" t="str">
        <x:v>Alto</x:v>
      </x:c>
      <x:c r="I546" s="87" t="n">
        <x:v>1</x:v>
      </x:c>
    </x:row>
    <x:row r="547">
      <x:c r="A547" s="85" t="n">
        <x:v>546</x:v>
      </x:c>
      <x:c r="B547" s="86" t="n">
        <x:v>327</x:v>
      </x:c>
      <x:c r="C547" s="86" t="n">
        <x:v>2025</x:v>
      </x:c>
      <x:c r="D547" s="86" t="n">
        <x:v>2.9</x:v>
      </x:c>
      <x:c r="E547" s="86" t="n">
        <x:v>2.9</x:v>
      </x:c>
      <x:c r="F547" s="86" t="n">
        <x:v>2.9</x:v>
      </x:c>
      <x:c r="G547" s="86" t="str">
        <x:v>Abaixo do esperado</x:v>
      </x:c>
      <x:c r="H547" s="86" t="str">
        <x:v>Alto</x:v>
      </x:c>
      <x:c r="I547" s="87" t="n">
        <x:v>1</x:v>
      </x:c>
    </x:row>
    <x:row r="548">
      <x:c r="A548" s="85" t="n">
        <x:v>547</x:v>
      </x:c>
      <x:c r="B548" s="86" t="n">
        <x:v>328</x:v>
      </x:c>
      <x:c r="C548" s="86" t="n">
        <x:v>2025</x:v>
      </x:c>
      <x:c r="D548" s="86" t="n">
        <x:v>3.4</x:v>
      </x:c>
      <x:c r="E548" s="86" t="n">
        <x:v>4</x:v>
      </x:c>
      <x:c r="F548" s="86" t="n">
        <x:v>3.6</x:v>
      </x:c>
      <x:c r="G548" s="86" t="str">
        <x:v>Dentro do esperado</x:v>
      </x:c>
      <x:c r="H548" s="86" t="str">
        <x:v>Médio</x:v>
      </x:c>
      <x:c r="I548" s="87" t="n">
        <x:v>0</x:v>
      </x:c>
    </x:row>
    <x:row r="549">
      <x:c r="A549" s="85" t="n">
        <x:v>548</x:v>
      </x:c>
      <x:c r="B549" s="86" t="n">
        <x:v>329</x:v>
      </x:c>
      <x:c r="C549" s="86" t="n">
        <x:v>2025</x:v>
      </x:c>
      <x:c r="D549" s="86" t="n">
        <x:v>4.4</x:v>
      </x:c>
      <x:c r="E549" s="86" t="n">
        <x:v>3.7</x:v>
      </x:c>
      <x:c r="F549" s="86" t="n">
        <x:v>4.1</x:v>
      </x:c>
      <x:c r="G549" s="86" t="str">
        <x:v>Acima do esperado</x:v>
      </x:c>
      <x:c r="H549" s="86" t="str">
        <x:v>Baixo</x:v>
      </x:c>
      <x:c r="I549" s="87" t="n">
        <x:v>0</x:v>
      </x:c>
    </x:row>
    <x:row r="550">
      <x:c r="A550" s="85" t="n">
        <x:v>549</x:v>
      </x:c>
      <x:c r="B550" s="86" t="n">
        <x:v>330</x:v>
      </x:c>
      <x:c r="C550" s="86" t="n">
        <x:v>2025</x:v>
      </x:c>
      <x:c r="D550" s="86" t="n">
        <x:v>4.8</x:v>
      </x:c>
      <x:c r="E550" s="86" t="n">
        <x:v>3</x:v>
      </x:c>
      <x:c r="F550" s="86" t="n">
        <x:v>4.1</x:v>
      </x:c>
      <x:c r="G550" s="86" t="str">
        <x:v>Acima do esperado</x:v>
      </x:c>
      <x:c r="H550" s="86" t="str">
        <x:v>Baixo</x:v>
      </x:c>
      <x:c r="I550" s="87" t="n">
        <x:v>0</x:v>
      </x:c>
    </x:row>
    <x:row r="551">
      <x:c r="A551" s="85" t="n">
        <x:v>550</x:v>
      </x:c>
      <x:c r="B551" s="86" t="n">
        <x:v>331</x:v>
      </x:c>
      <x:c r="C551" s="86" t="n">
        <x:v>2025</x:v>
      </x:c>
      <x:c r="D551" s="86" t="n">
        <x:v>3.9</x:v>
      </x:c>
      <x:c r="E551" s="86" t="n">
        <x:v>4</x:v>
      </x:c>
      <x:c r="F551" s="86" t="n">
        <x:v>3.9</x:v>
      </x:c>
      <x:c r="G551" s="86" t="str">
        <x:v>Acima do esperado</x:v>
      </x:c>
      <x:c r="H551" s="86" t="str">
        <x:v>Baixo</x:v>
      </x:c>
      <x:c r="I551" s="87" t="n">
        <x:v>0</x:v>
      </x:c>
    </x:row>
    <x:row r="552">
      <x:c r="A552" s="85" t="n">
        <x:v>551</x:v>
      </x:c>
      <x:c r="B552" s="86" t="n">
        <x:v>332</x:v>
      </x:c>
      <x:c r="C552" s="86" t="n">
        <x:v>2025</x:v>
      </x:c>
      <x:c r="D552" s="86" t="n">
        <x:v>3.8</x:v>
      </x:c>
      <x:c r="E552" s="86" t="n">
        <x:v>2.6</x:v>
      </x:c>
      <x:c r="F552" s="86" t="n">
        <x:v>3.3</x:v>
      </x:c>
      <x:c r="G552" s="86" t="str">
        <x:v>Dentro do esperado</x:v>
      </x:c>
      <x:c r="H552" s="86" t="str">
        <x:v>Médio</x:v>
      </x:c>
      <x:c r="I552" s="87" t="n">
        <x:v>0</x:v>
      </x:c>
    </x:row>
    <x:row r="553">
      <x:c r="A553" s="85" t="n">
        <x:v>552</x:v>
      </x:c>
      <x:c r="B553" s="86" t="n">
        <x:v>334</x:v>
      </x:c>
      <x:c r="C553" s="86" t="n">
        <x:v>2025</x:v>
      </x:c>
      <x:c r="D553" s="86" t="n">
        <x:v>4.6</x:v>
      </x:c>
      <x:c r="E553" s="86" t="n">
        <x:v>2.7</x:v>
      </x:c>
      <x:c r="F553" s="86" t="n">
        <x:v>3.8</x:v>
      </x:c>
      <x:c r="G553" s="86" t="str">
        <x:v>Acima do esperado</x:v>
      </x:c>
      <x:c r="H553" s="86" t="str">
        <x:v>Médio</x:v>
      </x:c>
      <x:c r="I553" s="87" t="n">
        <x:v>0</x:v>
      </x:c>
    </x:row>
    <x:row r="554">
      <x:c r="A554" s="85" t="n">
        <x:v>553</x:v>
      </x:c>
      <x:c r="B554" s="86" t="n">
        <x:v>336</x:v>
      </x:c>
      <x:c r="C554" s="86" t="n">
        <x:v>2025</x:v>
      </x:c>
      <x:c r="D554" s="86" t="n">
        <x:v>3.1</x:v>
      </x:c>
      <x:c r="E554" s="86" t="n">
        <x:v>2.6</x:v>
      </x:c>
      <x:c r="F554" s="86" t="n">
        <x:v>2.9</x:v>
      </x:c>
      <x:c r="G554" s="86" t="str">
        <x:v>Abaixo do esperado</x:v>
      </x:c>
      <x:c r="H554" s="86" t="str">
        <x:v>Médio</x:v>
      </x:c>
      <x:c r="I554" s="87" t="n">
        <x:v>1</x:v>
      </x:c>
    </x:row>
    <x:row r="555">
      <x:c r="A555" s="85" t="n">
        <x:v>554</x:v>
      </x:c>
      <x:c r="B555" s="86" t="n">
        <x:v>337</x:v>
      </x:c>
      <x:c r="C555" s="86" t="n">
        <x:v>2025</x:v>
      </x:c>
      <x:c r="D555" s="86" t="n">
        <x:v>3.1</x:v>
      </x:c>
      <x:c r="E555" s="86" t="n">
        <x:v>4.4</x:v>
      </x:c>
      <x:c r="F555" s="86" t="n">
        <x:v>3.6</x:v>
      </x:c>
      <x:c r="G555" s="86" t="str">
        <x:v>Dentro do esperado</x:v>
      </x:c>
      <x:c r="H555" s="86" t="str">
        <x:v>Alto</x:v>
      </x:c>
      <x:c r="I555" s="87" t="n">
        <x:v>1</x:v>
      </x:c>
    </x:row>
    <x:row r="556">
      <x:c r="A556" s="85" t="n">
        <x:v>555</x:v>
      </x:c>
      <x:c r="B556" s="86" t="n">
        <x:v>339</x:v>
      </x:c>
      <x:c r="C556" s="86" t="n">
        <x:v>2025</x:v>
      </x:c>
      <x:c r="D556" s="86" t="n">
        <x:v>4.4</x:v>
      </x:c>
      <x:c r="E556" s="86" t="n">
        <x:v>4.6</x:v>
      </x:c>
      <x:c r="F556" s="86" t="n">
        <x:v>4.5</x:v>
      </x:c>
      <x:c r="G556" s="86" t="str">
        <x:v>Excepcional</x:v>
      </x:c>
      <x:c r="H556" s="86" t="str">
        <x:v>Baixo</x:v>
      </x:c>
      <x:c r="I556" s="87" t="n">
        <x:v>0</x:v>
      </x:c>
    </x:row>
    <x:row r="557">
      <x:c r="A557" s="85" t="n">
        <x:v>556</x:v>
      </x:c>
      <x:c r="B557" s="86" t="n">
        <x:v>340</x:v>
      </x:c>
      <x:c r="C557" s="86" t="n">
        <x:v>2025</x:v>
      </x:c>
      <x:c r="D557" s="86" t="n">
        <x:v>4</x:v>
      </x:c>
      <x:c r="E557" s="86" t="n">
        <x:v>3.5</x:v>
      </x:c>
      <x:c r="F557" s="86" t="n">
        <x:v>3.8</x:v>
      </x:c>
      <x:c r="G557" s="86" t="str">
        <x:v>Acima do esperado</x:v>
      </x:c>
      <x:c r="H557" s="86" t="str">
        <x:v>Médio</x:v>
      </x:c>
      <x:c r="I557" s="87" t="n">
        <x:v>0</x:v>
      </x:c>
    </x:row>
    <x:row r="558">
      <x:c r="A558" s="85" t="n">
        <x:v>557</x:v>
      </x:c>
      <x:c r="B558" s="86" t="n">
        <x:v>341</x:v>
      </x:c>
      <x:c r="C558" s="86" t="n">
        <x:v>2025</x:v>
      </x:c>
      <x:c r="D558" s="86" t="n">
        <x:v>3.1</x:v>
      </x:c>
      <x:c r="E558" s="86" t="n">
        <x:v>4.5</x:v>
      </x:c>
      <x:c r="F558" s="86" t="n">
        <x:v>3.7</x:v>
      </x:c>
      <x:c r="G558" s="86" t="str">
        <x:v>Dentro do esperado</x:v>
      </x:c>
      <x:c r="H558" s="86" t="str">
        <x:v>Médio</x:v>
      </x:c>
      <x:c r="I558" s="87" t="n">
        <x:v>0</x:v>
      </x:c>
    </x:row>
    <x:row r="559">
      <x:c r="A559" s="85" t="n">
        <x:v>558</x:v>
      </x:c>
      <x:c r="B559" s="86" t="n">
        <x:v>342</x:v>
      </x:c>
      <x:c r="C559" s="86" t="n">
        <x:v>2025</x:v>
      </x:c>
      <x:c r="D559" s="86" t="n">
        <x:v>2.6</x:v>
      </x:c>
      <x:c r="E559" s="86" t="n">
        <x:v>2.5</x:v>
      </x:c>
      <x:c r="F559" s="86" t="n">
        <x:v>2.6</x:v>
      </x:c>
      <x:c r="G559" s="86" t="str">
        <x:v>Abaixo do esperado</x:v>
      </x:c>
      <x:c r="H559" s="86" t="str">
        <x:v>Baixo</x:v>
      </x:c>
      <x:c r="I559" s="87" t="n">
        <x:v>1</x:v>
      </x:c>
    </x:row>
    <x:row r="560">
      <x:c r="A560" s="85" t="n">
        <x:v>559</x:v>
      </x:c>
      <x:c r="B560" s="86" t="n">
        <x:v>343</x:v>
      </x:c>
      <x:c r="C560" s="86" t="n">
        <x:v>2025</x:v>
      </x:c>
      <x:c r="D560" s="86" t="n">
        <x:v>3.4</x:v>
      </x:c>
      <x:c r="E560" s="86" t="n">
        <x:v>4.4</x:v>
      </x:c>
      <x:c r="F560" s="86" t="n">
        <x:v>3.8</x:v>
      </x:c>
      <x:c r="G560" s="86" t="str">
        <x:v>Acima do esperado</x:v>
      </x:c>
      <x:c r="H560" s="86" t="str">
        <x:v>Baixo</x:v>
      </x:c>
      <x:c r="I560" s="87" t="n">
        <x:v>0</x:v>
      </x:c>
    </x:row>
    <x:row r="561">
      <x:c r="A561" s="85" t="n">
        <x:v>560</x:v>
      </x:c>
      <x:c r="B561" s="86" t="n">
        <x:v>344</x:v>
      </x:c>
      <x:c r="C561" s="86" t="n">
        <x:v>2025</x:v>
      </x:c>
      <x:c r="D561" s="86" t="n">
        <x:v>3.6</x:v>
      </x:c>
      <x:c r="E561" s="86" t="n">
        <x:v>3.5</x:v>
      </x:c>
      <x:c r="F561" s="86" t="n">
        <x:v>3.6</x:v>
      </x:c>
      <x:c r="G561" s="86" t="str">
        <x:v>Dentro do esperado</x:v>
      </x:c>
      <x:c r="H561" s="86" t="str">
        <x:v>Médio</x:v>
      </x:c>
      <x:c r="I561" s="87" t="n">
        <x:v>0</x:v>
      </x:c>
    </x:row>
    <x:row r="562">
      <x:c r="A562" s="85" t="n">
        <x:v>561</x:v>
      </x:c>
      <x:c r="B562" s="86" t="n">
        <x:v>345</x:v>
      </x:c>
      <x:c r="C562" s="86" t="n">
        <x:v>2025</x:v>
      </x:c>
      <x:c r="D562" s="86" t="n">
        <x:v>2.6</x:v>
      </x:c>
      <x:c r="E562" s="86" t="n">
        <x:v>3.2</x:v>
      </x:c>
      <x:c r="F562" s="86" t="n">
        <x:v>2.8</x:v>
      </x:c>
      <x:c r="G562" s="86" t="str">
        <x:v>Abaixo do esperado</x:v>
      </x:c>
      <x:c r="H562" s="86" t="str">
        <x:v>Médio</x:v>
      </x:c>
      <x:c r="I562" s="87" t="n">
        <x:v>1</x:v>
      </x:c>
    </x:row>
    <x:row r="563">
      <x:c r="A563" s="85" t="n">
        <x:v>562</x:v>
      </x:c>
      <x:c r="B563" s="86" t="n">
        <x:v>346</x:v>
      </x:c>
      <x:c r="C563" s="86" t="n">
        <x:v>2025</x:v>
      </x:c>
      <x:c r="D563" s="86" t="n">
        <x:v>2.6</x:v>
      </x:c>
      <x:c r="E563" s="86" t="n">
        <x:v>4.8</x:v>
      </x:c>
      <x:c r="F563" s="86" t="n">
        <x:v>3.5</x:v>
      </x:c>
      <x:c r="G563" s="86" t="str">
        <x:v>Dentro do esperado</x:v>
      </x:c>
      <x:c r="H563" s="86" t="str">
        <x:v>Médio</x:v>
      </x:c>
      <x:c r="I563" s="87" t="n">
        <x:v>0</x:v>
      </x:c>
    </x:row>
    <x:row r="564">
      <x:c r="A564" s="85" t="n">
        <x:v>563</x:v>
      </x:c>
      <x:c r="B564" s="86" t="n">
        <x:v>347</x:v>
      </x:c>
      <x:c r="C564" s="86" t="n">
        <x:v>2025</x:v>
      </x:c>
      <x:c r="D564" s="86" t="n">
        <x:v>3.1</x:v>
      </x:c>
      <x:c r="E564" s="86" t="n">
        <x:v>3</x:v>
      </x:c>
      <x:c r="F564" s="86" t="n">
        <x:v>3.1</x:v>
      </x:c>
      <x:c r="G564" s="86" t="str">
        <x:v>Dentro do esperado</x:v>
      </x:c>
      <x:c r="H564" s="86" t="str">
        <x:v>Médio</x:v>
      </x:c>
      <x:c r="I564" s="87" t="n">
        <x:v>1</x:v>
      </x:c>
    </x:row>
    <x:row r="565">
      <x:c r="A565" s="85" t="n">
        <x:v>564</x:v>
      </x:c>
      <x:c r="B565" s="86" t="n">
        <x:v>348</x:v>
      </x:c>
      <x:c r="C565" s="86" t="n">
        <x:v>2025</x:v>
      </x:c>
      <x:c r="D565" s="86" t="n">
        <x:v>4.3</x:v>
      </x:c>
      <x:c r="E565" s="86" t="n">
        <x:v>4.3</x:v>
      </x:c>
      <x:c r="F565" s="86" t="n">
        <x:v>4.3</x:v>
      </x:c>
      <x:c r="G565" s="86" t="str">
        <x:v>Acima do esperado</x:v>
      </x:c>
      <x:c r="H565" s="86" t="str">
        <x:v>Médio</x:v>
      </x:c>
      <x:c r="I565" s="87" t="n">
        <x:v>0</x:v>
      </x:c>
    </x:row>
    <x:row r="566">
      <x:c r="A566" s="85" t="n">
        <x:v>565</x:v>
      </x:c>
      <x:c r="B566" s="86" t="n">
        <x:v>349</x:v>
      </x:c>
      <x:c r="C566" s="86" t="n">
        <x:v>2025</x:v>
      </x:c>
      <x:c r="D566" s="86" t="n">
        <x:v>3.7</x:v>
      </x:c>
      <x:c r="E566" s="86" t="n">
        <x:v>2.7</x:v>
      </x:c>
      <x:c r="F566" s="86" t="n">
        <x:v>3.3</x:v>
      </x:c>
      <x:c r="G566" s="86" t="str">
        <x:v>Dentro do esperado</x:v>
      </x:c>
      <x:c r="H566" s="86" t="str">
        <x:v>Médio</x:v>
      </x:c>
      <x:c r="I566" s="87" t="n">
        <x:v>0</x:v>
      </x:c>
    </x:row>
    <x:row r="567">
      <x:c r="A567" s="85" t="n">
        <x:v>566</x:v>
      </x:c>
      <x:c r="B567" s="86" t="n">
        <x:v>351</x:v>
      </x:c>
      <x:c r="C567" s="86" t="n">
        <x:v>2025</x:v>
      </x:c>
      <x:c r="D567" s="86" t="n">
        <x:v>3.7</x:v>
      </x:c>
      <x:c r="E567" s="86" t="n">
        <x:v>4.6</x:v>
      </x:c>
      <x:c r="F567" s="86" t="n">
        <x:v>4.1</x:v>
      </x:c>
      <x:c r="G567" s="86" t="str">
        <x:v>Acima do esperado</x:v>
      </x:c>
      <x:c r="H567" s="86" t="str">
        <x:v>Médio</x:v>
      </x:c>
      <x:c r="I567" s="87" t="n">
        <x:v>0</x:v>
      </x:c>
    </x:row>
    <x:row r="568">
      <x:c r="A568" s="85" t="n">
        <x:v>567</x:v>
      </x:c>
      <x:c r="B568" s="86" t="n">
        <x:v>352</x:v>
      </x:c>
      <x:c r="C568" s="86" t="n">
        <x:v>2025</x:v>
      </x:c>
      <x:c r="D568" s="86" t="n">
        <x:v>3.4</x:v>
      </x:c>
      <x:c r="E568" s="86" t="n">
        <x:v>4.8</x:v>
      </x:c>
      <x:c r="F568" s="86" t="n">
        <x:v>4</x:v>
      </x:c>
      <x:c r="G568" s="86" t="str">
        <x:v>Acima do esperado</x:v>
      </x:c>
      <x:c r="H568" s="86" t="str">
        <x:v>Médio</x:v>
      </x:c>
      <x:c r="I568" s="87" t="n">
        <x:v>0</x:v>
      </x:c>
    </x:row>
    <x:row r="569">
      <x:c r="A569" s="85" t="n">
        <x:v>568</x:v>
      </x:c>
      <x:c r="B569" s="86" t="n">
        <x:v>353</x:v>
      </x:c>
      <x:c r="C569" s="86" t="n">
        <x:v>2025</x:v>
      </x:c>
      <x:c r="D569" s="86" t="n">
        <x:v>3.6</x:v>
      </x:c>
      <x:c r="E569" s="86" t="n">
        <x:v>4.1</x:v>
      </x:c>
      <x:c r="F569" s="86" t="n">
        <x:v>3.8</x:v>
      </x:c>
      <x:c r="G569" s="86" t="str">
        <x:v>Acima do esperado</x:v>
      </x:c>
      <x:c r="H569" s="86" t="str">
        <x:v>Alto</x:v>
      </x:c>
      <x:c r="I569" s="87" t="n">
        <x:v>1</x:v>
      </x:c>
    </x:row>
    <x:row r="570">
      <x:c r="A570" s="85" t="n">
        <x:v>569</x:v>
      </x:c>
      <x:c r="B570" s="86" t="n">
        <x:v>354</x:v>
      </x:c>
      <x:c r="C570" s="86" t="n">
        <x:v>2025</x:v>
      </x:c>
      <x:c r="D570" s="86" t="n">
        <x:v>2.8</x:v>
      </x:c>
      <x:c r="E570" s="86" t="n">
        <x:v>2.7</x:v>
      </x:c>
      <x:c r="F570" s="86" t="n">
        <x:v>2.8</x:v>
      </x:c>
      <x:c r="G570" s="86" t="str">
        <x:v>Abaixo do esperado</x:v>
      </x:c>
      <x:c r="H570" s="86" t="str">
        <x:v>Médio</x:v>
      </x:c>
      <x:c r="I570" s="87" t="n">
        <x:v>1</x:v>
      </x:c>
    </x:row>
    <x:row r="571">
      <x:c r="A571" s="85" t="n">
        <x:v>570</x:v>
      </x:c>
      <x:c r="B571" s="86" t="n">
        <x:v>355</x:v>
      </x:c>
      <x:c r="C571" s="86" t="n">
        <x:v>2025</x:v>
      </x:c>
      <x:c r="D571" s="86" t="n">
        <x:v>2.7</x:v>
      </x:c>
      <x:c r="E571" s="86" t="n">
        <x:v>4.1</x:v>
      </x:c>
      <x:c r="F571" s="86" t="n">
        <x:v>3.3</x:v>
      </x:c>
      <x:c r="G571" s="86" t="str">
        <x:v>Dentro do esperado</x:v>
      </x:c>
      <x:c r="H571" s="86" t="str">
        <x:v>Médio</x:v>
      </x:c>
      <x:c r="I571" s="87" t="n">
        <x:v>0</x:v>
      </x:c>
    </x:row>
    <x:row r="572">
      <x:c r="A572" s="85" t="n">
        <x:v>571</x:v>
      </x:c>
      <x:c r="B572" s="86" t="n">
        <x:v>357</x:v>
      </x:c>
      <x:c r="C572" s="86" t="n">
        <x:v>2025</x:v>
      </x:c>
      <x:c r="D572" s="86" t="n">
        <x:v>3.3</x:v>
      </x:c>
      <x:c r="E572" s="86" t="n">
        <x:v>4.3</x:v>
      </x:c>
      <x:c r="F572" s="86" t="n">
        <x:v>3.7</x:v>
      </x:c>
      <x:c r="G572" s="86" t="str">
        <x:v>Dentro do esperado</x:v>
      </x:c>
      <x:c r="H572" s="86" t="str">
        <x:v>Médio</x:v>
      </x:c>
      <x:c r="I572" s="87" t="n">
        <x:v>0</x:v>
      </x:c>
    </x:row>
    <x:row r="573">
      <x:c r="A573" s="85" t="n">
        <x:v>572</x:v>
      </x:c>
      <x:c r="B573" s="86" t="n">
        <x:v>359</x:v>
      </x:c>
      <x:c r="C573" s="86" t="n">
        <x:v>2025</x:v>
      </x:c>
      <x:c r="D573" s="86" t="n">
        <x:v>2.5</x:v>
      </x:c>
      <x:c r="E573" s="86" t="n">
        <x:v>4.3</x:v>
      </x:c>
      <x:c r="F573" s="86" t="n">
        <x:v>3.2</x:v>
      </x:c>
      <x:c r="G573" s="86" t="str">
        <x:v>Dentro do esperado</x:v>
      </x:c>
      <x:c r="H573" s="86" t="str">
        <x:v>Médio</x:v>
      </x:c>
      <x:c r="I573" s="87" t="n">
        <x:v>0</x:v>
      </x:c>
    </x:row>
    <x:row r="574">
      <x:c r="A574" s="85" t="n">
        <x:v>573</x:v>
      </x:c>
      <x:c r="B574" s="86" t="n">
        <x:v>361</x:v>
      </x:c>
      <x:c r="C574" s="86" t="n">
        <x:v>2025</x:v>
      </x:c>
      <x:c r="D574" s="86" t="n">
        <x:v>4.2</x:v>
      </x:c>
      <x:c r="E574" s="86" t="n">
        <x:v>3.2</x:v>
      </x:c>
      <x:c r="F574" s="86" t="n">
        <x:v>3.8</x:v>
      </x:c>
      <x:c r="G574" s="86" t="str">
        <x:v>Acima do esperado</x:v>
      </x:c>
      <x:c r="H574" s="86" t="str">
        <x:v>Médio</x:v>
      </x:c>
      <x:c r="I574" s="87" t="n">
        <x:v>0</x:v>
      </x:c>
    </x:row>
    <x:row r="575">
      <x:c r="A575" s="85" t="n">
        <x:v>574</x:v>
      </x:c>
      <x:c r="B575" s="86" t="n">
        <x:v>362</x:v>
      </x:c>
      <x:c r="C575" s="86" t="n">
        <x:v>2025</x:v>
      </x:c>
      <x:c r="D575" s="86" t="n">
        <x:v>4.3</x:v>
      </x:c>
      <x:c r="E575" s="86" t="n">
        <x:v>3.5</x:v>
      </x:c>
      <x:c r="F575" s="86" t="n">
        <x:v>4</x:v>
      </x:c>
      <x:c r="G575" s="86" t="str">
        <x:v>Acima do esperado</x:v>
      </x:c>
      <x:c r="H575" s="86" t="str">
        <x:v>Alto</x:v>
      </x:c>
      <x:c r="I575" s="87" t="n">
        <x:v>1</x:v>
      </x:c>
    </x:row>
    <x:row r="576">
      <x:c r="A576" s="85" t="n">
        <x:v>575</x:v>
      </x:c>
      <x:c r="B576" s="86" t="n">
        <x:v>363</x:v>
      </x:c>
      <x:c r="C576" s="86" t="n">
        <x:v>2025</x:v>
      </x:c>
      <x:c r="D576" s="86" t="n">
        <x:v>2.7</x:v>
      </x:c>
      <x:c r="E576" s="86" t="n">
        <x:v>4.2</x:v>
      </x:c>
      <x:c r="F576" s="86" t="n">
        <x:v>3.3</x:v>
      </x:c>
      <x:c r="G576" s="86" t="str">
        <x:v>Dentro do esperado</x:v>
      </x:c>
      <x:c r="H576" s="86" t="str">
        <x:v>Baixo</x:v>
      </x:c>
      <x:c r="I576" s="87" t="n">
        <x:v>0</x:v>
      </x:c>
    </x:row>
    <x:row r="577">
      <x:c r="A577" s="85" t="n">
        <x:v>576</x:v>
      </x:c>
      <x:c r="B577" s="86" t="n">
        <x:v>365</x:v>
      </x:c>
      <x:c r="C577" s="86" t="n">
        <x:v>2025</x:v>
      </x:c>
      <x:c r="D577" s="86" t="n">
        <x:v>2.6</x:v>
      </x:c>
      <x:c r="E577" s="86" t="n">
        <x:v>3.1</x:v>
      </x:c>
      <x:c r="F577" s="86" t="n">
        <x:v>2.8</x:v>
      </x:c>
      <x:c r="G577" s="86" t="str">
        <x:v>Abaixo do esperado</x:v>
      </x:c>
      <x:c r="H577" s="86" t="str">
        <x:v>Médio</x:v>
      </x:c>
      <x:c r="I577" s="87" t="n">
        <x:v>1</x:v>
      </x:c>
    </x:row>
    <x:row r="578">
      <x:c r="A578" s="85" t="n">
        <x:v>577</x:v>
      </x:c>
      <x:c r="B578" s="86" t="n">
        <x:v>366</x:v>
      </x:c>
      <x:c r="C578" s="86" t="n">
        <x:v>2025</x:v>
      </x:c>
      <x:c r="D578" s="86" t="n">
        <x:v>4.9</x:v>
      </x:c>
      <x:c r="E578" s="86" t="n">
        <x:v>4.2</x:v>
      </x:c>
      <x:c r="F578" s="86" t="n">
        <x:v>4.6</x:v>
      </x:c>
      <x:c r="G578" s="86" t="str">
        <x:v>Excepcional</x:v>
      </x:c>
      <x:c r="H578" s="86" t="str">
        <x:v>Médio</x:v>
      </x:c>
      <x:c r="I578" s="87" t="n">
        <x:v>0</x:v>
      </x:c>
    </x:row>
    <x:row r="579">
      <x:c r="A579" s="85" t="n">
        <x:v>578</x:v>
      </x:c>
      <x:c r="B579" s="86" t="n">
        <x:v>367</x:v>
      </x:c>
      <x:c r="C579" s="86" t="n">
        <x:v>2025</x:v>
      </x:c>
      <x:c r="D579" s="86" t="n">
        <x:v>2.5</x:v>
      </x:c>
      <x:c r="E579" s="86" t="n">
        <x:v>3.6</x:v>
      </x:c>
      <x:c r="F579" s="86" t="n">
        <x:v>2.9</x:v>
      </x:c>
      <x:c r="G579" s="86" t="str">
        <x:v>Abaixo do esperado</x:v>
      </x:c>
      <x:c r="H579" s="86" t="str">
        <x:v>Médio</x:v>
      </x:c>
      <x:c r="I579" s="87" t="n">
        <x:v>1</x:v>
      </x:c>
    </x:row>
    <x:row r="580">
      <x:c r="A580" s="85" t="n">
        <x:v>579</x:v>
      </x:c>
      <x:c r="B580" s="86" t="n">
        <x:v>368</x:v>
      </x:c>
      <x:c r="C580" s="86" t="n">
        <x:v>2025</x:v>
      </x:c>
      <x:c r="D580" s="86" t="n">
        <x:v>4.8</x:v>
      </x:c>
      <x:c r="E580" s="86" t="n">
        <x:v>2.9</x:v>
      </x:c>
      <x:c r="F580" s="86" t="n">
        <x:v>4</x:v>
      </x:c>
      <x:c r="G580" s="86" t="str">
        <x:v>Acima do esperado</x:v>
      </x:c>
      <x:c r="H580" s="86" t="str">
        <x:v>Médio</x:v>
      </x:c>
      <x:c r="I580" s="87" t="n">
        <x:v>0</x:v>
      </x:c>
    </x:row>
    <x:row r="581">
      <x:c r="A581" s="85" t="n">
        <x:v>580</x:v>
      </x:c>
      <x:c r="B581" s="86" t="n">
        <x:v>369</x:v>
      </x:c>
      <x:c r="C581" s="86" t="n">
        <x:v>2025</x:v>
      </x:c>
      <x:c r="D581" s="86" t="n">
        <x:v>2.8</x:v>
      </x:c>
      <x:c r="E581" s="86" t="n">
        <x:v>4.8</x:v>
      </x:c>
      <x:c r="F581" s="86" t="n">
        <x:v>3.6</x:v>
      </x:c>
      <x:c r="G581" s="86" t="str">
        <x:v>Dentro do esperado</x:v>
      </x:c>
      <x:c r="H581" s="86" t="str">
        <x:v>Médio</x:v>
      </x:c>
      <x:c r="I581" s="87" t="n">
        <x:v>0</x:v>
      </x:c>
    </x:row>
    <x:row r="582">
      <x:c r="A582" s="85" t="n">
        <x:v>581</x:v>
      </x:c>
      <x:c r="B582" s="86" t="n">
        <x:v>372</x:v>
      </x:c>
      <x:c r="C582" s="86" t="n">
        <x:v>2025</x:v>
      </x:c>
      <x:c r="D582" s="86" t="n">
        <x:v>3.9</x:v>
      </x:c>
      <x:c r="E582" s="86" t="n">
        <x:v>4.4</x:v>
      </x:c>
      <x:c r="F582" s="86" t="n">
        <x:v>4.1</x:v>
      </x:c>
      <x:c r="G582" s="86" t="str">
        <x:v>Acima do esperado</x:v>
      </x:c>
      <x:c r="H582" s="86" t="str">
        <x:v>Médio</x:v>
      </x:c>
      <x:c r="I582" s="87" t="n">
        <x:v>0</x:v>
      </x:c>
    </x:row>
    <x:row r="583">
      <x:c r="A583" s="85" t="n">
        <x:v>582</x:v>
      </x:c>
      <x:c r="B583" s="86" t="n">
        <x:v>373</x:v>
      </x:c>
      <x:c r="C583" s="86" t="n">
        <x:v>2025</x:v>
      </x:c>
      <x:c r="D583" s="86" t="n">
        <x:v>4.5</x:v>
      </x:c>
      <x:c r="E583" s="86" t="n">
        <x:v>4.6</x:v>
      </x:c>
      <x:c r="F583" s="86" t="n">
        <x:v>4.5</x:v>
      </x:c>
      <x:c r="G583" s="86" t="str">
        <x:v>Excepcional</x:v>
      </x:c>
      <x:c r="H583" s="86" t="str">
        <x:v>Médio</x:v>
      </x:c>
      <x:c r="I583" s="87" t="n">
        <x:v>0</x:v>
      </x:c>
    </x:row>
    <x:row r="584">
      <x:c r="A584" s="85" t="n">
        <x:v>583</x:v>
      </x:c>
      <x:c r="B584" s="86" t="n">
        <x:v>375</x:v>
      </x:c>
      <x:c r="C584" s="86" t="n">
        <x:v>2025</x:v>
      </x:c>
      <x:c r="D584" s="86" t="n">
        <x:v>3.4</x:v>
      </x:c>
      <x:c r="E584" s="86" t="n">
        <x:v>4.1</x:v>
      </x:c>
      <x:c r="F584" s="86" t="n">
        <x:v>3.7</x:v>
      </x:c>
      <x:c r="G584" s="86" t="str">
        <x:v>Dentro do esperado</x:v>
      </x:c>
      <x:c r="H584" s="86" t="str">
        <x:v>Médio</x:v>
      </x:c>
      <x:c r="I584" s="87" t="n">
        <x:v>0</x:v>
      </x:c>
    </x:row>
    <x:row r="585">
      <x:c r="A585" s="85" t="n">
        <x:v>584</x:v>
      </x:c>
      <x:c r="B585" s="86" t="n">
        <x:v>376</x:v>
      </x:c>
      <x:c r="C585" s="86" t="n">
        <x:v>2025</x:v>
      </x:c>
      <x:c r="D585" s="86" t="n">
        <x:v>3</x:v>
      </x:c>
      <x:c r="E585" s="86" t="n">
        <x:v>3.3</x:v>
      </x:c>
      <x:c r="F585" s="86" t="n">
        <x:v>3.1</x:v>
      </x:c>
      <x:c r="G585" s="86" t="str">
        <x:v>Dentro do esperado</x:v>
      </x:c>
      <x:c r="H585" s="86" t="str">
        <x:v>Médio</x:v>
      </x:c>
      <x:c r="I585" s="87" t="n">
        <x:v>1</x:v>
      </x:c>
    </x:row>
    <x:row r="586">
      <x:c r="A586" s="85" t="n">
        <x:v>585</x:v>
      </x:c>
      <x:c r="B586" s="86" t="n">
        <x:v>377</x:v>
      </x:c>
      <x:c r="C586" s="86" t="n">
        <x:v>2025</x:v>
      </x:c>
      <x:c r="D586" s="86" t="n">
        <x:v>4.4</x:v>
      </x:c>
      <x:c r="E586" s="86" t="n">
        <x:v>4.1</x:v>
      </x:c>
      <x:c r="F586" s="86" t="n">
        <x:v>4.3</x:v>
      </x:c>
      <x:c r="G586" s="86" t="str">
        <x:v>Acima do esperado</x:v>
      </x:c>
      <x:c r="H586" s="86" t="str">
        <x:v>Alto</x:v>
      </x:c>
      <x:c r="I586" s="87" t="n">
        <x:v>1</x:v>
      </x:c>
    </x:row>
    <x:row r="587">
      <x:c r="A587" s="85" t="n">
        <x:v>586</x:v>
      </x:c>
      <x:c r="B587" s="86" t="n">
        <x:v>378</x:v>
      </x:c>
      <x:c r="C587" s="86" t="n">
        <x:v>2025</x:v>
      </x:c>
      <x:c r="D587" s="86" t="n">
        <x:v>4.6</x:v>
      </x:c>
      <x:c r="E587" s="86" t="n">
        <x:v>4.6</x:v>
      </x:c>
      <x:c r="F587" s="86" t="n">
        <x:v>4.6</x:v>
      </x:c>
      <x:c r="G587" s="86" t="str">
        <x:v>Excepcional</x:v>
      </x:c>
      <x:c r="H587" s="86" t="str">
        <x:v>Médio</x:v>
      </x:c>
      <x:c r="I587" s="87" t="n">
        <x:v>0</x:v>
      </x:c>
    </x:row>
    <x:row r="588">
      <x:c r="A588" s="85" t="n">
        <x:v>587</x:v>
      </x:c>
      <x:c r="B588" s="86" t="n">
        <x:v>379</x:v>
      </x:c>
      <x:c r="C588" s="86" t="n">
        <x:v>2025</x:v>
      </x:c>
      <x:c r="D588" s="86" t="n">
        <x:v>2.4</x:v>
      </x:c>
      <x:c r="E588" s="86" t="n">
        <x:v>2.4</x:v>
      </x:c>
      <x:c r="F588" s="86" t="n">
        <x:v>2.4</x:v>
      </x:c>
      <x:c r="G588" s="86" t="str">
        <x:v>Abaixo do esperado</x:v>
      </x:c>
      <x:c r="H588" s="86" t="str">
        <x:v>Alto</x:v>
      </x:c>
      <x:c r="I588" s="87" t="n">
        <x:v>1</x:v>
      </x:c>
    </x:row>
    <x:row r="589">
      <x:c r="A589" s="85" t="n">
        <x:v>588</x:v>
      </x:c>
      <x:c r="B589" s="86" t="n">
        <x:v>380</x:v>
      </x:c>
      <x:c r="C589" s="86" t="n">
        <x:v>2025</x:v>
      </x:c>
      <x:c r="D589" s="86" t="n">
        <x:v>3.7</x:v>
      </x:c>
      <x:c r="E589" s="86" t="n">
        <x:v>4</x:v>
      </x:c>
      <x:c r="F589" s="86" t="n">
        <x:v>3.8</x:v>
      </x:c>
      <x:c r="G589" s="86" t="str">
        <x:v>Acima do esperado</x:v>
      </x:c>
      <x:c r="H589" s="86" t="str">
        <x:v>Médio</x:v>
      </x:c>
      <x:c r="I589" s="87" t="n">
        <x:v>0</x:v>
      </x:c>
    </x:row>
    <x:row r="590">
      <x:c r="A590" s="85" t="n">
        <x:v>589</x:v>
      </x:c>
      <x:c r="B590" s="86" t="n">
        <x:v>381</x:v>
      </x:c>
      <x:c r="C590" s="86" t="n">
        <x:v>2025</x:v>
      </x:c>
      <x:c r="D590" s="86" t="n">
        <x:v>3.7</x:v>
      </x:c>
      <x:c r="E590" s="86" t="n">
        <x:v>3</x:v>
      </x:c>
      <x:c r="F590" s="86" t="n">
        <x:v>3.4</x:v>
      </x:c>
      <x:c r="G590" s="86" t="str">
        <x:v>Dentro do esperado</x:v>
      </x:c>
      <x:c r="H590" s="86" t="str">
        <x:v>Médio</x:v>
      </x:c>
      <x:c r="I590" s="87" t="n">
        <x:v>0</x:v>
      </x:c>
    </x:row>
    <x:row r="591">
      <x:c r="A591" s="85" t="n">
        <x:v>590</x:v>
      </x:c>
      <x:c r="B591" s="86" t="n">
        <x:v>382</x:v>
      </x:c>
      <x:c r="C591" s="86" t="n">
        <x:v>2025</x:v>
      </x:c>
      <x:c r="D591" s="86" t="n">
        <x:v>2.4</x:v>
      </x:c>
      <x:c r="E591" s="86" t="n">
        <x:v>3.8</x:v>
      </x:c>
      <x:c r="F591" s="86" t="n">
        <x:v>3</x:v>
      </x:c>
      <x:c r="G591" s="86" t="str">
        <x:v>Dentro do esperado</x:v>
      </x:c>
      <x:c r="H591" s="86" t="str">
        <x:v>Baixo</x:v>
      </x:c>
      <x:c r="I591" s="87" t="n">
        <x:v>1</x:v>
      </x:c>
    </x:row>
    <x:row r="592">
      <x:c r="A592" s="85" t="n">
        <x:v>591</x:v>
      </x:c>
      <x:c r="B592" s="86" t="n">
        <x:v>384</x:v>
      </x:c>
      <x:c r="C592" s="86" t="n">
        <x:v>2025</x:v>
      </x:c>
      <x:c r="D592" s="86" t="n">
        <x:v>4.7</x:v>
      </x:c>
      <x:c r="E592" s="86" t="n">
        <x:v>3.7</x:v>
      </x:c>
      <x:c r="F592" s="86" t="n">
        <x:v>4.3</x:v>
      </x:c>
      <x:c r="G592" s="86" t="str">
        <x:v>Acima do esperado</x:v>
      </x:c>
      <x:c r="H592" s="86" t="str">
        <x:v>Alto</x:v>
      </x:c>
      <x:c r="I592" s="87" t="n">
        <x:v>1</x:v>
      </x:c>
    </x:row>
    <x:row r="593">
      <x:c r="A593" s="85" t="n">
        <x:v>592</x:v>
      </x:c>
      <x:c r="B593" s="86" t="n">
        <x:v>385</x:v>
      </x:c>
      <x:c r="C593" s="86" t="n">
        <x:v>2025</x:v>
      </x:c>
      <x:c r="D593" s="86" t="n">
        <x:v>3.7</x:v>
      </x:c>
      <x:c r="E593" s="86" t="n">
        <x:v>3.3</x:v>
      </x:c>
      <x:c r="F593" s="86" t="n">
        <x:v>3.5</x:v>
      </x:c>
      <x:c r="G593" s="86" t="str">
        <x:v>Dentro do esperado</x:v>
      </x:c>
      <x:c r="H593" s="86" t="str">
        <x:v>Alto</x:v>
      </x:c>
      <x:c r="I593" s="87" t="n">
        <x:v>1</x:v>
      </x:c>
    </x:row>
    <x:row r="594">
      <x:c r="A594" s="85" t="n">
        <x:v>593</x:v>
      </x:c>
      <x:c r="B594" s="86" t="n">
        <x:v>386</x:v>
      </x:c>
      <x:c r="C594" s="86" t="n">
        <x:v>2025</x:v>
      </x:c>
      <x:c r="D594" s="86" t="n">
        <x:v>2.7</x:v>
      </x:c>
      <x:c r="E594" s="86" t="n">
        <x:v>3.8</x:v>
      </x:c>
      <x:c r="F594" s="86" t="n">
        <x:v>3.1</x:v>
      </x:c>
      <x:c r="G594" s="86" t="str">
        <x:v>Dentro do esperado</x:v>
      </x:c>
      <x:c r="H594" s="86" t="str">
        <x:v>Médio</x:v>
      </x:c>
      <x:c r="I594" s="87" t="n">
        <x:v>1</x:v>
      </x:c>
    </x:row>
    <x:row r="595">
      <x:c r="A595" s="85" t="n">
        <x:v>594</x:v>
      </x:c>
      <x:c r="B595" s="86" t="n">
        <x:v>387</x:v>
      </x:c>
      <x:c r="C595" s="86" t="n">
        <x:v>2025</x:v>
      </x:c>
      <x:c r="D595" s="86" t="n">
        <x:v>2.4</x:v>
      </x:c>
      <x:c r="E595" s="86" t="n">
        <x:v>3.4</x:v>
      </x:c>
      <x:c r="F595" s="86" t="n">
        <x:v>2.8</x:v>
      </x:c>
      <x:c r="G595" s="86" t="str">
        <x:v>Abaixo do esperado</x:v>
      </x:c>
      <x:c r="H595" s="86" t="str">
        <x:v>Médio</x:v>
      </x:c>
      <x:c r="I595" s="87" t="n">
        <x:v>1</x:v>
      </x:c>
    </x:row>
    <x:row r="596">
      <x:c r="A596" s="85" t="n">
        <x:v>595</x:v>
      </x:c>
      <x:c r="B596" s="86" t="n">
        <x:v>388</x:v>
      </x:c>
      <x:c r="C596" s="86" t="n">
        <x:v>2025</x:v>
      </x:c>
      <x:c r="D596" s="86" t="n">
        <x:v>4.9</x:v>
      </x:c>
      <x:c r="E596" s="86" t="n">
        <x:v>3.7</x:v>
      </x:c>
      <x:c r="F596" s="86" t="n">
        <x:v>4.4</x:v>
      </x:c>
      <x:c r="G596" s="86" t="str">
        <x:v>Acima do esperado</x:v>
      </x:c>
      <x:c r="H596" s="86" t="str">
        <x:v>Médio</x:v>
      </x:c>
      <x:c r="I596" s="87" t="n">
        <x:v>0</x:v>
      </x:c>
    </x:row>
    <x:row r="597">
      <x:c r="A597" s="85" t="n">
        <x:v>596</x:v>
      </x:c>
      <x:c r="B597" s="86" t="n">
        <x:v>389</x:v>
      </x:c>
      <x:c r="C597" s="86" t="n">
        <x:v>2025</x:v>
      </x:c>
      <x:c r="D597" s="86" t="n">
        <x:v>3.1</x:v>
      </x:c>
      <x:c r="E597" s="86" t="n">
        <x:v>4.7</x:v>
      </x:c>
      <x:c r="F597" s="86" t="n">
        <x:v>3.7</x:v>
      </x:c>
      <x:c r="G597" s="86" t="str">
        <x:v>Dentro do esperado</x:v>
      </x:c>
      <x:c r="H597" s="86" t="str">
        <x:v>Médio</x:v>
      </x:c>
      <x:c r="I597" s="87" t="n">
        <x:v>0</x:v>
      </x:c>
    </x:row>
    <x:row r="598">
      <x:c r="A598" s="85" t="n">
        <x:v>597</x:v>
      </x:c>
      <x:c r="B598" s="86" t="n">
        <x:v>390</x:v>
      </x:c>
      <x:c r="C598" s="86" t="n">
        <x:v>2025</x:v>
      </x:c>
      <x:c r="D598" s="86" t="n">
        <x:v>2.8</x:v>
      </x:c>
      <x:c r="E598" s="86" t="n">
        <x:v>2.8</x:v>
      </x:c>
      <x:c r="F598" s="86" t="n">
        <x:v>2.8</x:v>
      </x:c>
      <x:c r="G598" s="86" t="str">
        <x:v>Abaixo do esperado</x:v>
      </x:c>
      <x:c r="H598" s="86" t="str">
        <x:v>Médio</x:v>
      </x:c>
      <x:c r="I598" s="87" t="n">
        <x:v>1</x:v>
      </x:c>
    </x:row>
    <x:row r="599">
      <x:c r="A599" s="85" t="n">
        <x:v>598</x:v>
      </x:c>
      <x:c r="B599" s="86" t="n">
        <x:v>392</x:v>
      </x:c>
      <x:c r="C599" s="86" t="n">
        <x:v>2025</x:v>
      </x:c>
      <x:c r="D599" s="86" t="n">
        <x:v>2.9</x:v>
      </x:c>
      <x:c r="E599" s="86" t="n">
        <x:v>3</x:v>
      </x:c>
      <x:c r="F599" s="86" t="n">
        <x:v>2.9</x:v>
      </x:c>
      <x:c r="G599" s="86" t="str">
        <x:v>Abaixo do esperado</x:v>
      </x:c>
      <x:c r="H599" s="86" t="str">
        <x:v>Alto</x:v>
      </x:c>
      <x:c r="I599" s="87" t="n">
        <x:v>1</x:v>
      </x:c>
    </x:row>
    <x:row r="600">
      <x:c r="A600" s="85" t="n">
        <x:v>599</x:v>
      </x:c>
      <x:c r="B600" s="86" t="n">
        <x:v>393</x:v>
      </x:c>
      <x:c r="C600" s="86" t="n">
        <x:v>2025</x:v>
      </x:c>
      <x:c r="D600" s="86" t="n">
        <x:v>2.4</x:v>
      </x:c>
      <x:c r="E600" s="86" t="n">
        <x:v>3.9</x:v>
      </x:c>
      <x:c r="F600" s="86" t="n">
        <x:v>3</x:v>
      </x:c>
      <x:c r="G600" s="86" t="str">
        <x:v>Dentro do esperado</x:v>
      </x:c>
      <x:c r="H600" s="86" t="str">
        <x:v>Baixo</x:v>
      </x:c>
      <x:c r="I600" s="87" t="n">
        <x:v>1</x:v>
      </x:c>
    </x:row>
    <x:row r="601">
      <x:c r="A601" s="85" t="n">
        <x:v>600</x:v>
      </x:c>
      <x:c r="B601" s="86" t="n">
        <x:v>394</x:v>
      </x:c>
      <x:c r="C601" s="86" t="n">
        <x:v>2025</x:v>
      </x:c>
      <x:c r="D601" s="86" t="n">
        <x:v>4.3</x:v>
      </x:c>
      <x:c r="E601" s="86" t="n">
        <x:v>2.7</x:v>
      </x:c>
      <x:c r="F601" s="86" t="n">
        <x:v>3.7</x:v>
      </x:c>
      <x:c r="G601" s="86" t="str">
        <x:v>Dentro do esperado</x:v>
      </x:c>
      <x:c r="H601" s="86" t="str">
        <x:v>Médio</x:v>
      </x:c>
      <x:c r="I601" s="87" t="n">
        <x:v>0</x:v>
      </x:c>
    </x:row>
    <x:row r="602">
      <x:c r="A602" s="85" t="n">
        <x:v>601</x:v>
      </x:c>
      <x:c r="B602" s="86" t="n">
        <x:v>395</x:v>
      </x:c>
      <x:c r="C602" s="86" t="n">
        <x:v>2025</x:v>
      </x:c>
      <x:c r="D602" s="86" t="n">
        <x:v>4.4</x:v>
      </x:c>
      <x:c r="E602" s="86" t="n">
        <x:v>4.7</x:v>
      </x:c>
      <x:c r="F602" s="86" t="n">
        <x:v>4.5</x:v>
      </x:c>
      <x:c r="G602" s="86" t="str">
        <x:v>Excepcional</x:v>
      </x:c>
      <x:c r="H602" s="86" t="str">
        <x:v>Médio</x:v>
      </x:c>
      <x:c r="I602" s="87" t="n">
        <x:v>0</x:v>
      </x:c>
    </x:row>
    <x:row r="603">
      <x:c r="A603" s="85" t="n">
        <x:v>602</x:v>
      </x:c>
      <x:c r="B603" s="86" t="n">
        <x:v>396</x:v>
      </x:c>
      <x:c r="C603" s="86" t="n">
        <x:v>2025</x:v>
      </x:c>
      <x:c r="D603" s="86" t="n">
        <x:v>3.7</x:v>
      </x:c>
      <x:c r="E603" s="86" t="n">
        <x:v>4.2</x:v>
      </x:c>
      <x:c r="F603" s="86" t="n">
        <x:v>3.9</x:v>
      </x:c>
      <x:c r="G603" s="86" t="str">
        <x:v>Acima do esperado</x:v>
      </x:c>
      <x:c r="H603" s="86" t="str">
        <x:v>Médio</x:v>
      </x:c>
      <x:c r="I603" s="87" t="n">
        <x:v>0</x:v>
      </x:c>
    </x:row>
    <x:row r="604">
      <x:c r="A604" s="85" t="n">
        <x:v>603</x:v>
      </x:c>
      <x:c r="B604" s="86" t="n">
        <x:v>398</x:v>
      </x:c>
      <x:c r="C604" s="86" t="n">
        <x:v>2025</x:v>
      </x:c>
      <x:c r="D604" s="86" t="n">
        <x:v>4.2</x:v>
      </x:c>
      <x:c r="E604" s="86" t="n">
        <x:v>2.4</x:v>
      </x:c>
      <x:c r="F604" s="86" t="n">
        <x:v>3.5</x:v>
      </x:c>
      <x:c r="G604" s="86" t="str">
        <x:v>Dentro do esperado</x:v>
      </x:c>
      <x:c r="H604" s="86" t="str">
        <x:v>Médio</x:v>
      </x:c>
      <x:c r="I604" s="87" t="n">
        <x:v>0</x:v>
      </x:c>
    </x:row>
    <x:row r="605">
      <x:c r="A605" s="85" t="n">
        <x:v>604</x:v>
      </x:c>
      <x:c r="B605" s="86" t="n">
        <x:v>399</x:v>
      </x:c>
      <x:c r="C605" s="86" t="n">
        <x:v>2025</x:v>
      </x:c>
      <x:c r="D605" s="86" t="n">
        <x:v>3.2</x:v>
      </x:c>
      <x:c r="E605" s="86" t="n">
        <x:v>2.9</x:v>
      </x:c>
      <x:c r="F605" s="86" t="n">
        <x:v>3.1</x:v>
      </x:c>
      <x:c r="G605" s="86" t="str">
        <x:v>Dentro do esperado</x:v>
      </x:c>
      <x:c r="H605" s="86" t="str">
        <x:v>Médio</x:v>
      </x:c>
      <x:c r="I605" s="87" t="n">
        <x:v>1</x:v>
      </x:c>
    </x:row>
    <x:row r="606">
      <x:c r="A606" s="85" t="n">
        <x:v>605</x:v>
      </x:c>
      <x:c r="B606" s="86" t="n">
        <x:v>400</x:v>
      </x:c>
      <x:c r="C606" s="86" t="n">
        <x:v>2025</x:v>
      </x:c>
      <x:c r="D606" s="86" t="n">
        <x:v>2.6</x:v>
      </x:c>
      <x:c r="E606" s="86" t="n">
        <x:v>3</x:v>
      </x:c>
      <x:c r="F606" s="86" t="n">
        <x:v>2.8</x:v>
      </x:c>
      <x:c r="G606" s="86" t="str">
        <x:v>Abaixo do esperado</x:v>
      </x:c>
      <x:c r="H606" s="86" t="str">
        <x:v>Médio</x:v>
      </x:c>
      <x:c r="I606" s="87" t="n">
        <x:v>1</x:v>
      </x:c>
    </x:row>
    <x:row r="607">
      <x:c r="A607" s="85" t="n">
        <x:v>606</x:v>
      </x:c>
      <x:c r="B607" s="86" t="n">
        <x:v>401</x:v>
      </x:c>
      <x:c r="C607" s="86" t="n">
        <x:v>2025</x:v>
      </x:c>
      <x:c r="D607" s="86" t="n">
        <x:v>2.9</x:v>
      </x:c>
      <x:c r="E607" s="86" t="n">
        <x:v>4.9</x:v>
      </x:c>
      <x:c r="F607" s="86" t="n">
        <x:v>3.7</x:v>
      </x:c>
      <x:c r="G607" s="86" t="str">
        <x:v>Dentro do esperado</x:v>
      </x:c>
      <x:c r="H607" s="86" t="str">
        <x:v>Baixo</x:v>
      </x:c>
      <x:c r="I607" s="87" t="n">
        <x:v>0</x:v>
      </x:c>
    </x:row>
    <x:row r="608">
      <x:c r="A608" s="85" t="n">
        <x:v>607</x:v>
      </x:c>
      <x:c r="B608" s="86" t="n">
        <x:v>402</x:v>
      </x:c>
      <x:c r="C608" s="86" t="n">
        <x:v>2025</x:v>
      </x:c>
      <x:c r="D608" s="86" t="n">
        <x:v>2.5</x:v>
      </x:c>
      <x:c r="E608" s="86" t="n">
        <x:v>4</x:v>
      </x:c>
      <x:c r="F608" s="86" t="n">
        <x:v>3.1</x:v>
      </x:c>
      <x:c r="G608" s="86" t="str">
        <x:v>Dentro do esperado</x:v>
      </x:c>
      <x:c r="H608" s="86" t="str">
        <x:v>Médio</x:v>
      </x:c>
      <x:c r="I608" s="87" t="n">
        <x:v>1</x:v>
      </x:c>
    </x:row>
    <x:row r="609">
      <x:c r="A609" s="85" t="n">
        <x:v>608</x:v>
      </x:c>
      <x:c r="B609" s="86" t="n">
        <x:v>403</x:v>
      </x:c>
      <x:c r="C609" s="86" t="n">
        <x:v>2025</x:v>
      </x:c>
      <x:c r="D609" s="86" t="n">
        <x:v>3.7</x:v>
      </x:c>
      <x:c r="E609" s="86" t="n">
        <x:v>4.7</x:v>
      </x:c>
      <x:c r="F609" s="86" t="n">
        <x:v>4.1</x:v>
      </x:c>
      <x:c r="G609" s="86" t="str">
        <x:v>Acima do esperado</x:v>
      </x:c>
      <x:c r="H609" s="86" t="str">
        <x:v>Médio</x:v>
      </x:c>
      <x:c r="I609" s="87" t="n">
        <x:v>0</x:v>
      </x:c>
    </x:row>
    <x:row r="610">
      <x:c r="A610" s="85" t="n">
        <x:v>609</x:v>
      </x:c>
      <x:c r="B610" s="86" t="n">
        <x:v>407</x:v>
      </x:c>
      <x:c r="C610" s="86" t="n">
        <x:v>2025</x:v>
      </x:c>
      <x:c r="D610" s="86" t="n">
        <x:v>3.8</x:v>
      </x:c>
      <x:c r="E610" s="86" t="n">
        <x:v>3.3</x:v>
      </x:c>
      <x:c r="F610" s="86" t="n">
        <x:v>3.6</x:v>
      </x:c>
      <x:c r="G610" s="86" t="str">
        <x:v>Dentro do esperado</x:v>
      </x:c>
      <x:c r="H610" s="86" t="str">
        <x:v>Médio</x:v>
      </x:c>
      <x:c r="I610" s="87" t="n">
        <x:v>0</x:v>
      </x:c>
    </x:row>
    <x:row r="611">
      <x:c r="A611" s="85" t="n">
        <x:v>610</x:v>
      </x:c>
      <x:c r="B611" s="86" t="n">
        <x:v>408</x:v>
      </x:c>
      <x:c r="C611" s="86" t="n">
        <x:v>2025</x:v>
      </x:c>
      <x:c r="D611" s="86" t="n">
        <x:v>4</x:v>
      </x:c>
      <x:c r="E611" s="86" t="n">
        <x:v>4</x:v>
      </x:c>
      <x:c r="F611" s="86" t="n">
        <x:v>4</x:v>
      </x:c>
      <x:c r="G611" s="86" t="str">
        <x:v>Acima do esperado</x:v>
      </x:c>
      <x:c r="H611" s="86" t="str">
        <x:v>Baixo</x:v>
      </x:c>
      <x:c r="I611" s="87" t="n">
        <x:v>0</x:v>
      </x:c>
    </x:row>
    <x:row r="612">
      <x:c r="A612" s="85" t="n">
        <x:v>611</x:v>
      </x:c>
      <x:c r="B612" s="86" t="n">
        <x:v>409</x:v>
      </x:c>
      <x:c r="C612" s="86" t="n">
        <x:v>2025</x:v>
      </x:c>
      <x:c r="D612" s="86" t="n">
        <x:v>4.3</x:v>
      </x:c>
      <x:c r="E612" s="86" t="n">
        <x:v>3.8</x:v>
      </x:c>
      <x:c r="F612" s="86" t="n">
        <x:v>4.1</x:v>
      </x:c>
      <x:c r="G612" s="86" t="str">
        <x:v>Acima do esperado</x:v>
      </x:c>
      <x:c r="H612" s="86" t="str">
        <x:v>Médio</x:v>
      </x:c>
      <x:c r="I612" s="87" t="n">
        <x:v>0</x:v>
      </x:c>
    </x:row>
    <x:row r="613">
      <x:c r="A613" s="85" t="n">
        <x:v>612</x:v>
      </x:c>
      <x:c r="B613" s="86" t="n">
        <x:v>410</x:v>
      </x:c>
      <x:c r="C613" s="86" t="n">
        <x:v>2025</x:v>
      </x:c>
      <x:c r="D613" s="86" t="n">
        <x:v>4</x:v>
      </x:c>
      <x:c r="E613" s="86" t="n">
        <x:v>2.9</x:v>
      </x:c>
      <x:c r="F613" s="86" t="n">
        <x:v>3.6</x:v>
      </x:c>
      <x:c r="G613" s="86" t="str">
        <x:v>Dentro do esperado</x:v>
      </x:c>
      <x:c r="H613" s="86" t="str">
        <x:v>Médio</x:v>
      </x:c>
      <x:c r="I613" s="87" t="n">
        <x:v>0</x:v>
      </x:c>
    </x:row>
    <x:row r="614">
      <x:c r="A614" s="85" t="n">
        <x:v>613</x:v>
      </x:c>
      <x:c r="B614" s="86" t="n">
        <x:v>411</x:v>
      </x:c>
      <x:c r="C614" s="86" t="n">
        <x:v>2025</x:v>
      </x:c>
      <x:c r="D614" s="86" t="n">
        <x:v>3.4</x:v>
      </x:c>
      <x:c r="E614" s="86" t="n">
        <x:v>2.6</x:v>
      </x:c>
      <x:c r="F614" s="86" t="n">
        <x:v>3.1</x:v>
      </x:c>
      <x:c r="G614" s="86" t="str">
        <x:v>Dentro do esperado</x:v>
      </x:c>
      <x:c r="H614" s="86" t="str">
        <x:v>Médio</x:v>
      </x:c>
      <x:c r="I614" s="87" t="n">
        <x:v>1</x:v>
      </x:c>
    </x:row>
    <x:row r="615">
      <x:c r="A615" s="85" t="n">
        <x:v>614</x:v>
      </x:c>
      <x:c r="B615" s="86" t="n">
        <x:v>412</x:v>
      </x:c>
      <x:c r="C615" s="86" t="n">
        <x:v>2025</x:v>
      </x:c>
      <x:c r="D615" s="86" t="n">
        <x:v>4.6</x:v>
      </x:c>
      <x:c r="E615" s="86" t="n">
        <x:v>4.7</x:v>
      </x:c>
      <x:c r="F615" s="86" t="n">
        <x:v>4.6</x:v>
      </x:c>
      <x:c r="G615" s="86" t="str">
        <x:v>Excepcional</x:v>
      </x:c>
      <x:c r="H615" s="86" t="str">
        <x:v>Médio</x:v>
      </x:c>
      <x:c r="I615" s="87" t="n">
        <x:v>0</x:v>
      </x:c>
    </x:row>
    <x:row r="616">
      <x:c r="A616" s="85" t="n">
        <x:v>615</x:v>
      </x:c>
      <x:c r="B616" s="86" t="n">
        <x:v>413</x:v>
      </x:c>
      <x:c r="C616" s="86" t="n">
        <x:v>2025</x:v>
      </x:c>
      <x:c r="D616" s="86" t="n">
        <x:v>2.9</x:v>
      </x:c>
      <x:c r="E616" s="86" t="n">
        <x:v>2.6</x:v>
      </x:c>
      <x:c r="F616" s="86" t="n">
        <x:v>2.8</x:v>
      </x:c>
      <x:c r="G616" s="86" t="str">
        <x:v>Abaixo do esperado</x:v>
      </x:c>
      <x:c r="H616" s="86" t="str">
        <x:v>Médio</x:v>
      </x:c>
      <x:c r="I616" s="87" t="n">
        <x:v>1</x:v>
      </x:c>
    </x:row>
    <x:row r="617">
      <x:c r="A617" s="85" t="n">
        <x:v>616</x:v>
      </x:c>
      <x:c r="B617" s="86" t="n">
        <x:v>414</x:v>
      </x:c>
      <x:c r="C617" s="86" t="n">
        <x:v>2025</x:v>
      </x:c>
      <x:c r="D617" s="86" t="n">
        <x:v>3.4</x:v>
      </x:c>
      <x:c r="E617" s="86" t="n">
        <x:v>2.9</x:v>
      </x:c>
      <x:c r="F617" s="86" t="n">
        <x:v>3.2</x:v>
      </x:c>
      <x:c r="G617" s="86" t="str">
        <x:v>Dentro do esperado</x:v>
      </x:c>
      <x:c r="H617" s="86" t="str">
        <x:v>Médio</x:v>
      </x:c>
      <x:c r="I617" s="87" t="n">
        <x:v>0</x:v>
      </x:c>
    </x:row>
    <x:row r="618">
      <x:c r="A618" s="85" t="n">
        <x:v>617</x:v>
      </x:c>
      <x:c r="B618" s="86" t="n">
        <x:v>415</x:v>
      </x:c>
      <x:c r="C618" s="86" t="n">
        <x:v>2025</x:v>
      </x:c>
      <x:c r="D618" s="86" t="n">
        <x:v>3.4</x:v>
      </x:c>
      <x:c r="E618" s="86" t="n">
        <x:v>3.2</x:v>
      </x:c>
      <x:c r="F618" s="86" t="n">
        <x:v>3.3</x:v>
      </x:c>
      <x:c r="G618" s="86" t="str">
        <x:v>Dentro do esperado</x:v>
      </x:c>
      <x:c r="H618" s="86" t="str">
        <x:v>Alto</x:v>
      </x:c>
      <x:c r="I618" s="87" t="n">
        <x:v>1</x:v>
      </x:c>
    </x:row>
    <x:row r="619">
      <x:c r="A619" s="85" t="n">
        <x:v>618</x:v>
      </x:c>
      <x:c r="B619" s="86" t="n">
        <x:v>416</x:v>
      </x:c>
      <x:c r="C619" s="86" t="n">
        <x:v>2025</x:v>
      </x:c>
      <x:c r="D619" s="86" t="n">
        <x:v>4</x:v>
      </x:c>
      <x:c r="E619" s="86" t="n">
        <x:v>3.6</x:v>
      </x:c>
      <x:c r="F619" s="86" t="n">
        <x:v>3.8</x:v>
      </x:c>
      <x:c r="G619" s="86" t="str">
        <x:v>Acima do esperado</x:v>
      </x:c>
      <x:c r="H619" s="86" t="str">
        <x:v>Médio</x:v>
      </x:c>
      <x:c r="I619" s="87" t="n">
        <x:v>0</x:v>
      </x:c>
    </x:row>
    <x:row r="620">
      <x:c r="A620" s="85" t="n">
        <x:v>619</x:v>
      </x:c>
      <x:c r="B620" s="86" t="n">
        <x:v>417</x:v>
      </x:c>
      <x:c r="C620" s="86" t="n">
        <x:v>2025</x:v>
      </x:c>
      <x:c r="D620" s="86" t="n">
        <x:v>2.3</x:v>
      </x:c>
      <x:c r="E620" s="86" t="n">
        <x:v>2.8</x:v>
      </x:c>
      <x:c r="F620" s="86" t="n">
        <x:v>2.5</x:v>
      </x:c>
      <x:c r="G620" s="86" t="str">
        <x:v>Abaixo do esperado</x:v>
      </x:c>
      <x:c r="H620" s="86" t="str">
        <x:v>Baixo</x:v>
      </x:c>
      <x:c r="I620" s="87" t="n">
        <x:v>1</x:v>
      </x:c>
    </x:row>
    <x:row r="621">
      <x:c r="A621" s="88" t="n">
        <x:v>620</x:v>
      </x:c>
      <x:c r="B621" s="89" t="n">
        <x:v>419</x:v>
      </x:c>
      <x:c r="C621" s="89" t="n">
        <x:v>2025</x:v>
      </x:c>
      <x:c r="D621" s="89" t="n">
        <x:v>4.7</x:v>
      </x:c>
      <x:c r="E621" s="89" t="n">
        <x:v>2.6</x:v>
      </x:c>
      <x:c r="F621" s="89" t="n">
        <x:v>3.9</x:v>
      </x:c>
      <x:c r="G621" s="89" t="str">
        <x:v>Acima do esperado</x:v>
      </x:c>
      <x:c r="H621" s="89" t="str">
        <x:v>Médio</x:v>
      </x:c>
      <x:c r="I621" s="90" t="n">
        <x:v>0</x:v>
      </x:c>
    </x:row>
  </x:sheetData>
  <x:pageMargins left="0.7" right="0.7" top="0.75" bottom="0.75" header="0.3" footer="0.3"/>
</x:worksheet>
</file>